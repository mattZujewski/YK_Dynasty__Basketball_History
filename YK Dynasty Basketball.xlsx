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Year VI Current Season)" sheetId="1" r:id="rId5"/>
    <sheet state="visible" name="2025 (Last Season)" sheetId="2" r:id="rId6"/>
    <sheet state="visible" name="2027" sheetId="3" r:id="rId7"/>
    <sheet state="visible" name="2028" sheetId="4" r:id="rId8"/>
    <sheet state="visible" name="2029" sheetId="5" r:id="rId9"/>
    <sheet state="visible" name="2030" sheetId="6" r:id="rId10"/>
    <sheet state="visible" name="All Picks (26-30)" sheetId="7" r:id="rId11"/>
    <sheet state="hidden" name="2031" sheetId="8" r:id="rId12"/>
    <sheet state="visible" name="League Records" sheetId="9" r:id="rId13"/>
    <sheet state="visible" name="Offseason Schedule" sheetId="10" r:id="rId14"/>
    <sheet state="visible" name="Trades - All Time" sheetId="11" r:id="rId15"/>
    <sheet state="visible" name="2024" sheetId="12" r:id="rId16"/>
    <sheet state="visible" name="2023" sheetId="13" r:id="rId17"/>
    <sheet state="visible" name="2022" sheetId="14" r:id="rId18"/>
    <sheet state="visible" name="2021" sheetId="15" r:id="rId19"/>
    <sheet state="hidden" name="Trade History" sheetId="16" r:id="rId20"/>
    <sheet state="visible" name="OT-2026" sheetId="17" r:id="rId21"/>
    <sheet state="visible" name="OT-2025" sheetId="18" r:id="rId22"/>
    <sheet state="visible" name="OT-2024" sheetId="19" r:id="rId23"/>
    <sheet state="visible" name="OT- 2023" sheetId="20" r:id="rId24"/>
    <sheet state="visible" name="OT-2022" sheetId="21" r:id="rId25"/>
    <sheet state="visible" name="OT-2021" sheetId="22" r:id="rId26"/>
    <sheet state="hidden" name="Offseason PPG Projection" sheetId="23" r:id="rId27"/>
    <sheet state="visible" name="OG 2020 Draft" sheetId="24" r:id="rId28"/>
    <sheet state="hidden" name="2026 Redistribution Draft" sheetId="25" r:id="rId29"/>
    <sheet state="hidden" name="2020-2021 All Stars" sheetId="26" r:id="rId30"/>
    <sheet state="hidden" name="Player rankings (Lawson Ranks)" sheetId="27" r:id="rId31"/>
  </sheets>
  <definedNames/>
  <calcPr/>
</workbook>
</file>

<file path=xl/sharedStrings.xml><?xml version="1.0" encoding="utf-8"?>
<sst xmlns="http://schemas.openxmlformats.org/spreadsheetml/2006/main" count="14135" uniqueCount="3229">
  <si>
    <t>Trager *</t>
  </si>
  <si>
    <t>Jowkar</t>
  </si>
  <si>
    <t>Delaney</t>
  </si>
  <si>
    <t>Green</t>
  </si>
  <si>
    <t>Berke *</t>
  </si>
  <si>
    <t>2025-26 Fantasy Season</t>
  </si>
  <si>
    <t>10/21/25 - 3/22/26</t>
  </si>
  <si>
    <t>"The Offseason" : 2026</t>
  </si>
  <si>
    <t>(N/A)</t>
  </si>
  <si>
    <t>1st Round Delaney</t>
  </si>
  <si>
    <t>BERK Berke 2030 2nd round</t>
  </si>
  <si>
    <t>FOR</t>
  </si>
  <si>
    <t>JOWK Noah Clowney</t>
  </si>
  <si>
    <r>
      <rPr>
        <rFont val="Arial"/>
        <color theme="1"/>
        <sz val="11.0"/>
      </rPr>
      <t>1st Round Peterson</t>
    </r>
    <r>
      <rPr>
        <rFont val="Arial"/>
        <color rgb="FFFBBC04"/>
        <sz val="11.0"/>
      </rPr>
      <t>** (2026 Jowkar FRP owns swap rights)</t>
    </r>
  </si>
  <si>
    <t>1st Round Green</t>
  </si>
  <si>
    <t>2nd Round Delaney</t>
  </si>
  <si>
    <t>GOLD Neemias Queta</t>
  </si>
  <si>
    <t>TRAG Ayo Dosumnu</t>
  </si>
  <si>
    <t>2nd Round Trager</t>
  </si>
  <si>
    <t>2nd Round Green</t>
  </si>
  <si>
    <t>PETE Steph Curry</t>
  </si>
  <si>
    <t>TRAG Miles Bridges</t>
  </si>
  <si>
    <t>Gold</t>
  </si>
  <si>
    <t>Moss *</t>
  </si>
  <si>
    <t>Baden</t>
  </si>
  <si>
    <t>Peterson **</t>
  </si>
  <si>
    <t>Zujewski</t>
  </si>
  <si>
    <t>PETE Kawhi Leonard</t>
  </si>
  <si>
    <t>TRAG Bilal Couliably</t>
  </si>
  <si>
    <r>
      <rPr>
        <rFont val="Arial"/>
        <color theme="1"/>
        <sz val="11.0"/>
      </rPr>
      <t xml:space="preserve">1st Round Gold </t>
    </r>
    <r>
      <rPr>
        <rFont val="Arial"/>
        <color theme="6"/>
        <sz val="11.0"/>
      </rPr>
      <t>(Trager 2026 FRP owns swap rights)</t>
    </r>
  </si>
  <si>
    <t>1st Round Baden</t>
  </si>
  <si>
    <r>
      <rPr>
        <rFont val="Arial"/>
        <color theme="1"/>
        <sz val="11.0"/>
      </rPr>
      <t xml:space="preserve">1st Round Trager </t>
    </r>
    <r>
      <rPr>
        <rFont val="Arial"/>
        <color theme="6"/>
        <sz val="11.0"/>
      </rPr>
      <t>(right to swap with Gold 2026 FRP)</t>
    </r>
  </si>
  <si>
    <t>1st Round Zujewski</t>
  </si>
  <si>
    <t>TRAG Berke 2026 1st round</t>
  </si>
  <si>
    <r>
      <rPr>
        <rFont val="Arial"/>
        <color theme="1"/>
        <sz val="11.0"/>
      </rPr>
      <t xml:space="preserve">1st Round Jowkar </t>
    </r>
    <r>
      <rPr>
        <rFont val="Arial"/>
        <color rgb="FFFBBC04"/>
        <sz val="11.0"/>
      </rPr>
      <t>* (owns 2026 Peterson FRP swap rights)</t>
    </r>
  </si>
  <si>
    <t>1st Round Berke</t>
  </si>
  <si>
    <t>1st Round Moss</t>
  </si>
  <si>
    <t>TRAG Trager 2028 1st round</t>
  </si>
  <si>
    <t>2nd Round Baden</t>
  </si>
  <si>
    <t>2nd Round Gold</t>
  </si>
  <si>
    <t>2nd Round Peterson</t>
  </si>
  <si>
    <t>TRAG Gold 2026 2nd round</t>
  </si>
  <si>
    <t>2nd Round Zujewski</t>
  </si>
  <si>
    <t>2nd Round Moss</t>
  </si>
  <si>
    <t>TRAG Gold 2029 2nd round</t>
  </si>
  <si>
    <t>2nd Round Berke</t>
  </si>
  <si>
    <t>2nd Round Jowkar</t>
  </si>
  <si>
    <t>Constitution</t>
  </si>
  <si>
    <t>Draft Pick Protections</t>
  </si>
  <si>
    <t>Protected Pick</t>
  </si>
  <si>
    <t>* If Kelvin is lower pick, swap with Jowkar</t>
  </si>
  <si>
    <t>Locked Pick- Future Protection/swap</t>
  </si>
  <si>
    <t>** If Kelvin is higher pick, no swap</t>
  </si>
  <si>
    <t xml:space="preserve"> Green (*) - Conveyed from past protection</t>
  </si>
  <si>
    <t>G-league:</t>
  </si>
  <si>
    <t>1st call up - Oct 20th 2025</t>
  </si>
  <si>
    <t>2nd call up - Nov 23rd 2025</t>
  </si>
  <si>
    <t>3rd call up - Jan 5th, 2025</t>
  </si>
  <si>
    <t>4th call up - Feb 9th 2026 (Monday)</t>
  </si>
  <si>
    <t>Trager</t>
  </si>
  <si>
    <t>Carter Bryant</t>
  </si>
  <si>
    <t>Tijaun Salaun</t>
  </si>
  <si>
    <t>Hugo Gonzalez</t>
  </si>
  <si>
    <t xml:space="preserve">Jowkar </t>
  </si>
  <si>
    <t>Kasparas Jakucionis</t>
  </si>
  <si>
    <t>Nikola Jovic</t>
  </si>
  <si>
    <t>Asa Newall</t>
  </si>
  <si>
    <t>Joan Beringer</t>
  </si>
  <si>
    <t>Yang Hansen</t>
  </si>
  <si>
    <t>Rasheer Fleming</t>
  </si>
  <si>
    <t>Ryan Dunn</t>
  </si>
  <si>
    <t>GG Jackson</t>
  </si>
  <si>
    <t>Will Riley</t>
  </si>
  <si>
    <t>Berke</t>
  </si>
  <si>
    <t>Kam Jones</t>
  </si>
  <si>
    <t>Anthony Black</t>
  </si>
  <si>
    <t>Cam Whitmore</t>
  </si>
  <si>
    <t>Noa Essengue</t>
  </si>
  <si>
    <t>Moss</t>
  </si>
  <si>
    <t>Ron Holland</t>
  </si>
  <si>
    <t>Adem Bona</t>
  </si>
  <si>
    <t>Rob Dillingham</t>
  </si>
  <si>
    <t>Bub Carrington</t>
  </si>
  <si>
    <t>Dereck Lively</t>
  </si>
  <si>
    <t>Peterson</t>
  </si>
  <si>
    <t>Devin Carter</t>
  </si>
  <si>
    <t>Thomas Sorber</t>
  </si>
  <si>
    <t>Jeremiah Fears</t>
  </si>
  <si>
    <t>Sion James</t>
  </si>
  <si>
    <t>Liam McNeeley</t>
  </si>
  <si>
    <t>2024-25 Fantasy Season</t>
  </si>
  <si>
    <t>"The Offseason" : 2025</t>
  </si>
  <si>
    <r>
      <rPr>
        <rFont val="Arial"/>
        <color theme="1"/>
        <sz val="11.0"/>
      </rPr>
      <t xml:space="preserve">1st Round Delaney* </t>
    </r>
    <r>
      <rPr>
        <rFont val="Arial"/>
        <color theme="6"/>
        <sz val="11.0"/>
      </rPr>
      <t>(right to swap w/Jowkar 2025 FRP)</t>
    </r>
  </si>
  <si>
    <t>ZJEW Wendall Carter Jr.</t>
  </si>
  <si>
    <t>PETE Peterson 2026 2nd round</t>
  </si>
  <si>
    <t>BERK Spencer Dinwiddie</t>
  </si>
  <si>
    <t>JOWK Jerami Grant</t>
  </si>
  <si>
    <r>
      <rPr>
        <rFont val="Arial"/>
        <color theme="1"/>
        <sz val="11.0"/>
      </rPr>
      <t xml:space="preserve">2nd Round Gold
</t>
    </r>
    <r>
      <rPr>
        <rFont val="Arial"/>
        <color rgb="FFFBBC04"/>
        <sz val="11.0"/>
      </rPr>
      <t>(Jowkar 2025 2nd owns swap rights)</t>
    </r>
  </si>
  <si>
    <r>
      <rPr>
        <rFont val="arial,sans,sans-serif"/>
        <color theme="1"/>
        <sz val="11.0"/>
      </rPr>
      <t xml:space="preserve">1st Round Berke </t>
    </r>
    <r>
      <rPr>
        <rFont val="arial,sans,sans-serif"/>
        <color rgb="FFFBBC04"/>
        <sz val="11.0"/>
      </rPr>
      <t>(Peterson 2025 1st owns swap rights)</t>
    </r>
  </si>
  <si>
    <t>PETE Peterson 2027 2nd round</t>
  </si>
  <si>
    <t>JOWK Jrue Holiday</t>
  </si>
  <si>
    <t>2nd Round Kelley</t>
  </si>
  <si>
    <r>
      <rPr>
        <rFont val="Arial"/>
        <color theme="1"/>
        <sz val="11.0"/>
      </rPr>
      <t xml:space="preserve">2nd Round Green </t>
    </r>
    <r>
      <rPr>
        <rFont val="Arial"/>
        <color theme="6"/>
        <sz val="11.0"/>
      </rPr>
      <t>(right to swap w/Trager 2025 SRP)</t>
    </r>
  </si>
  <si>
    <t>KELL Kelley 2025 2nd round</t>
  </si>
  <si>
    <t>JOWK Gold 2027 2nd round</t>
  </si>
  <si>
    <t>BADEN Berke 2025 1st round</t>
  </si>
  <si>
    <t>DELA Peterson 2025 1st round</t>
  </si>
  <si>
    <r>
      <rPr>
        <rFont val="Arial"/>
        <color theme="1"/>
        <sz val="11.0"/>
      </rPr>
      <t xml:space="preserve">2nd Round Berke </t>
    </r>
    <r>
      <rPr>
        <rFont val="Arial"/>
        <color rgb="FFFBBC04"/>
        <sz val="11.0"/>
      </rPr>
      <t>(Peterson 2025 2nd owns swap rights)</t>
    </r>
  </si>
  <si>
    <t>JOWK Gold 2028 2nd round</t>
  </si>
  <si>
    <t>BADEN Green 2025 1st round</t>
  </si>
  <si>
    <t>DELA Baden 2025 2nd round</t>
  </si>
  <si>
    <t xml:space="preserve">2nd Round Delaney </t>
  </si>
  <si>
    <t>KELL Mikal Bridges</t>
  </si>
  <si>
    <t>PETE Jowkar 2026 1st round</t>
  </si>
  <si>
    <t>July 26th, 2025</t>
  </si>
  <si>
    <t>Kelley -&gt; Baden</t>
  </si>
  <si>
    <t>KELL Moss 2026 2nd round</t>
  </si>
  <si>
    <t>PETE Peterson 2025 2nd round</t>
  </si>
  <si>
    <t>/ / / / / / / / /     Draft Day 2025        / / / / / / / / /</t>
  </si>
  <si>
    <t>1st Round Gold</t>
  </si>
  <si>
    <t>1st Round Kelley</t>
  </si>
  <si>
    <r>
      <rPr>
        <rFont val="Arial"/>
        <color theme="1"/>
        <sz val="11.0"/>
      </rPr>
      <t xml:space="preserve">2nd Round Jowkar </t>
    </r>
    <r>
      <rPr>
        <rFont val="Arial"/>
        <color theme="6"/>
        <sz val="11.0"/>
      </rPr>
      <t>(right to swap w/Gold 2025 SRP)</t>
    </r>
  </si>
  <si>
    <t>PETE Zujewski 2026 2nd round</t>
  </si>
  <si>
    <t>TRAG Berke 2027 1st round</t>
  </si>
  <si>
    <t>BADEN Baden 2025 2nd round</t>
  </si>
  <si>
    <r>
      <rPr>
        <rFont val="Arial"/>
        <color theme="1"/>
        <sz val="11.0"/>
      </rPr>
      <t xml:space="preserve">1st Round Jowkar* </t>
    </r>
    <r>
      <rPr>
        <rFont val="Arial"/>
        <color rgb="FFFBBC04"/>
        <sz val="11.0"/>
      </rPr>
      <t>(Delaney 2025 1st owns swap rights)</t>
    </r>
  </si>
  <si>
    <t>BADEN Gold 2025 2nd round</t>
  </si>
  <si>
    <r>
      <rPr>
        <rFont val="Arial"/>
        <color theme="1"/>
        <sz val="11.0"/>
      </rPr>
      <t xml:space="preserve">1st Round Peterson </t>
    </r>
    <r>
      <rPr>
        <rFont val="Arial"/>
        <color rgb="FFFBBC04"/>
        <sz val="11.0"/>
      </rPr>
      <t>(right to swap w/Berke 2025 1st round)</t>
    </r>
  </si>
  <si>
    <t>1st Round Trager</t>
  </si>
  <si>
    <t>TRAG Mark Williams</t>
  </si>
  <si>
    <t>GOLD Ivica Zubac</t>
  </si>
  <si>
    <t>BADEN Gold 2026 2nd round</t>
  </si>
  <si>
    <r>
      <rPr>
        <rFont val="Arial"/>
        <color rgb="FF000000"/>
        <sz val="11.0"/>
      </rPr>
      <t xml:space="preserve">2nd Round Peterson </t>
    </r>
    <r>
      <rPr>
        <rFont val="Arial"/>
        <color rgb="FFFBBC04"/>
        <sz val="11.0"/>
      </rPr>
      <t>(right to swap w/Berke 2025 2nd)</t>
    </r>
    <r>
      <rPr>
        <rFont val="Arial"/>
        <color rgb="FF000000"/>
        <sz val="11.0"/>
      </rPr>
      <t xml:space="preserve">	</t>
    </r>
  </si>
  <si>
    <r>
      <rPr>
        <rFont val="Arial"/>
        <color theme="1"/>
        <sz val="11.0"/>
      </rPr>
      <t xml:space="preserve">2nd Round Trager** </t>
    </r>
    <r>
      <rPr>
        <rFont val="Arial"/>
        <color rgb="FFFBBC04"/>
        <sz val="11.0"/>
      </rPr>
      <t>(Green 2025 2nd owns swap rights)</t>
    </r>
  </si>
  <si>
    <t>TRAG Andrew Nembhard</t>
  </si>
  <si>
    <t>GOLD Gold 2029 2nd round</t>
  </si>
  <si>
    <t>TRAG Daniel Gafford</t>
  </si>
  <si>
    <t>GOLD Gold 2030 2nd round</t>
  </si>
  <si>
    <t>GREEN Joel Embiid</t>
  </si>
  <si>
    <t>MOSS Bam Adebayo</t>
  </si>
  <si>
    <t>GREEN Green 2029 1st round</t>
  </si>
  <si>
    <t>* Swap rights to the owner of Delaney 2025 FRP</t>
  </si>
  <si>
    <t>Locked Pick- Future Protection</t>
  </si>
  <si>
    <t>Choose between higher of Delaney 2025 FRP and Jowkar 2025 FRP</t>
  </si>
  <si>
    <t>DELA Bobby Portis</t>
  </si>
  <si>
    <t>PETE Zujewski 2027 2nd round</t>
  </si>
  <si>
    <t>** Swap rights to the owner of Green 2025 SRP</t>
  </si>
  <si>
    <t>Top 2 Scorers Matched up That Week</t>
  </si>
  <si>
    <t>Choose between higher of Trager 2025 SRP and Green 2025 SRP - if swap doesn't occur, conveys in 2026</t>
  </si>
  <si>
    <t>Week</t>
  </si>
  <si>
    <t>1st</t>
  </si>
  <si>
    <t>MOV</t>
  </si>
  <si>
    <t xml:space="preserve">2nd </t>
  </si>
  <si>
    <t>3rd</t>
  </si>
  <si>
    <t>PETE Mikal Bridges</t>
  </si>
  <si>
    <t>BERK James Harden</t>
  </si>
  <si>
    <t>PETE Berke 2027 2nd round</t>
  </si>
  <si>
    <t>Kelvin</t>
  </si>
  <si>
    <t>Logan</t>
  </si>
  <si>
    <t xml:space="preserve">2025 Draft Order: </t>
  </si>
  <si>
    <t>1st Rd Owner
(Rookies)</t>
  </si>
  <si>
    <t>2nd Rd Owner
(Rookie &amp; FA)</t>
  </si>
  <si>
    <t>3rd Rd Owner
Comp Round</t>
  </si>
  <si>
    <t>BERK Paul George</t>
  </si>
  <si>
    <t>JOWK Zach Lavine</t>
  </si>
  <si>
    <t>#1:      Lottery #1 (40% Baden)</t>
  </si>
  <si>
    <t>Max</t>
  </si>
  <si>
    <t>BERK Bradley Beal</t>
  </si>
  <si>
    <t>#2:      Lottery #2  (30% Delaney)</t>
  </si>
  <si>
    <t>BERK Jrue Holiday</t>
  </si>
  <si>
    <t>#3:      Lottery #3 (20% Gold)</t>
  </si>
  <si>
    <t>BERK Berke 2027 2nd round</t>
  </si>
  <si>
    <t>#4:      Lottery #4 (10% Zujewski)</t>
  </si>
  <si>
    <t>#5:      Moss</t>
  </si>
  <si>
    <t>TRAG Coby White</t>
  </si>
  <si>
    <t>ZJEW Jamal Murray</t>
  </si>
  <si>
    <t>#6:      Berke</t>
  </si>
  <si>
    <t>TRAG Nicolas Claxton</t>
  </si>
  <si>
    <t>#7:      Peterson</t>
  </si>
  <si>
    <t>TRAG Trager 2025 1st round</t>
  </si>
  <si>
    <t>#8:      Green</t>
  </si>
  <si>
    <t>#9:      Jowkar</t>
  </si>
  <si>
    <t>TRAG Yves Missi</t>
  </si>
  <si>
    <t>KELL Daniel Gafford</t>
  </si>
  <si>
    <t>#10:    Trager</t>
  </si>
  <si>
    <t>TRAG Jowkar 2026 2nd round</t>
  </si>
  <si>
    <t>TRAG Jordan Poole</t>
  </si>
  <si>
    <t>KELL Kristaps Porzingus</t>
  </si>
  <si>
    <t>TRAG Berke 2025 1st round</t>
  </si>
  <si>
    <t>Punishments:</t>
  </si>
  <si>
    <t>1st place finishes</t>
  </si>
  <si>
    <t>2nd place finishes</t>
  </si>
  <si>
    <t>3rd place finishes</t>
  </si>
  <si>
    <t>Total</t>
  </si>
  <si>
    <t>JOWK Kelley 2025 2nd round</t>
  </si>
  <si>
    <t>DELA John Collins</t>
  </si>
  <si>
    <t>Strike 1:</t>
  </si>
  <si>
    <t>!</t>
  </si>
  <si>
    <t>Warning</t>
  </si>
  <si>
    <t>JOWK Jowkar 2028 2nd round</t>
  </si>
  <si>
    <t>Strike 2:</t>
  </si>
  <si>
    <t>!!</t>
  </si>
  <si>
    <t>Warning #2</t>
  </si>
  <si>
    <t>Strike 3:</t>
  </si>
  <si>
    <t>!!!</t>
  </si>
  <si>
    <t>Lose furthest out SRP (if you do not own your furthest out one, yours will be preemptively taken for the next available year)</t>
  </si>
  <si>
    <t xml:space="preserve">Strike 4: </t>
  </si>
  <si>
    <t>!!!!</t>
  </si>
  <si>
    <t>Pick is dropped to #5 and out of the lottery (last of non-playoff teams) if FRP is owned by violater</t>
  </si>
  <si>
    <t>Drops from 7/19/25 keeper deadline</t>
  </si>
  <si>
    <t>Date of Violation:</t>
  </si>
  <si>
    <t>Violation:</t>
  </si>
  <si>
    <t>Quentin Grimes</t>
  </si>
  <si>
    <t>Vince Williams</t>
  </si>
  <si>
    <t>Russell Westbrook</t>
  </si>
  <si>
    <t>Malik Beasley</t>
  </si>
  <si>
    <t>Logan put Scottie Pippen in g-league after the deadline</t>
  </si>
  <si>
    <t>Santi Aldama</t>
  </si>
  <si>
    <t>Keldon Johnson</t>
  </si>
  <si>
    <t>Robert Williams</t>
  </si>
  <si>
    <t>Obi Toppin</t>
  </si>
  <si>
    <t>Moss didn't set lineup Saturday and Sunday in a matchup</t>
  </si>
  <si>
    <t>Noah Clowney</t>
  </si>
  <si>
    <t>Klay Thompson</t>
  </si>
  <si>
    <t>Nick Richards</t>
  </si>
  <si>
    <t>Justin Champagnie</t>
  </si>
  <si>
    <t>Kelley started 15 players vs everyone else 29+ for the week lol</t>
  </si>
  <si>
    <t>Kelley</t>
  </si>
  <si>
    <t>Bol Bol</t>
  </si>
  <si>
    <t>Julian Champagnie</t>
  </si>
  <si>
    <t>Dorian Finney-Smith</t>
  </si>
  <si>
    <t>Jalen Smith</t>
  </si>
  <si>
    <t xml:space="preserve">Jonas Valunciunas </t>
  </si>
  <si>
    <t>Zach Collins</t>
  </si>
  <si>
    <t>Gary Trent</t>
  </si>
  <si>
    <t>Patrick Williams</t>
  </si>
  <si>
    <t>Tre Jones</t>
  </si>
  <si>
    <t>Jonothan Mogbo</t>
  </si>
  <si>
    <t>Keon Johnson</t>
  </si>
  <si>
    <t>Oso Ighodaro</t>
  </si>
  <si>
    <t>Jordan Hawkins</t>
  </si>
  <si>
    <t>Saddiq Bey</t>
  </si>
  <si>
    <t>1st call up - Oct 21st 2024</t>
  </si>
  <si>
    <t>2nd call up - Nov 24th 2024</t>
  </si>
  <si>
    <t>3rd call up - Dec 29th, 2024</t>
  </si>
  <si>
    <t>4th call up - Feb 9th 2025</t>
  </si>
  <si>
    <t>Brandon Boston</t>
  </si>
  <si>
    <t>DaRon Holmes</t>
  </si>
  <si>
    <t>Tyus Jones</t>
  </si>
  <si>
    <t>Tidjane Salaun</t>
  </si>
  <si>
    <t>Ja'Kobe Walter</t>
  </si>
  <si>
    <t>Day'Ron Sharpe</t>
  </si>
  <si>
    <t>Kyshawn George</t>
  </si>
  <si>
    <t>Spencer Dinwiddie</t>
  </si>
  <si>
    <t>Peyton Watson</t>
  </si>
  <si>
    <t>Brandin Podziemski</t>
  </si>
  <si>
    <t>Jonny Juzang</t>
  </si>
  <si>
    <t>Justin Edwards</t>
  </si>
  <si>
    <t>Donte Divencenzo</t>
  </si>
  <si>
    <t>Cason Wallace</t>
  </si>
  <si>
    <t>Max Strus</t>
  </si>
  <si>
    <t>Jarace Walker</t>
  </si>
  <si>
    <t>Kobe Bufkin</t>
  </si>
  <si>
    <t>Jett Howard</t>
  </si>
  <si>
    <t>Johnny Juzang</t>
  </si>
  <si>
    <t>Andre Jackson</t>
  </si>
  <si>
    <t>Reed Sheppard</t>
  </si>
  <si>
    <t>Emoni Bates</t>
  </si>
  <si>
    <t>Jared McCain</t>
  </si>
  <si>
    <t>Donovan Clingan</t>
  </si>
  <si>
    <t>Carlton Carrington</t>
  </si>
  <si>
    <t>Isaiah Collier</t>
  </si>
  <si>
    <t>Bronny James</t>
  </si>
  <si>
    <t>Tristan da Silva</t>
  </si>
  <si>
    <t>Terrance Shannon</t>
  </si>
  <si>
    <t>Kel'el Ware</t>
  </si>
  <si>
    <t>2025 Rookie Draft: July 26 - ___ , 2025</t>
  </si>
  <si>
    <t>*** must take g-league eligible player</t>
  </si>
  <si>
    <t>Injuries for beginning of 25-26 season:</t>
  </si>
  <si>
    <t>Round 1 (Just Rookies)</t>
  </si>
  <si>
    <t>Round 2 (FA &amp; Rookies)</t>
  </si>
  <si>
    <t>Round 3 (Compensatory)</t>
  </si>
  <si>
    <t>Player</t>
  </si>
  <si>
    <t>Team</t>
  </si>
  <si>
    <t>Injury</t>
  </si>
  <si>
    <r>
      <rPr>
        <rFont val="Calibri, Arial"/>
        <b/>
        <color rgb="FF000000"/>
      </rPr>
      <t xml:space="preserve">#1: Baden: </t>
    </r>
    <r>
      <rPr>
        <rFont val="Calibri, Arial"/>
        <b val="0"/>
        <color rgb="FF000000"/>
      </rPr>
      <t>Cooper Flagg</t>
    </r>
  </si>
  <si>
    <r>
      <rPr>
        <rFont val="Calibri, Arial"/>
        <b/>
        <color rgb="FF000000"/>
      </rPr>
      <t xml:space="preserve">#1:  </t>
    </r>
    <r>
      <rPr>
        <rFont val="Calibri, Arial"/>
        <b/>
        <strike/>
        <color rgb="FF000000"/>
      </rPr>
      <t>Delaney</t>
    </r>
    <r>
      <rPr>
        <rFont val="Calibri, Arial"/>
        <b/>
        <color rgb="FF000000"/>
      </rPr>
      <t xml:space="preserve"> </t>
    </r>
    <r>
      <rPr>
        <rFont val="Calibri, Arial"/>
        <b/>
        <strike/>
        <color rgb="FF000000"/>
      </rPr>
      <t>Baden</t>
    </r>
    <r>
      <rPr>
        <rFont val="Calibri, Arial"/>
        <b/>
        <color rgb="FF000000"/>
      </rPr>
      <t xml:space="preserve"> Trager: </t>
    </r>
    <r>
      <rPr>
        <rFont val="Calibri, Arial"/>
        <b val="0"/>
        <color rgb="FF000000"/>
      </rPr>
      <t>Collin Murray-Boyles</t>
    </r>
    <r>
      <rPr>
        <rFont val="Calibri, Arial"/>
        <b/>
        <color rgb="FF000000"/>
      </rPr>
      <t xml:space="preserve"> </t>
    </r>
  </si>
  <si>
    <r>
      <rPr>
        <rFont val="Calibri, Arial"/>
        <b/>
        <color rgb="FF000000"/>
      </rPr>
      <t xml:space="preserve">#1: Baden: </t>
    </r>
    <r>
      <rPr>
        <rFont val="Calibri, Arial"/>
        <b val="0"/>
        <color rgb="FF000000"/>
      </rPr>
      <t>Walter Clayton Jr.</t>
    </r>
  </si>
  <si>
    <t>Jayson Tatum</t>
  </si>
  <si>
    <t>Achilles tear in playoffs</t>
  </si>
  <si>
    <r>
      <rPr>
        <rFont val="Calibri, Arial"/>
        <b/>
        <color rgb="FF000000"/>
      </rPr>
      <t xml:space="preserve">#2:  Zujewski: </t>
    </r>
    <r>
      <rPr>
        <rFont val="Calibri, Arial"/>
        <b val="0"/>
        <color rgb="FF000000"/>
      </rPr>
      <t>Dylan Harper</t>
    </r>
  </si>
  <si>
    <r>
      <rPr>
        <rFont val="Calibri, Arial"/>
        <b/>
        <color rgb="FF000000"/>
      </rPr>
      <t>#2:</t>
    </r>
    <r>
      <rPr>
        <rFont val="Calibri, Arial"/>
        <b/>
        <color rgb="FF0000FF"/>
      </rPr>
      <t xml:space="preserve"> </t>
    </r>
    <r>
      <rPr>
        <rFont val="Calibri, Arial"/>
        <b/>
        <color rgb="FF000000"/>
      </rPr>
      <t>Delaney:</t>
    </r>
    <r>
      <rPr>
        <rFont val="Calibri, Arial"/>
        <b val="0"/>
        <color rgb="FF000000"/>
      </rPr>
      <t xml:space="preserve"> Derik Queen</t>
    </r>
  </si>
  <si>
    <r>
      <rPr>
        <rFont val="Calibri, Arial"/>
        <b/>
        <color rgb="FF000000"/>
      </rPr>
      <t>#2:</t>
    </r>
    <r>
      <rPr>
        <rFont val="Calibri, Arial"/>
        <b/>
        <color rgb="FF0000FF"/>
      </rPr>
      <t xml:space="preserve"> </t>
    </r>
    <r>
      <rPr>
        <rFont val="Calibri, Arial"/>
        <b/>
        <color rgb="FF000000"/>
      </rPr>
      <t>Delaney*:</t>
    </r>
    <r>
      <rPr>
        <rFont val="Calibri, Arial"/>
        <b val="0"/>
        <color rgb="FF000000"/>
      </rPr>
      <t xml:space="preserve"> Hansen Yang</t>
    </r>
  </si>
  <si>
    <t>* injury exception</t>
  </si>
  <si>
    <t>Tyrese Haliburton</t>
  </si>
  <si>
    <r>
      <rPr>
        <rFont val="Calibri, Arial"/>
        <b/>
        <color rgb="FF000000"/>
      </rPr>
      <t xml:space="preserve">#3:  Delaney: </t>
    </r>
    <r>
      <rPr>
        <rFont val="Calibri, Arial"/>
        <b val="0"/>
        <color rgb="FF000000"/>
      </rPr>
      <t>VJ Edgecombe</t>
    </r>
  </si>
  <si>
    <r>
      <rPr>
        <rFont val="Calibri, Arial"/>
        <b/>
        <color rgb="FF000000"/>
      </rPr>
      <t xml:space="preserve">#3:  Kelvin: </t>
    </r>
    <r>
      <rPr>
        <rFont val="Calibri, Arial"/>
        <b val="0"/>
        <color rgb="FF000000"/>
      </rPr>
      <t>Thomas Sorber</t>
    </r>
  </si>
  <si>
    <r>
      <rPr>
        <rFont val="Calibri, Arial"/>
        <b/>
        <color rgb="FF000000"/>
      </rPr>
      <t xml:space="preserve">#3: Gold: </t>
    </r>
    <r>
      <rPr>
        <rFont val="Calibri, Arial"/>
        <b val="0"/>
        <color rgb="FF000000"/>
      </rPr>
      <t>Noa Essengue</t>
    </r>
  </si>
  <si>
    <t>Damian Lillard</t>
  </si>
  <si>
    <r>
      <rPr>
        <rFont val="Calibri, Arial"/>
        <b/>
        <color rgb="FF000000"/>
      </rPr>
      <t>#4:  Gold:</t>
    </r>
    <r>
      <rPr>
        <rFont val="Calibri, Arial"/>
        <b val="0"/>
        <color rgb="FF000000"/>
      </rPr>
      <t xml:space="preserve"> Ace Bailey</t>
    </r>
  </si>
  <si>
    <r>
      <rPr>
        <rFont val="Calibri, Arial"/>
        <b/>
        <color rgb="FF000000"/>
      </rPr>
      <t xml:space="preserve">#4:  Trager: </t>
    </r>
    <r>
      <rPr>
        <rFont val="Calibri, Arial"/>
        <b val="0"/>
        <color rgb="FF000000"/>
      </rPr>
      <t>Carter Bryant</t>
    </r>
  </si>
  <si>
    <t>#4:  Zujewski:</t>
  </si>
  <si>
    <t>Kyrie Irving</t>
  </si>
  <si>
    <t>Torn ACL (March 2025)</t>
  </si>
  <si>
    <r>
      <rPr>
        <rFont val="Calibri, Arial"/>
        <b/>
        <color rgb="FF000000"/>
      </rPr>
      <t xml:space="preserve">#5:  Zujewski: </t>
    </r>
    <r>
      <rPr>
        <rFont val="Calibri, Arial"/>
        <b val="0"/>
        <color rgb="FF000000"/>
      </rPr>
      <t>Kon Knueppel</t>
    </r>
  </si>
  <si>
    <r>
      <rPr>
        <rFont val="Calibri, Arial"/>
        <b/>
        <color rgb="FF000000"/>
      </rPr>
      <t>#5:   Jowkar:</t>
    </r>
    <r>
      <rPr>
        <rFont val="Calibri, Arial"/>
        <b val="0"/>
        <color rgb="FF000000"/>
      </rPr>
      <t xml:space="preserve"> Kasparas Jakucionis</t>
    </r>
  </si>
  <si>
    <r>
      <rPr>
        <rFont val="Calibri, Arial"/>
        <b/>
        <color rgb="FF000000"/>
      </rPr>
      <t xml:space="preserve">#5:  Moss: </t>
    </r>
    <r>
      <rPr>
        <rFont val="Calibri, Arial"/>
        <b val="0"/>
        <color rgb="FF000000"/>
      </rPr>
      <t>Jase Richardson</t>
    </r>
  </si>
  <si>
    <t>Dejounte Murray</t>
  </si>
  <si>
    <t>Achilles Tear (January 2025)</t>
  </si>
  <si>
    <r>
      <rPr>
        <rFont val="Calibri, Arial"/>
        <b/>
        <color rgb="FF000000"/>
      </rPr>
      <t xml:space="preserve">#6:  </t>
    </r>
    <r>
      <rPr>
        <rFont val="Calibri, Arial"/>
        <b/>
        <strike/>
        <color rgb="FF000000"/>
      </rPr>
      <t>Delaney</t>
    </r>
    <r>
      <rPr>
        <rFont val="Calibri, Arial"/>
        <b/>
        <color rgb="FF000000"/>
      </rPr>
      <t xml:space="preserve"> Baden: </t>
    </r>
    <r>
      <rPr>
        <rFont val="Calibri, Arial"/>
        <b val="0"/>
        <color rgb="FF000000"/>
      </rPr>
      <t>Egor Demin</t>
    </r>
  </si>
  <si>
    <r>
      <rPr>
        <rFont val="Calibri, Arial"/>
        <b/>
        <color rgb="FF000000"/>
      </rPr>
      <t>#6:   Baden:</t>
    </r>
    <r>
      <rPr>
        <rFont val="Calibri, Arial"/>
        <b val="0"/>
        <color rgb="FF000000"/>
      </rPr>
      <t xml:space="preserve"> Ryan Kalkbrenner</t>
    </r>
  </si>
  <si>
    <r>
      <rPr>
        <rFont val="Calibri, Arial"/>
        <b/>
        <color rgb="FF000000"/>
      </rPr>
      <t xml:space="preserve">#6:  Berke***: </t>
    </r>
    <r>
      <rPr>
        <rFont val="Calibri, Arial"/>
        <b val="0"/>
        <color rgb="FF000000"/>
      </rPr>
      <t>Kam Jones</t>
    </r>
  </si>
  <si>
    <t>Darius Garland</t>
  </si>
  <si>
    <t>Toe surgery (expected to miss start of szn)</t>
  </si>
  <si>
    <r>
      <rPr>
        <rFont val="Calibri, Arial"/>
        <b/>
        <color rgb="FF000000"/>
      </rPr>
      <t xml:space="preserve">#7:  </t>
    </r>
    <r>
      <rPr>
        <rFont val="Calibri, Arial"/>
        <b/>
        <strike/>
        <color rgb="FF000000"/>
      </rPr>
      <t>Baden</t>
    </r>
    <r>
      <rPr>
        <rFont val="Calibri, Arial"/>
        <b/>
        <color rgb="FF000000"/>
      </rPr>
      <t xml:space="preserve"> Delaney: </t>
    </r>
    <r>
      <rPr>
        <rFont val="Calibri, Arial"/>
        <b val="0"/>
        <color rgb="FF000000"/>
      </rPr>
      <t>Tre Johnson</t>
    </r>
  </si>
  <si>
    <r>
      <rPr>
        <rFont val="Calibri, Arial"/>
        <b/>
        <color rgb="FF000000"/>
      </rPr>
      <t xml:space="preserve">#7:   Delaney: </t>
    </r>
    <r>
      <rPr>
        <rFont val="Calibri, Arial"/>
        <b val="0"/>
        <color rgb="FF000000"/>
      </rPr>
      <t>Nique Clifford</t>
    </r>
  </si>
  <si>
    <r>
      <rPr>
        <rFont val="Calibri, Arial"/>
        <b/>
        <color rgb="FF000000"/>
      </rPr>
      <t xml:space="preserve">#7:  Kelvin*: </t>
    </r>
    <r>
      <rPr>
        <rFont val="Calibri, Arial"/>
        <b val="0"/>
        <color rgb="FF000000"/>
      </rPr>
      <t>Quentin Grimes (FA)</t>
    </r>
  </si>
  <si>
    <t>Paul George</t>
  </si>
  <si>
    <t>Surgery in July on his knee</t>
  </si>
  <si>
    <r>
      <rPr>
        <rFont val="Calibri, Arial"/>
        <b/>
        <color rgb="FF000000"/>
      </rPr>
      <t xml:space="preserve">#8:  </t>
    </r>
    <r>
      <rPr>
        <rFont val="Calibri, Arial"/>
        <b/>
        <strike/>
        <color rgb="FF000000"/>
      </rPr>
      <t>Baden</t>
    </r>
    <r>
      <rPr>
        <rFont val="Calibri, Arial"/>
        <b/>
        <color rgb="FF000000"/>
      </rPr>
      <t xml:space="preserve"> Delaney: </t>
    </r>
    <r>
      <rPr>
        <rFont val="Calibri, Arial"/>
        <b val="0"/>
        <color rgb="FF000000"/>
      </rPr>
      <t>Khaman Maluach</t>
    </r>
  </si>
  <si>
    <r>
      <rPr>
        <rFont val="Calibri, Arial"/>
        <b/>
        <color rgb="FF000000"/>
      </rPr>
      <t xml:space="preserve">#8:   Delaney: </t>
    </r>
    <r>
      <rPr>
        <rFont val="Calibri, Arial"/>
        <b val="0"/>
        <color rgb="FF000000"/>
      </rPr>
      <t>Joan Beringer</t>
    </r>
  </si>
  <si>
    <r>
      <rPr>
        <rFont val="Calibri, Arial"/>
        <b/>
        <color rgb="FF000000"/>
      </rPr>
      <t>#8: Green:</t>
    </r>
    <r>
      <rPr>
        <rFont val="Calibri, Arial"/>
        <b val="0"/>
        <color rgb="FF000000"/>
      </rPr>
      <t xml:space="preserve"> Davion Mitchell (FA)</t>
    </r>
  </si>
  <si>
    <t>Joel Embiid</t>
  </si>
  <si>
    <t>Surgery with unsure timetable</t>
  </si>
  <si>
    <r>
      <rPr>
        <rFont val="Calibri, Arial"/>
        <b/>
        <color rgb="FF000000"/>
      </rPr>
      <t xml:space="preserve">#9:  Baden: </t>
    </r>
    <r>
      <rPr>
        <rFont val="Calibri, Arial"/>
        <b val="0"/>
        <color rgb="FF000000"/>
      </rPr>
      <t>Cedric Coward</t>
    </r>
  </si>
  <si>
    <r>
      <rPr>
        <rFont val="Calibri, Arial"/>
        <b/>
        <color rgb="FF000000"/>
      </rPr>
      <t xml:space="preserve">#9:   </t>
    </r>
    <r>
      <rPr>
        <rFont val="Calibri, Arial"/>
        <b/>
        <strike/>
        <color rgb="FF000000"/>
      </rPr>
      <t>Baden</t>
    </r>
    <r>
      <rPr>
        <rFont val="Calibri, Arial"/>
        <b/>
        <color rgb="FF000000"/>
      </rPr>
      <t xml:space="preserve"> Trager: </t>
    </r>
    <r>
      <rPr>
        <rFont val="Calibri, Arial"/>
        <b val="0"/>
        <color rgb="FF000000"/>
      </rPr>
      <t>Santi Aldama (FA)</t>
    </r>
  </si>
  <si>
    <r>
      <rPr>
        <rFont val="Calibri, Arial"/>
        <b/>
        <color rgb="FF000000"/>
      </rPr>
      <t xml:space="preserve">#9: Jowkar: </t>
    </r>
    <r>
      <rPr>
        <rFont val="Calibri, Arial"/>
        <b val="0"/>
        <color rgb="FF000000"/>
      </rPr>
      <t>Noah Clowney (FA)</t>
    </r>
  </si>
  <si>
    <t>Derik Queen</t>
  </si>
  <si>
    <t>Surgery from injury in SL</t>
  </si>
  <si>
    <r>
      <rPr>
        <rFont val="Calibri, Arial"/>
        <b/>
        <color rgb="FF000000"/>
      </rPr>
      <t xml:space="preserve">#10: Zujewski: </t>
    </r>
    <r>
      <rPr>
        <rFont val="Calibri, Arial"/>
        <b val="0"/>
        <color rgb="FF000000"/>
      </rPr>
      <t>Jeramiah Fears</t>
    </r>
  </si>
  <si>
    <r>
      <rPr>
        <rFont val="Calibri, Arial"/>
        <b/>
        <color rgb="FF000000"/>
      </rPr>
      <t xml:space="preserve">#10:   Zujewski: </t>
    </r>
    <r>
      <rPr>
        <rFont val="Calibri, Arial"/>
        <b val="0"/>
        <color rgb="FF000000"/>
      </rPr>
      <t>Liam McNeeley</t>
    </r>
  </si>
  <si>
    <r>
      <rPr>
        <rFont val="Calibri, Arial"/>
        <b/>
        <color rgb="FF000000"/>
      </rPr>
      <t>#10: Trager:</t>
    </r>
    <r>
      <rPr>
        <rFont val="Calibri, Arial"/>
        <b val="0"/>
        <color rgb="FF000000"/>
      </rPr>
      <t xml:space="preserve"> Jay Huff (FA)</t>
    </r>
  </si>
  <si>
    <t>Round 4 (Compensatory)</t>
  </si>
  <si>
    <t>Round 5 (Compensatory)</t>
  </si>
  <si>
    <t>Round 6 (Compensatory)</t>
  </si>
  <si>
    <t>Round 7 (Compensatory)</t>
  </si>
  <si>
    <r>
      <rPr>
        <rFont val="Calibri, Arial"/>
        <b/>
        <color rgb="FF000000"/>
      </rPr>
      <t xml:space="preserve">#1: Baden: </t>
    </r>
    <r>
      <rPr>
        <rFont val="Calibri, Arial"/>
        <b val="0"/>
        <color rgb="FF000000"/>
      </rPr>
      <t>Day'Ron Sharpe (FA)</t>
    </r>
  </si>
  <si>
    <t xml:space="preserve">#1:  Baden: </t>
  </si>
  <si>
    <r>
      <rPr>
        <rFont val="Calibri, Arial"/>
        <b/>
        <color rgb="FF000000"/>
      </rPr>
      <t>#2:</t>
    </r>
    <r>
      <rPr>
        <rFont val="Calibri, Arial"/>
        <b/>
        <color rgb="FF0000FF"/>
      </rPr>
      <t xml:space="preserve"> </t>
    </r>
    <r>
      <rPr>
        <rFont val="Calibri, Arial"/>
        <b/>
        <color rgb="FF000000"/>
      </rPr>
      <t>Delaney*:</t>
    </r>
    <r>
      <rPr>
        <rFont val="Calibri, Arial"/>
        <b val="0"/>
        <color rgb="FF000000"/>
      </rPr>
      <t xml:space="preserve"> Keldon Johnson (FA)</t>
    </r>
  </si>
  <si>
    <t xml:space="preserve">#2:  Delaney: </t>
  </si>
  <si>
    <r>
      <rPr>
        <rFont val="Calibri, Arial"/>
        <b/>
        <color rgb="FF000000"/>
      </rPr>
      <t xml:space="preserve">#3: Gold: </t>
    </r>
    <r>
      <rPr>
        <rFont val="Calibri, Arial"/>
        <b val="0"/>
        <color rgb="FF000000"/>
      </rPr>
      <t>Asa Newell</t>
    </r>
  </si>
  <si>
    <t xml:space="preserve">#3: Gold: </t>
  </si>
  <si>
    <r>
      <rPr>
        <rFont val="Calibri, Arial"/>
        <b/>
        <color rgb="FF000000"/>
      </rPr>
      <t xml:space="preserve">#5:  Moss: </t>
    </r>
    <r>
      <rPr>
        <rFont val="Calibri, Arial"/>
        <b val="0"/>
        <color rgb="FF000000"/>
      </rPr>
      <t>Adem Bona</t>
    </r>
  </si>
  <si>
    <r>
      <rPr>
        <rFont val="Calibri, Arial"/>
        <b/>
        <color rgb="FF000000"/>
      </rPr>
      <t xml:space="preserve">#5:  Moss*: </t>
    </r>
    <r>
      <rPr>
        <rFont val="Calibri, Arial"/>
        <b val="0"/>
        <color rgb="FF000000"/>
      </rPr>
      <t>Dennis Schroder</t>
    </r>
  </si>
  <si>
    <r>
      <rPr>
        <rFont val="Calibri, Arial"/>
        <b/>
        <color rgb="FF000000"/>
      </rPr>
      <t xml:space="preserve">#5:  Moss*: </t>
    </r>
    <r>
      <rPr>
        <rFont val="Calibri, Arial"/>
        <b val="0"/>
        <color rgb="FF000000"/>
      </rPr>
      <t>AJ Johnson</t>
    </r>
  </si>
  <si>
    <r>
      <rPr>
        <rFont val="Calibri, Arial"/>
        <b/>
        <color rgb="FF000000"/>
      </rPr>
      <t xml:space="preserve">#5:  Moss*: </t>
    </r>
    <r>
      <rPr>
        <rFont val="Calibri, Arial"/>
        <b val="0"/>
        <color rgb="FF000000"/>
      </rPr>
      <t>Mouhamed Gueye</t>
    </r>
  </si>
  <si>
    <t>#6:  Berke***: *Skipping his pick*</t>
  </si>
  <si>
    <t xml:space="preserve">#6:  Berke: </t>
  </si>
  <si>
    <r>
      <rPr>
        <rFont val="Calibri, Arial"/>
        <b/>
        <color rgb="FF000000"/>
      </rPr>
      <t xml:space="preserve">#7:   Kelvin*: </t>
    </r>
    <r>
      <rPr>
        <rFont val="Calibri, Arial"/>
        <b val="0"/>
        <color rgb="FF000000"/>
      </rPr>
      <t>Ryan Rollins</t>
    </r>
  </si>
  <si>
    <r>
      <rPr>
        <rFont val="Calibri, Arial"/>
        <b/>
        <color rgb="FF000000"/>
      </rPr>
      <t xml:space="preserve">#7:   Kelvin*: </t>
    </r>
    <r>
      <rPr>
        <rFont val="Calibri, Arial"/>
        <b val="0"/>
        <color rgb="FF000000"/>
      </rPr>
      <t>Buddy Heild</t>
    </r>
  </si>
  <si>
    <r>
      <rPr>
        <rFont val="Calibri, Arial"/>
        <b/>
        <color rgb="FF000000"/>
      </rPr>
      <t xml:space="preserve">#7:  </t>
    </r>
    <r>
      <rPr>
        <rFont val="Calibri, Arial"/>
        <b/>
        <strike/>
        <color rgb="FF000000"/>
      </rPr>
      <t xml:space="preserve"> Kelvin*: </t>
    </r>
  </si>
  <si>
    <r>
      <rPr>
        <rFont val="Calibri, Arial"/>
        <b/>
        <color rgb="FF000000"/>
      </rPr>
      <t xml:space="preserve">#7:  </t>
    </r>
    <r>
      <rPr>
        <rFont val="Calibri, Arial"/>
        <b/>
        <strike/>
        <color rgb="FF000000"/>
      </rPr>
      <t xml:space="preserve"> Kelvin*: </t>
    </r>
  </si>
  <si>
    <r>
      <rPr>
        <rFont val="Calibri, Arial"/>
        <b/>
        <color rgb="FF000000"/>
      </rPr>
      <t>#8: Green:</t>
    </r>
    <r>
      <rPr>
        <rFont val="Calibri, Arial"/>
        <b val="0"/>
        <color rgb="FF000000"/>
      </rPr>
      <t xml:space="preserve"> Rasheer Fleming</t>
    </r>
  </si>
  <si>
    <t xml:space="preserve">#8:  Green: </t>
  </si>
  <si>
    <t xml:space="preserve">#9:  Jowkar: </t>
  </si>
  <si>
    <t xml:space="preserve">#10:  Trager: </t>
  </si>
  <si>
    <t>Draft History 2021-2024 &amp; Draft Order based on results</t>
  </si>
  <si>
    <t>Round 1</t>
  </si>
  <si>
    <t>Round 2</t>
  </si>
  <si>
    <t>Round 3</t>
  </si>
  <si>
    <r>
      <rPr>
        <rFont val="Calibri, Arial"/>
        <b/>
        <color rgb="FF000000"/>
        <sz val="12.0"/>
      </rPr>
      <t xml:space="preserve">#1.1: 40% lottery odds (can't get worse than 3rd overall)
</t>
    </r>
    <r>
      <rPr>
        <rFont val="Calibri, Arial"/>
        <b val="0"/>
        <color rgb="FF000000"/>
        <sz val="12.0"/>
      </rPr>
      <t>2024: Reed Sheppard
2023: Victor Wembenyama
2022: Chet Holmgren
2021: Cade Cunningham</t>
    </r>
  </si>
  <si>
    <r>
      <rPr>
        <rFont val="Calibri, Arial"/>
        <b/>
        <color rgb="FF000000"/>
        <sz val="12.0"/>
      </rPr>
      <t xml:space="preserve">#2.1: Worst regular season record
</t>
    </r>
    <r>
      <rPr>
        <rFont val="Calibri, Arial"/>
        <b val="0"/>
        <color rgb="FF000000"/>
        <sz val="12.0"/>
      </rPr>
      <t>2024: Rob Dillingham
2023: Taylor Hendricks
2022: Mark Williams
2021: Moses Moody</t>
    </r>
  </si>
  <si>
    <r>
      <rPr>
        <rFont val="Calibri, Arial"/>
        <b/>
        <color rgb="FF000000"/>
        <sz val="12.0"/>
      </rPr>
      <t xml:space="preserve">#3.1: Worst regular season record
</t>
    </r>
    <r>
      <rPr>
        <rFont val="Calibri, Arial"/>
        <b val="0"/>
        <color rgb="FF000000"/>
        <sz val="12.0"/>
      </rPr>
      <t>2024: Kyle Filipowski
2023: Brice Sensabaugh
2022: Steven Adams
2021: Onyeka Okongwu</t>
    </r>
  </si>
  <si>
    <r>
      <rPr>
        <rFont val="Calibri, Arial"/>
        <b/>
        <color rgb="FF000000"/>
        <sz val="12.0"/>
      </rPr>
      <t xml:space="preserve">#1.2: 30% lottery odds
</t>
    </r>
    <r>
      <rPr>
        <rFont val="Calibri, Arial"/>
        <b val="0"/>
        <color rgb="FF000000"/>
        <sz val="12.0"/>
      </rPr>
      <t>2024: Stephon Castle
2023: Scoot Henderson
2022: Paolo Bonchero
2021: Jalen Green</t>
    </r>
  </si>
  <si>
    <r>
      <rPr>
        <rFont val="Calibri, Arial"/>
        <b/>
        <color rgb="FF000000"/>
        <sz val="12.0"/>
      </rPr>
      <t xml:space="preserve">#2.2: 2nd worst regular season record
</t>
    </r>
    <r>
      <rPr>
        <rFont val="Calibri, Arial"/>
        <b val="0"/>
        <color rgb="FF000000"/>
        <sz val="12.0"/>
      </rPr>
      <t>2024: Kel'El Ware
2023: Keyonte George
2022: Jalen Williams
2021: Marvin Bagley III</t>
    </r>
  </si>
  <si>
    <r>
      <rPr>
        <rFont val="Calibri, Arial"/>
        <b/>
        <color rgb="FF000000"/>
        <sz val="12.0"/>
      </rPr>
      <t xml:space="preserve">#3.2: 2nd worst regular season record
</t>
    </r>
    <r>
      <rPr>
        <rFont val="Calibri, Arial"/>
        <b val="0"/>
        <color rgb="FF000000"/>
        <sz val="12.0"/>
      </rPr>
      <t>2024: Jared McCain
2023: Peyton Watson
2022: Dorian Finey-Smith
2021: Seth Curry</t>
    </r>
  </si>
  <si>
    <r>
      <rPr>
        <rFont val="Calibri, Arial"/>
        <b/>
        <color rgb="FF000000"/>
        <sz val="12.0"/>
      </rPr>
      <t xml:space="preserve">#1.3: 20% lottery odds
</t>
    </r>
    <r>
      <rPr>
        <rFont val="Calibri, Arial"/>
        <b val="0"/>
        <color rgb="FF000000"/>
        <sz val="12.0"/>
      </rPr>
      <t>2024: Donovan Clingan
2023: Amen Thompson
2022: Jabari Smith Jr
2021: Jalen Suggs</t>
    </r>
  </si>
  <si>
    <r>
      <rPr>
        <rFont val="Calibri, Arial"/>
        <b/>
        <color rgb="FF000000"/>
        <sz val="12.0"/>
      </rPr>
      <t xml:space="preserve">#2.3: 3rd worst regular season record
</t>
    </r>
    <r>
      <rPr>
        <rFont val="Calibri, Arial"/>
        <b val="0"/>
        <color rgb="FF000000"/>
        <sz val="12.0"/>
      </rPr>
      <t>2024: Devin Carter
2023: Cason Wallace
2022: Jeremy Sochan
2021: Cam Thomas</t>
    </r>
  </si>
  <si>
    <r>
      <rPr>
        <rFont val="Calibri, Arial"/>
        <b/>
        <color rgb="FF000000"/>
        <sz val="12.0"/>
      </rPr>
      <t xml:space="preserve">#3.3: 3rd worst regular season record
</t>
    </r>
    <r>
      <rPr>
        <rFont val="Calibri, Arial"/>
        <b val="0"/>
        <color rgb="FF000000"/>
        <sz val="12.0"/>
      </rPr>
      <t>2024: Ayo Dosumnu
2023: Jalen Hood-Schifino
2022: Blake Wesley
2021: Markelle Fultz</t>
    </r>
  </si>
  <si>
    <r>
      <rPr>
        <rFont val="Calibri, Arial"/>
        <b/>
        <color rgb="FF000000"/>
        <sz val="12.0"/>
      </rPr>
      <t xml:space="preserve">#1.4: 10% lottery odds
</t>
    </r>
    <r>
      <rPr>
        <rFont val="Calibri, Arial"/>
        <b val="0"/>
        <color rgb="FF000000"/>
        <sz val="12.0"/>
      </rPr>
      <t>2024: Zach Edey
2023: Brandon Miller
2022: Jaden Ivey
2021: Evan Mobley</t>
    </r>
  </si>
  <si>
    <r>
      <rPr>
        <rFont val="Calibri, Arial"/>
        <b/>
        <color rgb="FF000000"/>
        <sz val="12.0"/>
      </rPr>
      <t xml:space="preserve">#2.4: 4th worst regular season record
</t>
    </r>
    <r>
      <rPr>
        <rFont val="Calibri, Arial"/>
        <b val="0"/>
        <color rgb="FF000000"/>
        <sz val="12.0"/>
      </rPr>
      <t>2024: Cody Williams
2023: Jordan Hawkins
2022: Walker Kessler
2021: Jaden McDaniels</t>
    </r>
  </si>
  <si>
    <r>
      <rPr>
        <rFont val="Calibri, Arial"/>
        <b/>
        <color rgb="FF000000"/>
        <sz val="12.0"/>
      </rPr>
      <t xml:space="preserve">#3.4: 4th worst regular season record
</t>
    </r>
    <r>
      <rPr>
        <rFont val="Calibri, Arial"/>
        <b val="0"/>
        <color rgb="FF000000"/>
        <sz val="12.0"/>
      </rPr>
      <t>2024: Vince Williams
2023: Nick Smith
2022: Jae'Sean Tate
2021: Nerlens Noel</t>
    </r>
  </si>
  <si>
    <r>
      <rPr>
        <rFont val="Calibri, Arial"/>
        <b/>
        <color rgb="FF000000"/>
        <sz val="12.0"/>
      </rPr>
      <t xml:space="preserve">#1.5: Loser of Play-in Round (worse record)
</t>
    </r>
    <r>
      <rPr>
        <rFont val="Calibri, Arial"/>
        <b val="0"/>
        <color rgb="FF000000"/>
        <sz val="12.0"/>
      </rPr>
      <t>2024: Alex Sarr
2023: Ausar Thompson
2022: Keegan Murray
2021: Josh Giddey</t>
    </r>
  </si>
  <si>
    <r>
      <rPr>
        <rFont val="Calibri, Arial"/>
        <b/>
        <color rgb="FF000000"/>
        <sz val="12.0"/>
      </rPr>
      <t xml:space="preserve">#2.5: Loser of Play-in Round (worse record)
</t>
    </r>
    <r>
      <rPr>
        <rFont val="Calibri, Arial"/>
        <b val="0"/>
        <color rgb="FF000000"/>
        <sz val="12.0"/>
      </rPr>
      <t>2024: Tidjane Salaun
2023: Leonard Miller
2022: Jake Laravia
2021: Chris Duarte</t>
    </r>
  </si>
  <si>
    <r>
      <rPr>
        <rFont val="Calibri,Arial"/>
        <b/>
        <color theme="1"/>
        <sz val="12.0"/>
      </rPr>
      <t xml:space="preserve">#3.5: Loser of Play-in Round (worse record)
</t>
    </r>
    <r>
      <rPr>
        <rFont val="Calibri,Arial"/>
        <b val="0"/>
        <color theme="1"/>
        <sz val="12.0"/>
      </rPr>
      <t>2024: Daron Holmes
2023: Olivier-Maxence Prosper
2022: Bojan Bogdonavic
2021: Doug Mcdermott</t>
    </r>
  </si>
  <si>
    <r>
      <rPr>
        <rFont val="Calibri, Arial"/>
        <b/>
        <color rgb="FF000000"/>
        <sz val="12.0"/>
      </rPr>
      <t xml:space="preserve">#1.6: Loser of Play-in Round (better record)
</t>
    </r>
    <r>
      <rPr>
        <rFont val="Calibri, Arial"/>
        <b val="0"/>
        <color rgb="FF000000"/>
        <sz val="12.0"/>
      </rPr>
      <t>2024: Matas Buzelis
2023: Jarace Walker
2022: Jalen Duren
2021: Scottie Barnes</t>
    </r>
  </si>
  <si>
    <r>
      <rPr>
        <rFont val="Calibri, Arial"/>
        <b/>
        <color rgb="FF000000"/>
        <sz val="12.0"/>
      </rPr>
      <t xml:space="preserve">#2.6: Loser of Play-in Round (better record)
</t>
    </r>
    <r>
      <rPr>
        <rFont val="Calibri, Arial"/>
        <b val="0"/>
        <color rgb="FF000000"/>
        <sz val="12.0"/>
      </rPr>
      <t>2024: Yves Missi
2023: Brandin Podziemski
2022: Malaki Branham
2021: Zaire Williams</t>
    </r>
  </si>
  <si>
    <r>
      <rPr>
        <rFont val="Calibri,Arial"/>
        <b/>
        <color theme="1"/>
        <sz val="12.0"/>
      </rPr>
      <t xml:space="preserve">#3.6: Loser of Play-in Round (better record)
</t>
    </r>
    <r>
      <rPr>
        <rFont val="Calibri,Arial"/>
        <b val="0"/>
        <color theme="1"/>
        <sz val="12.0"/>
      </rPr>
      <t>2024: Rui Hachimura
2023: James Nnaji
2022: Daniel Gafford
2021: Bones Hyland</t>
    </r>
  </si>
  <si>
    <r>
      <rPr>
        <rFont val="Calibri, Arial"/>
        <b/>
        <color rgb="FF000000"/>
        <sz val="12.0"/>
      </rPr>
      <t xml:space="preserve">#1.7: Worst record of teams getting money back
</t>
    </r>
    <r>
      <rPr>
        <rFont val="Calibri, Arial"/>
        <b val="0"/>
        <color rgb="FF000000"/>
        <sz val="12.0"/>
      </rPr>
      <t>2024: Bub Carrington
2023: Derek Lively II
2022: Bennedict Mathurin
2021: James Bouknight</t>
    </r>
  </si>
  <si>
    <r>
      <rPr>
        <rFont val="Calibri, Arial"/>
        <b/>
        <color rgb="FF000000"/>
        <sz val="12.0"/>
      </rPr>
      <t xml:space="preserve">#2.7: Worst record of teams getting money back
</t>
    </r>
    <r>
      <rPr>
        <rFont val="Calibri, Arial"/>
        <b val="0"/>
        <color rgb="FF000000"/>
        <sz val="12.0"/>
      </rPr>
      <t>2024: Isaiah Collier
2023: Kobe Bufkin
2022: TyTy Washington
2021: Victor Oladipo</t>
    </r>
  </si>
  <si>
    <r>
      <rPr>
        <rFont val="Calibri,Arial"/>
        <b/>
        <color theme="1"/>
        <sz val="12.0"/>
      </rPr>
      <t xml:space="preserve">#3.7: Worst record of teams getting money back
</t>
    </r>
    <r>
      <rPr>
        <rFont val="Calibri,Arial"/>
        <b val="0"/>
        <color theme="1"/>
        <sz val="12.0"/>
      </rPr>
      <t>2024: Malcolm Brogdon
2023: Dennis Schroder
2022: Kevin Looney
2021: Devin Vassell</t>
    </r>
  </si>
  <si>
    <r>
      <rPr>
        <rFont val="Calibri, Arial"/>
        <b/>
        <color rgb="FF000000"/>
        <sz val="12.0"/>
      </rPr>
      <t xml:space="preserve">#1.8: Middle record of teams getting money back
</t>
    </r>
    <r>
      <rPr>
        <rFont val="Calibri, Arial"/>
        <b val="0"/>
        <color rgb="FF000000"/>
        <sz val="12.0"/>
      </rPr>
      <t>2024: Nikola Topic
2023: Bilal Coulibaly
2022: Shaedon Sharpe
2021: Alperen Sengun</t>
    </r>
  </si>
  <si>
    <r>
      <rPr>
        <rFont val="Calibri, Arial"/>
        <b/>
        <color rgb="FF000000"/>
        <sz val="12.0"/>
      </rPr>
      <t xml:space="preserve">#2.8: Middle record of teams getting money back
</t>
    </r>
    <r>
      <rPr>
        <rFont val="Calibri, Arial"/>
        <b val="0"/>
        <color rgb="FF000000"/>
        <sz val="12.0"/>
      </rPr>
      <t>2024: Dalton Knecht
2023: Saddiq Bey
2022: Johnny Davis
2021: Chuma Okeke</t>
    </r>
  </si>
  <si>
    <r>
      <rPr>
        <rFont val="Calibri,Arial"/>
        <b/>
        <color theme="1"/>
        <sz val="12.0"/>
      </rPr>
      <t xml:space="preserve">#3.8: Middle record of teams getting money back
</t>
    </r>
    <r>
      <rPr>
        <rFont val="Calibri,Arial"/>
        <b val="0"/>
        <color theme="1"/>
        <sz val="12.0"/>
      </rPr>
      <t>2024: Tre Jones
2023: Jonathan Isaac
2022: Chris Boucher
2021: Cameron Johnson</t>
    </r>
  </si>
  <si>
    <r>
      <rPr>
        <rFont val="Calibri, Arial"/>
        <b/>
        <color rgb="FF000000"/>
        <sz val="12.0"/>
      </rPr>
      <t xml:space="preserve">#1.9: Best record of teams getting money back
</t>
    </r>
    <r>
      <rPr>
        <rFont val="Calibri, Arial"/>
        <b val="0"/>
        <color rgb="FF000000"/>
        <sz val="12.0"/>
      </rPr>
      <t>2024: Zaccharie Risacher
2023: Anthony Black
2022: Tari Eason
2021: Davion Mitchell</t>
    </r>
  </si>
  <si>
    <r>
      <rPr>
        <rFont val="Calibri, Arial"/>
        <b/>
        <color rgb="FF000000"/>
        <sz val="12.0"/>
      </rPr>
      <t xml:space="preserve">#2.9: Best record of teams getting money back
</t>
    </r>
    <r>
      <rPr>
        <rFont val="Calibri, Arial"/>
        <b val="0"/>
        <color rgb="FF000000"/>
        <sz val="12.0"/>
      </rPr>
      <t>2024: Kelly Oubre
2023: Jett Howard
2022: AJ Griffin
2021: Lonnie Walker IV</t>
    </r>
  </si>
  <si>
    <r>
      <rPr>
        <rFont val="Calibri,Arial"/>
        <b/>
        <color theme="1"/>
        <sz val="12.0"/>
      </rPr>
      <t xml:space="preserve">#3.9: Best record of teams getting money back
</t>
    </r>
    <r>
      <rPr>
        <rFont val="Calibri,Arial"/>
        <b val="0"/>
        <color theme="1"/>
        <sz val="12.0"/>
      </rPr>
      <t>2024: Jakobe Walter
2023: Caleb Martin
2022: Rui Hachimura
2021: Nicholas Claxton</t>
    </r>
  </si>
  <si>
    <r>
      <rPr>
        <rFont val="Calibri, Arial"/>
        <b/>
        <color rgb="FF000000"/>
        <sz val="12.0"/>
      </rPr>
      <t xml:space="preserve">#1.10: Champion
</t>
    </r>
    <r>
      <rPr>
        <rFont val="Calibri, Arial"/>
        <b val="0"/>
        <color rgb="FF000000"/>
        <sz val="12.0"/>
      </rPr>
      <t>2024: Ron Holland
2023: Gradey Dick
2022: Dyson Daniels
2021: Jonathan Kuminga</t>
    </r>
  </si>
  <si>
    <r>
      <rPr>
        <rFont val="Calibri, Arial"/>
        <b/>
        <color rgb="FF000000"/>
        <sz val="12.0"/>
      </rPr>
      <t xml:space="preserve">#2.10: Champion
</t>
    </r>
    <r>
      <rPr>
        <rFont val="Calibri, Arial"/>
        <b val="0"/>
        <color rgb="FF000000"/>
        <sz val="12.0"/>
      </rPr>
      <t>2024: Terrance Shannon Jr. 
2023: Jaime Jacquez
2022: Quentin Grimes
2021: Josh Christopher</t>
    </r>
  </si>
  <si>
    <r>
      <rPr>
        <rFont val="Calibri,Arial"/>
        <b/>
        <color theme="1"/>
        <sz val="12.0"/>
      </rPr>
      <t xml:space="preserve">#3.10: Champion
</t>
    </r>
    <r>
      <rPr>
        <rFont val="Calibri,Arial"/>
        <b val="0"/>
        <color theme="1"/>
        <sz val="12.0"/>
      </rPr>
      <t>2024: Robert Williams III
2023: Grant Williams
2022: Jaden Hardy
2021: Desmond Bane</t>
    </r>
  </si>
  <si>
    <r>
      <rPr>
        <rFont val="Calibri, Arial"/>
        <b/>
        <color rgb="FF000000"/>
        <sz val="12.0"/>
      </rPr>
      <t xml:space="preserve">#10: Comp Pick (if needed)
</t>
    </r>
    <r>
      <rPr>
        <rFont val="Calibri, Arial"/>
        <b val="0"/>
        <color rgb="FF000000"/>
        <sz val="12.0"/>
      </rPr>
      <t>2023: Cam Whitmore</t>
    </r>
  </si>
  <si>
    <t>2026-27 Fantasy Season</t>
  </si>
  <si>
    <r>
      <rPr>
        <rFont val="Arial"/>
        <color theme="1"/>
        <sz val="11.0"/>
      </rPr>
      <t>1st Round Trager (</t>
    </r>
    <r>
      <rPr>
        <rFont val="Arial"/>
        <color rgb="FFFBBC04"/>
        <sz val="11.0"/>
      </rPr>
      <t>right to swap w/Baden 2027 FRP*</t>
    </r>
    <r>
      <rPr>
        <rFont val="Arial"/>
        <color theme="1"/>
        <sz val="11.0"/>
      </rPr>
      <t>)</t>
    </r>
  </si>
  <si>
    <t>1st Round Peterson</t>
  </si>
  <si>
    <r>
      <rPr>
        <rFont val="Arial"/>
        <color rgb="FF000000"/>
        <sz val="11.0"/>
      </rPr>
      <t>1st Round Moss (</t>
    </r>
    <r>
      <rPr>
        <rFont val="Arial"/>
        <color rgb="FFFBBC04"/>
        <sz val="11.0"/>
      </rPr>
      <t>Baden 2027 FRP owns swap rights</t>
    </r>
    <r>
      <rPr>
        <rFont val="Arial"/>
        <color rgb="FF000000"/>
        <sz val="11.0"/>
      </rPr>
      <t>)</t>
    </r>
  </si>
  <si>
    <r>
      <rPr>
        <rFont val="Arial"/>
        <color theme="1"/>
        <sz val="11.0"/>
      </rPr>
      <t>1st Round Baden* (</t>
    </r>
    <r>
      <rPr>
        <rFont val="Arial"/>
        <color rgb="FFFBBC04"/>
        <sz val="11.0"/>
      </rPr>
      <t>Trager 2027 FRP owns swap rights</t>
    </r>
    <r>
      <rPr>
        <rFont val="Arial"/>
        <color theme="1"/>
        <sz val="11.0"/>
      </rPr>
      <t>) (</t>
    </r>
    <r>
      <rPr>
        <rFont val="Arial"/>
        <color rgb="FFFBBC04"/>
        <sz val="11.0"/>
      </rPr>
      <t>right to swap w/Moss 2027 FRP</t>
    </r>
    <r>
      <rPr>
        <rFont val="Arial"/>
        <color theme="1"/>
        <sz val="11.0"/>
      </rPr>
      <t>)</t>
    </r>
  </si>
  <si>
    <t>1st Round Jowkar</t>
  </si>
  <si>
    <t xml:space="preserve">2nd Round Green </t>
  </si>
  <si>
    <t>* Protected Top 3, conveys to Baden 2028 FRP if it doesn't convey</t>
  </si>
  <si>
    <t>Swap rights</t>
  </si>
  <si>
    <t>1st Round Baden*</t>
  </si>
  <si>
    <t>* Conveys to Trager if Kelley 2027 FRP swap connected to Trager FRP becomes 1-3</t>
  </si>
  <si>
    <t>*Conveys to Moss if Kelley 2027 FRP swap connected to Trager FRP becomes 4-10</t>
  </si>
  <si>
    <t>* Conveys to Moss if Baden 2027 FRP swap connected to Trager FRP becomes 1-3</t>
  </si>
  <si>
    <t>2029-30 Fantasy Season</t>
  </si>
  <si>
    <t>"The Offseason" : 2030</t>
  </si>
  <si>
    <t>Twin Towers</t>
  </si>
  <si>
    <t>Ball Don't Lie</t>
  </si>
  <si>
    <t>Washed Kings</t>
  </si>
  <si>
    <t>Ice Trae</t>
  </si>
  <si>
    <t>Giddey Up</t>
  </si>
  <si>
    <t>Pure Sweat Fam</t>
  </si>
  <si>
    <t>Flaming Flaggs</t>
  </si>
  <si>
    <t>Droppin Dimes</t>
  </si>
  <si>
    <t>Only Franz</t>
  </si>
  <si>
    <t>1st Round Picks</t>
  </si>
  <si>
    <t>2nd Round Picks</t>
  </si>
  <si>
    <t>Total Picks</t>
  </si>
  <si>
    <t>2030-31 Fantasy Season</t>
  </si>
  <si>
    <t>"The Offseason" : 2031</t>
  </si>
  <si>
    <t>Min 24000</t>
  </si>
  <si>
    <t>Min 25000</t>
  </si>
  <si>
    <t>Most Points In a Day</t>
  </si>
  <si>
    <t>Rank</t>
  </si>
  <si>
    <t>Most Points For In a Season</t>
  </si>
  <si>
    <t>Most Points Against In a Season</t>
  </si>
  <si>
    <t>Most Points in a Week</t>
  </si>
  <si>
    <t>Date</t>
  </si>
  <si>
    <t>Score</t>
  </si>
  <si>
    <t>Most Top 50 Points Days</t>
  </si>
  <si>
    <t>Kelvin - 34645 (2022-23)</t>
  </si>
  <si>
    <t>Green - 28338 (2021-22)</t>
  </si>
  <si>
    <t>Kelvin - 2437 (23-24 Week 12)</t>
  </si>
  <si>
    <t>Kelvin - 31260  (2023-24)</t>
  </si>
  <si>
    <t>Kelvin - 27752 (2021-22)</t>
  </si>
  <si>
    <t>Kelvin - 2430 (22-23 Week 14)</t>
  </si>
  <si>
    <t>3/11/23</t>
  </si>
  <si>
    <t>Moss - 30725 (2022-23)</t>
  </si>
  <si>
    <t>Spencer - 27534 (2021-22)</t>
  </si>
  <si>
    <t>Kelvin - 2416 (22-23 Week 12)</t>
  </si>
  <si>
    <t>Kelvin - 30042 (2021-22)</t>
  </si>
  <si>
    <t>Zujewski - 27301 (2021-22)</t>
  </si>
  <si>
    <t>Kelvin - 2401 (22-23 Week 16)</t>
  </si>
  <si>
    <t>12/14/22</t>
  </si>
  <si>
    <t>Trager - 29711 (2021-22)</t>
  </si>
  <si>
    <t>Gold - 27275 (2022-23)</t>
  </si>
  <si>
    <t>Kelvin - 2395 (22-23 Week 13)</t>
  </si>
  <si>
    <t>1/2/23</t>
  </si>
  <si>
    <t>Logan - 29620 (2021-22)</t>
  </si>
  <si>
    <t>Green - 26967 (2022-23)</t>
  </si>
  <si>
    <t>Moss - 2346 (22-23 Week 11)</t>
  </si>
  <si>
    <t>Moss - 29128 (2021-22)</t>
  </si>
  <si>
    <t>Jowkar - 26914 (2022-23)</t>
  </si>
  <si>
    <t>Kelvin - 2322 (23-24 Week 8)</t>
  </si>
  <si>
    <t>12/18/23</t>
  </si>
  <si>
    <t>Jowkar - 28877 (2023-24)</t>
  </si>
  <si>
    <t>Delaney - 26862 (2022-23)</t>
  </si>
  <si>
    <t>Trager - 2316 (24-25 Week 16)</t>
  </si>
  <si>
    <t>1/15/23</t>
  </si>
  <si>
    <t>Jowkar - 28688 (2024-25)</t>
  </si>
  <si>
    <t>Trager - 26555 (2022-23)</t>
  </si>
  <si>
    <t>Jowkar - 2267 (23-24 Week 15)</t>
  </si>
  <si>
    <t>3/10/24</t>
  </si>
  <si>
    <t>Delaney - 28416 (2022-23)</t>
  </si>
  <si>
    <t>Spencer - 26500 (2022-23)</t>
  </si>
  <si>
    <t>Kelvin - 2256 (23-24 Week 10)</t>
  </si>
  <si>
    <t>10/30/23</t>
  </si>
  <si>
    <t>Green - 28274 (2024-25)</t>
  </si>
  <si>
    <t>Logan - 26128 (2022-23)</t>
  </si>
  <si>
    <t>Kelvin - 2255 (22-23 Week 17)</t>
  </si>
  <si>
    <t>Green - 28050 (2023-24)</t>
  </si>
  <si>
    <t>Zujewski - 25667 (2023-24)</t>
  </si>
  <si>
    <t>Kelvin - 2224 (22-23 Week 11)</t>
  </si>
  <si>
    <t>11/6/24</t>
  </si>
  <si>
    <t>Logan - 27782 (2023-24)</t>
  </si>
  <si>
    <t>Zujewski - 25641 (2022-23)</t>
  </si>
  <si>
    <t>Green - 2211 (24-25 Week 14)</t>
  </si>
  <si>
    <t>2/4/23</t>
  </si>
  <si>
    <t>Highest single game scoring all time</t>
  </si>
  <si>
    <t>Trager - 27702 (2024-25)</t>
  </si>
  <si>
    <t>Gold - 25154 (2023-24)</t>
  </si>
  <si>
    <t>Logan - 2206 (23-24 Week 15)</t>
  </si>
  <si>
    <t>Kelvin - 26734 (2024-25)</t>
  </si>
  <si>
    <t>Peterson - 25008 (2024-25)</t>
  </si>
  <si>
    <t>Kelvin - 2205 (23-24 Week 15)</t>
  </si>
  <si>
    <t>Spencer - 26515 (2022-23)</t>
  </si>
  <si>
    <t>Kelvin - 2201 (23-24 Week 16)</t>
  </si>
  <si>
    <t>Logan - 26180 (2022-23)</t>
  </si>
  <si>
    <t>Kelvin - 2201 (22-23 Week 15)</t>
  </si>
  <si>
    <t xml:space="preserve">Doncic </t>
  </si>
  <si>
    <t>Logan - 25127 (2024-25)</t>
  </si>
  <si>
    <t>Moss - 2199 (20-21 Week 14)</t>
  </si>
  <si>
    <t>Luka</t>
  </si>
  <si>
    <t>Moss - 24703 (2024-25)</t>
  </si>
  <si>
    <t>Green - 2166 (23-24 Week 15)</t>
  </si>
  <si>
    <t>3/1/24</t>
  </si>
  <si>
    <t>Embiid</t>
  </si>
  <si>
    <t>Logan - 24391 (2020-21)</t>
  </si>
  <si>
    <t>Jowkar - 2155 (24-25 Week 6)</t>
  </si>
  <si>
    <t>Zujewski - 24273 (2024-25)</t>
  </si>
  <si>
    <t>Logan - 2150 (21-22 Week 7)</t>
  </si>
  <si>
    <t>Green - 24191 (2022-23)</t>
  </si>
  <si>
    <t>Jowkar - 2138 (24-25 Week 3)</t>
  </si>
  <si>
    <t>Giannis</t>
  </si>
  <si>
    <t>Kelvin - 24115 (2020-21)</t>
  </si>
  <si>
    <t>Jowkar - 2131 (24-25 Week 2)</t>
  </si>
  <si>
    <t>Mitchell</t>
  </si>
  <si>
    <t>Moss - 24054 (2020-21)</t>
  </si>
  <si>
    <t>Kelvin - 2128 (23-24 Week 11)</t>
  </si>
  <si>
    <t xml:space="preserve">Brunson </t>
  </si>
  <si>
    <t>Kelvin - 2127 (23-24 Week 13)</t>
  </si>
  <si>
    <t>Lillard</t>
  </si>
  <si>
    <t>Logan - 2124 (21-22 Chip Week 1)</t>
  </si>
  <si>
    <t>Jowkar - 2121 (23-24 Week 8)</t>
  </si>
  <si>
    <t>2/25/24</t>
  </si>
  <si>
    <t>Jowkar - 2112 (24-25 Week 10)</t>
  </si>
  <si>
    <t>2/22/24</t>
  </si>
  <si>
    <t>Logan - 2109 (23-24 Week 8)</t>
  </si>
  <si>
    <t>Kelvin - 2095 (22-23 Week 9)</t>
  </si>
  <si>
    <t>11/9/22</t>
  </si>
  <si>
    <t>Green - 2092 (24-25 Week 16)</t>
  </si>
  <si>
    <t>1/16/23</t>
  </si>
  <si>
    <t>Trager - 2087 (24-25 Week 12)</t>
  </si>
  <si>
    <t>Jowkar - 2082 (23-24 Week 10)</t>
  </si>
  <si>
    <t>Jowkar - 2078 (23-24 Week 14)</t>
  </si>
  <si>
    <t>12/23/22</t>
  </si>
  <si>
    <t>Jowkar - 2063 (23-24 Week 11)</t>
  </si>
  <si>
    <t>Kelvin - 2063 (22-23 Week 3)</t>
  </si>
  <si>
    <t>Logan - 2050 (23-24 Week 4)</t>
  </si>
  <si>
    <t>11/25/22</t>
  </si>
  <si>
    <t>Logan - 2046 (20-21 Week 12)</t>
  </si>
  <si>
    <t>Green - 2043 (23-24 Week 8)</t>
  </si>
  <si>
    <t>Kelvin - 2042 (24-25 Week 6)</t>
  </si>
  <si>
    <t>Kelvin - 2035 (23-24 Week 14)</t>
  </si>
  <si>
    <t>Kelvin - 2032 (22-23 Week 2)</t>
  </si>
  <si>
    <t>Jowkar - 2028 (24-25 Week 11)</t>
  </si>
  <si>
    <t>Moss - 2026 (22-23 Week 4)</t>
  </si>
  <si>
    <t>Green - 2023 (24-25 Week 11)</t>
  </si>
  <si>
    <t>11/16/22</t>
  </si>
  <si>
    <t>Trager - 2021 (21-22 Week 7)</t>
  </si>
  <si>
    <t>Delaney - 2019 (22-23 Week 12)</t>
  </si>
  <si>
    <t>Kelley - 2009 (23-24 Week 2)</t>
  </si>
  <si>
    <t>2/1/23</t>
  </si>
  <si>
    <t>Logan - 2005 (23-24 Week 6)</t>
  </si>
  <si>
    <t>11/28/22</t>
  </si>
  <si>
    <t>Kelvin - 18/38</t>
  </si>
  <si>
    <t>Logan - 7/38</t>
  </si>
  <si>
    <t>Jowkar - 5/38</t>
  </si>
  <si>
    <t>Moss - 3/38</t>
  </si>
  <si>
    <t>Green - 2/38</t>
  </si>
  <si>
    <t>Trager - 1/38</t>
  </si>
  <si>
    <t>Delaney - 1/38</t>
  </si>
  <si>
    <t>Kelley - 1/38</t>
  </si>
  <si>
    <t>2022-23 Top Scoring Days</t>
  </si>
  <si>
    <t>Spencer</t>
  </si>
  <si>
    <t>1/28/23</t>
  </si>
  <si>
    <t>2/13/23</t>
  </si>
  <si>
    <t>2/10/23</t>
  </si>
  <si>
    <t>10/31/22</t>
  </si>
  <si>
    <t>11/7/22</t>
  </si>
  <si>
    <t>12/31/22</t>
  </si>
  <si>
    <t>1/4/23</t>
  </si>
  <si>
    <t>3/3/23</t>
  </si>
  <si>
    <t>1/25/23</t>
  </si>
  <si>
    <t>10/21/22</t>
  </si>
  <si>
    <t>3/5/23</t>
  </si>
  <si>
    <t>12/24/22</t>
  </si>
  <si>
    <t>1/11/23</t>
  </si>
  <si>
    <t>1/18/23</t>
  </si>
  <si>
    <t>3/17/23</t>
  </si>
  <si>
    <t>11/12/22</t>
  </si>
  <si>
    <t>10/29/22</t>
  </si>
  <si>
    <t>12/28/22</t>
  </si>
  <si>
    <t>11/1/22</t>
  </si>
  <si>
    <t>Dynasty/NBA Event 2025</t>
  </si>
  <si>
    <t>Dynasty/NBA Event 2024</t>
  </si>
  <si>
    <t>Dynasty/NBA Event 2023</t>
  </si>
  <si>
    <t>Dynasty/NBA Event 2022</t>
  </si>
  <si>
    <t>Dynasty/NBA Event 2021</t>
  </si>
  <si>
    <t>End of Championship Round</t>
  </si>
  <si>
    <t>March 23rd, 2025</t>
  </si>
  <si>
    <t>March 24th, 2024</t>
  </si>
  <si>
    <t>March 26th, 2023</t>
  </si>
  <si>
    <t>April 10th, 2022</t>
  </si>
  <si>
    <t>May 16th, 2021</t>
  </si>
  <si>
    <t>Trading Reopens</t>
  </si>
  <si>
    <t>March 24th, 2025</t>
  </si>
  <si>
    <t>March 25th, 2024</t>
  </si>
  <si>
    <t>March 27th, 2023</t>
  </si>
  <si>
    <t>April 11th, 2022</t>
  </si>
  <si>
    <t>May 17th, 2021</t>
  </si>
  <si>
    <t>Free Agency Locks</t>
  </si>
  <si>
    <t>April 9th, 2023</t>
  </si>
  <si>
    <t>Dynasty Draft Lottery
Free Agency Locks</t>
  </si>
  <si>
    <t>April 18th, 2022</t>
  </si>
  <si>
    <t>May 23rd, 2021</t>
  </si>
  <si>
    <t>NBA Lottery</t>
  </si>
  <si>
    <t>May 12th, 2025</t>
  </si>
  <si>
    <t>May 12th, 2024</t>
  </si>
  <si>
    <t>May 16th, 2023</t>
  </si>
  <si>
    <t>May 17th, 2022</t>
  </si>
  <si>
    <t>June 22nd, 2021</t>
  </si>
  <si>
    <t>Dynasty Draft Lottery</t>
  </si>
  <si>
    <t>April 15th, 2024</t>
  </si>
  <si>
    <t xml:space="preserve">NBA Draft </t>
  </si>
  <si>
    <t>June 23rd, 2022</t>
  </si>
  <si>
    <t>League Meeting #1</t>
  </si>
  <si>
    <t>Sometime in July</t>
  </si>
  <si>
    <t>June 25th, 2025</t>
  </si>
  <si>
    <t>June 26th, 2024</t>
  </si>
  <si>
    <t>June 22rd, 2023</t>
  </si>
  <si>
    <t>NBA Summer League</t>
  </si>
  <si>
    <t>July 7-17th, 2022</t>
  </si>
  <si>
    <t>July 29th, 2021</t>
  </si>
  <si>
    <t>NBA Free Agency</t>
  </si>
  <si>
    <t>June 30th, 2025</t>
  </si>
  <si>
    <t>June 30th, 2024</t>
  </si>
  <si>
    <t>June 30th, 2023</t>
  </si>
  <si>
    <t>August 2nd, 2022</t>
  </si>
  <si>
    <t>August 2nd, 2021</t>
  </si>
  <si>
    <t>July 10th-20th, 2025</t>
  </si>
  <si>
    <t>July 12th-22nd, 2024</t>
  </si>
  <si>
    <t>July 7-17th, 2023</t>
  </si>
  <si>
    <t>Keeper Deadline</t>
  </si>
  <si>
    <t>August 15th, 2022</t>
  </si>
  <si>
    <t>August 8th - August 17th, 2021</t>
  </si>
  <si>
    <t>July 19th, 2025</t>
  </si>
  <si>
    <t>July 28th, 2024</t>
  </si>
  <si>
    <t>July 30th, 2023</t>
  </si>
  <si>
    <t>Dynasty Draft
League Meeting</t>
  </si>
  <si>
    <t>August 16th, 2021</t>
  </si>
  <si>
    <t>August 4th, 2024</t>
  </si>
  <si>
    <t>Start of NBA Training Camps</t>
  </si>
  <si>
    <t>Dynasty Draft
League Meeting #2</t>
  </si>
  <si>
    <t>August 29th</t>
  </si>
  <si>
    <t>Dynasty Draft</t>
  </si>
  <si>
    <t>August 4th, 2024 (after league meeting)</t>
  </si>
  <si>
    <t>Start of NBA Season</t>
  </si>
  <si>
    <t>October 18th, 2022</t>
  </si>
  <si>
    <t>September 28th</t>
  </si>
  <si>
    <t>September 27th, 2024</t>
  </si>
  <si>
    <t xml:space="preserve">October 24th </t>
  </si>
  <si>
    <t>NBA All Star Game</t>
  </si>
  <si>
    <t>October 19th</t>
  </si>
  <si>
    <t>October 22nd, 2024</t>
  </si>
  <si>
    <t>16 regular season weeks (?)</t>
  </si>
  <si>
    <t>15 Regular season weeks ends</t>
  </si>
  <si>
    <t xml:space="preserve">___ regular season weeks </t>
  </si>
  <si>
    <t xml:space="preserve">15 regular season weeks </t>
  </si>
  <si>
    <t>October 22nd, 2024 - Feb 10, 2025</t>
  </si>
  <si>
    <t>Play-in Round</t>
  </si>
  <si>
    <t>Feb 12 - 24, 2024</t>
  </si>
  <si>
    <t>Feb 13 - 26, 2023</t>
  </si>
  <si>
    <t>NBA Cup double week</t>
  </si>
  <si>
    <t>December 9 -22, 2024</t>
  </si>
  <si>
    <t>Semifinals round</t>
  </si>
  <si>
    <t>Feb 25 - March 10, 2024</t>
  </si>
  <si>
    <t>Feb 27 - March 12, 2023</t>
  </si>
  <si>
    <t>Feb 10 - 23, 2025</t>
  </si>
  <si>
    <t>Championship round</t>
  </si>
  <si>
    <t>March 11 - 24, 2024</t>
  </si>
  <si>
    <t>Chamionship round</t>
  </si>
  <si>
    <t>Mach 13 - 26, 2023</t>
  </si>
  <si>
    <t>Feb 24 - March 9, 2025</t>
  </si>
  <si>
    <t>Playoffs end (according to Lloyd)</t>
  </si>
  <si>
    <t>Playoffs end</t>
  </si>
  <si>
    <t>March 10 - 23, 2025</t>
  </si>
  <si>
    <t>Regular Season End</t>
  </si>
  <si>
    <t>Regular season ends</t>
  </si>
  <si>
    <t>1 week back in schedule from last year for start of NBA season</t>
  </si>
  <si>
    <t>Need to be sure I actually do the NBA cup double week (manual on Fantrax)</t>
  </si>
  <si>
    <t>Added NBA cup double week</t>
  </si>
  <si>
    <t>Lloyd suggests 3 weeks before season end. We did 2 weeks last year</t>
  </si>
  <si>
    <t>May need to discuss 1-2 weeks depending on the all-star game and how it falls that year</t>
  </si>
  <si>
    <t>Considering changing playoffs timing given NBA starts to sit players</t>
  </si>
  <si>
    <t>3 days of rest between games this year makes this easier to have as a double week (2 last year)</t>
  </si>
  <si>
    <t>2023-24 Fantasy Season</t>
  </si>
  <si>
    <t>10/24/23 - 3/24/23</t>
  </si>
  <si>
    <t>"The Offseason" : 2024</t>
  </si>
  <si>
    <r>
      <rPr>
        <rFont val="Arial"/>
        <color theme="1"/>
        <sz val="11.0"/>
      </rPr>
      <t xml:space="preserve">2nd Round Trager </t>
    </r>
    <r>
      <rPr>
        <rFont val="Arial"/>
        <color rgb="FFFBBC04"/>
        <sz val="11.0"/>
      </rPr>
      <t>(Owns swap rights w/Jowkar 2024 2nd)</t>
    </r>
  </si>
  <si>
    <r>
      <rPr>
        <rFont val="Arial"/>
        <color rgb="FF000000"/>
        <sz val="11.0"/>
      </rPr>
      <t>1st Round Green (</t>
    </r>
    <r>
      <rPr>
        <rFont val="Arial"/>
        <color rgb="FFFBBC04"/>
        <sz val="11.0"/>
      </rPr>
      <t>right to swap with Berke 2024 1st</t>
    </r>
    <r>
      <rPr>
        <rFont val="Arial"/>
        <color rgb="FF000000"/>
        <sz val="11.0"/>
      </rPr>
      <t>)</t>
    </r>
  </si>
  <si>
    <t>KELL Kelley 2028 1st round</t>
  </si>
  <si>
    <t>MOSS Kristaps Porzingus</t>
  </si>
  <si>
    <t>KELL Kelley 2028 FRP, conveys to Kelley 2029 FRP if Kelley 2027 FRP falls 1-3 in 2027</t>
  </si>
  <si>
    <t>MOSS Moss 2025 2nd round</t>
  </si>
  <si>
    <r>
      <rPr>
        <rFont val="Arial"/>
        <color theme="1"/>
        <sz val="11.0"/>
      </rPr>
      <t xml:space="preserve">2nd Round Jowkar </t>
    </r>
    <r>
      <rPr>
        <rFont val="Arial"/>
        <color rgb="FFFBBC04"/>
        <sz val="11.0"/>
      </rPr>
      <t>(Trager 2024 2nd owns swap rights) (Owns swap rights w/Kelley 2024 2nd)</t>
    </r>
  </si>
  <si>
    <t>KELL Khris Middleton</t>
  </si>
  <si>
    <t>KELL Jakob Poeltl</t>
  </si>
  <si>
    <t>KELL Desmond Bane</t>
  </si>
  <si>
    <t>TRAG Trager 2024 1st round</t>
  </si>
  <si>
    <t>TRAG Kelley 2026 1st round</t>
  </si>
  <si>
    <t>PETE Coby White</t>
  </si>
  <si>
    <t>TRAG Delaney 2025 2nd round</t>
  </si>
  <si>
    <t>TRAG Gold 2025 2nd round</t>
  </si>
  <si>
    <t>No Shaime</t>
  </si>
  <si>
    <t>BK's Whoppers</t>
  </si>
  <si>
    <t>DELA Jaylen Brown</t>
  </si>
  <si>
    <t>ZJEW Jaime Jaquez</t>
  </si>
  <si>
    <r>
      <rPr>
        <rFont val="Arial"/>
        <color theme="1"/>
        <sz val="11.0"/>
      </rPr>
      <t>1st Round Gold (</t>
    </r>
    <r>
      <rPr>
        <rFont val="Arial"/>
        <color rgb="FFFBBC04"/>
        <sz val="11.0"/>
      </rPr>
      <t>right to swap with Kelley 2024 1st</t>
    </r>
    <r>
      <rPr>
        <rFont val="Arial"/>
        <color theme="1"/>
        <sz val="11.0"/>
      </rPr>
      <t>)</t>
    </r>
  </si>
  <si>
    <r>
      <rPr>
        <rFont val="arial,sans,sans-serif"/>
        <color theme="1"/>
        <sz val="11.0"/>
      </rPr>
      <t xml:space="preserve">2nd Round Kelley </t>
    </r>
    <r>
      <rPr>
        <rFont val="arial,sans,sans-serif"/>
        <color rgb="FFFBBC04"/>
        <sz val="11.0"/>
      </rPr>
      <t>(Jowkar 2024 2nd owns swap rights)</t>
    </r>
  </si>
  <si>
    <t>MOSS De'Aaron Fox</t>
  </si>
  <si>
    <t>KELL CJ McCollum</t>
  </si>
  <si>
    <t>DELA Cam Johnson</t>
  </si>
  <si>
    <t>ZJEW Taylor Hendricks</t>
  </si>
  <si>
    <t>1st Round Moss*^</t>
  </si>
  <si>
    <t>KELL Jonas Valanciunas</t>
  </si>
  <si>
    <t>ZJEW Delaney 2026 1st round</t>
  </si>
  <si>
    <r>
      <rPr>
        <rFont val="arial,sans,sans-serif"/>
        <color theme="1"/>
        <sz val="11.0"/>
      </rPr>
      <t>1st Round Berke (</t>
    </r>
    <r>
      <rPr>
        <rFont val="arial,sans,sans-serif"/>
        <color rgb="FFFBBC04"/>
        <sz val="11.0"/>
      </rPr>
      <t>1st round Green owns swap rights</t>
    </r>
    <r>
      <rPr>
        <rFont val="arial,sans,sans-serif"/>
        <color theme="1"/>
        <sz val="11.0"/>
      </rPr>
      <t>)</t>
    </r>
  </si>
  <si>
    <t>MOSS Myles Turner</t>
  </si>
  <si>
    <t>KELL Dario Saric</t>
  </si>
  <si>
    <t>ZJEW Delaney 2024 2nd round (#16 overall)</t>
  </si>
  <si>
    <r>
      <rPr>
        <rFont val="Arial"/>
        <color theme="1"/>
        <sz val="11.0"/>
      </rPr>
      <t>1st Round Kelley (</t>
    </r>
    <r>
      <rPr>
        <rFont val="Arial"/>
        <color rgb="FFFBBC04"/>
        <sz val="11.0"/>
      </rPr>
      <t>Gold 2024 1st owns swap rights</t>
    </r>
    <r>
      <rPr>
        <rFont val="Arial"/>
        <color theme="1"/>
        <sz val="11.0"/>
      </rPr>
      <t>)</t>
    </r>
  </si>
  <si>
    <t>MOSS Rudy Gobert</t>
  </si>
  <si>
    <t>KELL Nicolas Batum</t>
  </si>
  <si>
    <t>ZJEW Zujewski 2025 2nd round</t>
  </si>
  <si>
    <t>MOSS Russell Westbrook</t>
  </si>
  <si>
    <t>KELL Bismack Biyombo</t>
  </si>
  <si>
    <t>KELL Jowkar 2024 1st round</t>
  </si>
  <si>
    <t>PETE Mitchell Robinson</t>
  </si>
  <si>
    <t>KELL Clint Capela</t>
  </si>
  <si>
    <t>KELL Kelley 2024 1st round</t>
  </si>
  <si>
    <t>PETE Berke 2026 2nd round</t>
  </si>
  <si>
    <t>KELL Moss 2024 2nd round (#13 overall)</t>
  </si>
  <si>
    <t>KELL Berke 2024 1st round</t>
  </si>
  <si>
    <t>PETE Green 2024 2od round (#17 overall)</t>
  </si>
  <si>
    <t>* top 3 protected - conveys to (locked) pete 2024 frp or moss 2025 frp</t>
  </si>
  <si>
    <t>KELL Kelley 2025 1st round</t>
  </si>
  <si>
    <t>^ swap rights to Pete 2024 FRP</t>
  </si>
  <si>
    <t>KELL Green 2025 1st round</t>
  </si>
  <si>
    <t>TRAG Darius Garland</t>
  </si>
  <si>
    <t>DELA Devin Booker</t>
  </si>
  <si>
    <t>KELL Berke 2024 2nd round</t>
  </si>
  <si>
    <t>TRAG Keegan Murray</t>
  </si>
  <si>
    <t>DELA Kelley 2024 2nd round (#15 overall)</t>
  </si>
  <si>
    <t>Kelley receives #11 overall in this draft as a compensatory pick per summer 2023 new owner negotiations</t>
  </si>
  <si>
    <t>KELL Moss 2024 2nd round</t>
  </si>
  <si>
    <t>TRAG Delaney 2024 1st round (#6 overall)</t>
  </si>
  <si>
    <t>DELA Zujewski 2025 2nd round</t>
  </si>
  <si>
    <t>Kelley has lost #11 overall in this drast as a compensatory pick per league tanking policy</t>
  </si>
  <si>
    <t>TRAG Peterson 2025 1st round right to swap w/Berke 2025 1st round</t>
  </si>
  <si>
    <t>BERK Shai Gilgeous-Alexander</t>
  </si>
  <si>
    <t>DELA Kevin Durant</t>
  </si>
  <si>
    <t>TRAG Lonzo Ball</t>
  </si>
  <si>
    <t xml:space="preserve">2024 Draft Order: </t>
  </si>
  <si>
    <t>BERK Berke 2028 1st round</t>
  </si>
  <si>
    <t>DELA Demar Derozan</t>
  </si>
  <si>
    <t>#1:      Lottery #1 (40% Gold)</t>
  </si>
  <si>
    <t>DELA James Harden</t>
  </si>
  <si>
    <t>KELL Jerami Grant</t>
  </si>
  <si>
    <t>JOWK Daniel Gafford</t>
  </si>
  <si>
    <t>#2:      Lottery #2  (30% Zujewski)</t>
  </si>
  <si>
    <t>DELA Kyrie Irving</t>
  </si>
  <si>
    <t>KELL Moss 2025 2nd round</t>
  </si>
  <si>
    <t>#3:      Lottery #3 (20% Moss)</t>
  </si>
  <si>
    <t>#4:      Lottery #4 (10% Trager)</t>
  </si>
  <si>
    <t>DELA Bradley Beal</t>
  </si>
  <si>
    <t>PETE Peterson 2025 1st round</t>
  </si>
  <si>
    <t>August 4th 2024</t>
  </si>
  <si>
    <t>#5:      Kelley</t>
  </si>
  <si>
    <t>DELA Terry Rozier</t>
  </si>
  <si>
    <t>PETE Peterson 2026 1st round</t>
  </si>
  <si>
    <t>/ / / / / / / / /     Draft Day 2024        / / / / / / / / /</t>
  </si>
  <si>
    <t>#6:      Delaney</t>
  </si>
  <si>
    <t>PETE Peterson 2027 1st round</t>
  </si>
  <si>
    <t>#7:      Green</t>
  </si>
  <si>
    <t>JOWK Donte Divincenzo</t>
  </si>
  <si>
    <t>BERK Berke 2029 2nd round</t>
  </si>
  <si>
    <t>#8:      Berke</t>
  </si>
  <si>
    <t>DELA Kyle Kuzma</t>
  </si>
  <si>
    <t>GREEN Dyson Daniels</t>
  </si>
  <si>
    <t>DELA Spencer Dinwiddie</t>
  </si>
  <si>
    <t>GREEN Jeremy Sochan</t>
  </si>
  <si>
    <t>DELA Delaney 2024 1st round (#6 overall)</t>
  </si>
  <si>
    <t>KELL Kelley 2024 1st round (#5 overall)</t>
  </si>
  <si>
    <t>#10:    Kelvin</t>
  </si>
  <si>
    <t>GREEN Green 2026 1st round</t>
  </si>
  <si>
    <t>DELA Green 2024 1st round (#7 overall)</t>
  </si>
  <si>
    <t>KELL Berke 2024 1st round (#8 overall)</t>
  </si>
  <si>
    <t>GREEN Green 2025 2nd round</t>
  </si>
  <si>
    <t>DELA Green 2027 2nd round</t>
  </si>
  <si>
    <t>GREEN Green 2027 2nd round</t>
  </si>
  <si>
    <t>PETE Clint Capela</t>
  </si>
  <si>
    <t>BERK Kawhi Leonard</t>
  </si>
  <si>
    <t>DELA Klay Thompson</t>
  </si>
  <si>
    <t>JOWK Luguentz Dort</t>
  </si>
  <si>
    <t>PETE Bradley Beal</t>
  </si>
  <si>
    <t>BERK Berke 2029 1st round</t>
  </si>
  <si>
    <t>JOWK Green 2026 2nd round</t>
  </si>
  <si>
    <t>PETE Jrue Holiday</t>
  </si>
  <si>
    <t>DELA Shai Gilgeous-Alexander</t>
  </si>
  <si>
    <t>GOLD Devin Booker</t>
  </si>
  <si>
    <t>DELA Delaney 2024 2nd round (#16 overall)</t>
  </si>
  <si>
    <t>TRAG Trager 2024 2nd round (#14 overall)</t>
  </si>
  <si>
    <t>GOLD Jaylen Brown</t>
  </si>
  <si>
    <t xml:space="preserve">DELA Jowkar 2026 2nd round </t>
  </si>
  <si>
    <t>Pick is dropped to #5 and out of the lottery (last of non-playoff teams) if pick is owned by violater</t>
  </si>
  <si>
    <t>GOLD Josh Giddey</t>
  </si>
  <si>
    <t>GOLD Green 2024 1st round</t>
  </si>
  <si>
    <t>Moss didn't set lineup on Sunday of a close matchup</t>
  </si>
  <si>
    <t>PETE Brandon Podziemski</t>
  </si>
  <si>
    <t>JOWK Jowkar 2026 1st round</t>
  </si>
  <si>
    <t>Kelley didn't set his lineup 2 days in a row</t>
  </si>
  <si>
    <t>JOWK Jowkar 2025 2nd round</t>
  </si>
  <si>
    <t xml:space="preserve">Kelley didn't set his lineup for the 3rd day in a week after already getting a strike </t>
  </si>
  <si>
    <t>PETE Jusuf Nurkic</t>
  </si>
  <si>
    <t>BERK Kyrie Irving</t>
  </si>
  <si>
    <t>PETE Nikola Vucevic</t>
  </si>
  <si>
    <t>BERK Kelley 2024 2nd round</t>
  </si>
  <si>
    <t>1st - Oct 23rd 2023</t>
  </si>
  <si>
    <t>2nd - Nov 19th 2023</t>
  </si>
  <si>
    <t>3rd - Dec 17th 2023</t>
  </si>
  <si>
    <t>4th - Jan 14th, 2024</t>
  </si>
  <si>
    <t>5th - Feb 11th, 2024</t>
  </si>
  <si>
    <t>DELA Draymond Green</t>
  </si>
  <si>
    <t>PETE Jowkar 2024 2nd round</t>
  </si>
  <si>
    <t>Leonard Miller</t>
  </si>
  <si>
    <t>Brice Sensabaugh</t>
  </si>
  <si>
    <t>Trayce Jackson-Davis</t>
  </si>
  <si>
    <t xml:space="preserve">DELA Bojan Bogdanovic </t>
  </si>
  <si>
    <t>BERK De'Andre Hunter</t>
  </si>
  <si>
    <t>DELA Mike Conley</t>
  </si>
  <si>
    <t>BERK Berke 2025 2nd round</t>
  </si>
  <si>
    <t>DELA Chris Paul</t>
  </si>
  <si>
    <t>BERK Berke 2028 2nd round</t>
  </si>
  <si>
    <t>Dyson Daniels</t>
  </si>
  <si>
    <t>DELA Tyus Jones</t>
  </si>
  <si>
    <t>PETE Delaney 2025 2nd round</t>
  </si>
  <si>
    <t>Jaden Springer</t>
  </si>
  <si>
    <t>PETE Jowkar 2024 2nd round right to swap with Kelley 2024 2nd round</t>
  </si>
  <si>
    <t>James Nnaji</t>
  </si>
  <si>
    <t>Miles McBride</t>
  </si>
  <si>
    <t>DELA Berke 2028 2nd round</t>
  </si>
  <si>
    <t>JOWK Saddiq Bey</t>
  </si>
  <si>
    <t>BJ Boston</t>
  </si>
  <si>
    <t>JOWK Zach Collins</t>
  </si>
  <si>
    <t>Malaki Branham</t>
  </si>
  <si>
    <t>KELL De'Aaron Fox</t>
  </si>
  <si>
    <t>MOSS Jonas Valanciunas</t>
  </si>
  <si>
    <t>Paul Reed</t>
  </si>
  <si>
    <t>KELL Bam Adebayo</t>
  </si>
  <si>
    <t>MOSS Isaiah Jackson</t>
  </si>
  <si>
    <t>Gradey Dick</t>
  </si>
  <si>
    <t>KELL Myles Turner</t>
  </si>
  <si>
    <t>MOSS Jared Vanderbilt</t>
  </si>
  <si>
    <t>KELL Rudy Gobert</t>
  </si>
  <si>
    <t>MOSS Jowkar 2024 1st round</t>
  </si>
  <si>
    <t>Bones Hyland</t>
  </si>
  <si>
    <t>Ziaire Williams</t>
  </si>
  <si>
    <t>Corey Kispert</t>
  </si>
  <si>
    <t>KELL Kelley 2026 2nd round</t>
  </si>
  <si>
    <t>MOSS Kelley 2024 1st round</t>
  </si>
  <si>
    <t xml:space="preserve">Ayo Dosunmu </t>
  </si>
  <si>
    <t>Ayo Dosunmu</t>
  </si>
  <si>
    <t>MOSS Berke 2024 1st round</t>
  </si>
  <si>
    <t>Keyonte George</t>
  </si>
  <si>
    <t xml:space="preserve">Ochai Agbaji </t>
  </si>
  <si>
    <t>Marcus Sasser</t>
  </si>
  <si>
    <t>MOSS Kelley 2025 1st round</t>
  </si>
  <si>
    <t>Taylor Hendricks</t>
  </si>
  <si>
    <t>MOSS Green 2025 1st round</t>
  </si>
  <si>
    <t>MOSS Moss 2028 1st round</t>
  </si>
  <si>
    <t>MOSS Kelle 2027 FRP right to swap w/Moss 2027 FRP</t>
  </si>
  <si>
    <t>2024 Rookie Draft Recap: August 6th, 2024</t>
  </si>
  <si>
    <t>MOSS Berke 2024 2nd round</t>
  </si>
  <si>
    <t>MOSS Moss 2024 2nd round</t>
  </si>
  <si>
    <r>
      <rPr>
        <rFont val="Calibri, Arial"/>
        <b/>
        <color rgb="FF000000"/>
      </rPr>
      <t xml:space="preserve">#1: Gold: </t>
    </r>
    <r>
      <rPr>
        <rFont val="Calibri, Arial"/>
        <b val="0"/>
        <color rgb="FF000000"/>
      </rPr>
      <t>Reed Sheppard</t>
    </r>
  </si>
  <si>
    <r>
      <rPr>
        <rFont val="Calibri, Arial"/>
        <b/>
        <color rgb="FF000000"/>
      </rPr>
      <t xml:space="preserve">#1:  Kelley: </t>
    </r>
    <r>
      <rPr>
        <rFont val="Calibri, Arial"/>
        <b val="0"/>
        <color rgb="FF000000"/>
      </rPr>
      <t>Rob Dillingham</t>
    </r>
  </si>
  <si>
    <t xml:space="preserve">#1:  Gold: </t>
  </si>
  <si>
    <r>
      <rPr>
        <rFont val="Calibri, Arial"/>
        <b/>
        <color rgb="FF000000"/>
      </rPr>
      <t xml:space="preserve">#2:  Zujewski: </t>
    </r>
    <r>
      <rPr>
        <rFont val="Calibri, Arial"/>
        <b val="0"/>
        <color rgb="FF000000"/>
      </rPr>
      <t>Stephon Castle</t>
    </r>
  </si>
  <si>
    <r>
      <rPr>
        <rFont val="Calibri, Arial"/>
        <b/>
        <color rgb="FF000000"/>
      </rPr>
      <t>#2:</t>
    </r>
    <r>
      <rPr>
        <rFont val="Calibri, Arial"/>
        <b/>
        <color rgb="FF0000FF"/>
      </rPr>
      <t xml:space="preserve"> </t>
    </r>
    <r>
      <rPr>
        <rFont val="Calibri, Arial"/>
        <b/>
        <color rgb="FF000000"/>
      </rPr>
      <t>Zujewski:</t>
    </r>
    <r>
      <rPr>
        <rFont val="Calibri, Arial"/>
        <b val="0"/>
        <color rgb="FF000000"/>
      </rPr>
      <t xml:space="preserve"> Kel'El Ware</t>
    </r>
  </si>
  <si>
    <t xml:space="preserve">#2:  Zujewski: </t>
  </si>
  <si>
    <t>MOSS Moss 2028 2nd round</t>
  </si>
  <si>
    <r>
      <rPr>
        <rFont val="Calibri, Arial"/>
        <b/>
        <color rgb="FF000000"/>
      </rPr>
      <t xml:space="preserve">#3:  Moss: </t>
    </r>
    <r>
      <rPr>
        <rFont val="Calibri, Arial"/>
        <b val="0"/>
        <color rgb="FF000000"/>
      </rPr>
      <t>Donovan Clingan</t>
    </r>
  </si>
  <si>
    <r>
      <rPr>
        <rFont val="Calibri, Arial"/>
        <b/>
        <color rgb="FF000000"/>
      </rPr>
      <t xml:space="preserve">#3:   Kelvin: </t>
    </r>
    <r>
      <rPr>
        <rFont val="Calibri, Arial"/>
        <b val="0"/>
        <color rgb="FF000000"/>
      </rPr>
      <t>Devin Carter</t>
    </r>
  </si>
  <si>
    <t xml:space="preserve">#3: Moss: </t>
  </si>
  <si>
    <r>
      <rPr>
        <rFont val="Calibri, Arial"/>
        <b/>
        <color rgb="FF000000"/>
      </rPr>
      <t>#4:  Kelley:</t>
    </r>
    <r>
      <rPr>
        <rFont val="Calibri, Arial"/>
        <b val="0"/>
        <color rgb="FF000000"/>
      </rPr>
      <t xml:space="preserve"> Zach Edey</t>
    </r>
  </si>
  <si>
    <r>
      <rPr>
        <rFont val="Calibri, Arial"/>
        <b/>
        <color rgb="FF000000"/>
      </rPr>
      <t xml:space="preserve">#4:  Delaney: </t>
    </r>
    <r>
      <rPr>
        <rFont val="Calibri, Arial"/>
        <b val="0"/>
        <color rgb="FF000000"/>
      </rPr>
      <t>Cody Williams</t>
    </r>
  </si>
  <si>
    <t>#4:  Trager:</t>
  </si>
  <si>
    <t>KELL D'Angelo Russell</t>
  </si>
  <si>
    <t>JOWK Marvin Bagley</t>
  </si>
  <si>
    <r>
      <rPr>
        <rFont val="Calibri, Arial"/>
        <b/>
        <color rgb="FF000000"/>
      </rPr>
      <t xml:space="preserve">#5:  Delaney: </t>
    </r>
    <r>
      <rPr>
        <rFont val="Calibri, Arial"/>
        <b val="0"/>
        <color rgb="FF000000"/>
      </rPr>
      <t>Alex Sarr</t>
    </r>
  </si>
  <si>
    <r>
      <rPr>
        <rFont val="Calibri, Arial"/>
        <b/>
        <color rgb="FF000000"/>
      </rPr>
      <t xml:space="preserve">#5:   Trager: </t>
    </r>
    <r>
      <rPr>
        <rFont val="Calibri, Arial"/>
        <b val="0"/>
        <color rgb="FF000000"/>
      </rPr>
      <t>Tidjane Salaun</t>
    </r>
  </si>
  <si>
    <t xml:space="preserve">#5:  Kelley: </t>
  </si>
  <si>
    <t>KELL Zach Lavine</t>
  </si>
  <si>
    <t>JOWK Klay Thompson</t>
  </si>
  <si>
    <r>
      <rPr>
        <rFont val="Calibri, Arial"/>
        <b/>
        <color rgb="FF000000"/>
      </rPr>
      <t xml:space="preserve">#6:  Kelley: </t>
    </r>
    <r>
      <rPr>
        <rFont val="Calibri, Arial"/>
        <b val="0"/>
        <color rgb="FF000000"/>
      </rPr>
      <t>Matas Buzelis</t>
    </r>
  </si>
  <si>
    <r>
      <rPr>
        <rFont val="Calibri, Arial"/>
        <b/>
        <color rgb="FF000000"/>
      </rPr>
      <t xml:space="preserve">#6:   Trager: </t>
    </r>
    <r>
      <rPr>
        <rFont val="Calibri, Arial"/>
        <b val="0"/>
        <color rgb="FF000000"/>
      </rPr>
      <t>Yves Missi</t>
    </r>
  </si>
  <si>
    <t xml:space="preserve">#6:  Delaney: </t>
  </si>
  <si>
    <t>JOWK Jowkar 2025 1st round</t>
  </si>
  <si>
    <r>
      <rPr>
        <rFont val="Calibri, Arial"/>
        <b/>
        <color rgb="FF000000"/>
      </rPr>
      <t xml:space="preserve">#7:  Kelley: </t>
    </r>
    <r>
      <rPr>
        <rFont val="Calibri, Arial"/>
        <b val="0"/>
        <color rgb="FF000000"/>
      </rPr>
      <t>Carlton "Bub" Carrington</t>
    </r>
  </si>
  <si>
    <r>
      <rPr>
        <rFont val="Calibri, Arial"/>
        <b/>
        <color rgb="FF000000"/>
      </rPr>
      <t xml:space="preserve">#7:   Kelley: </t>
    </r>
    <r>
      <rPr>
        <rFont val="Calibri, Arial"/>
        <b val="0"/>
        <color rgb="FF000000"/>
      </rPr>
      <t>Isaiah Collier</t>
    </r>
  </si>
  <si>
    <t xml:space="preserve">#7:  Green: </t>
  </si>
  <si>
    <t>JOWK Jowkar 2027 1st round</t>
  </si>
  <si>
    <r>
      <rPr>
        <rFont val="Calibri, Arial"/>
        <b/>
        <color rgb="FF000000"/>
      </rPr>
      <t xml:space="preserve">#8:  Delaney: </t>
    </r>
    <r>
      <rPr>
        <rFont val="Calibri, Arial"/>
        <b val="0"/>
        <color rgb="FF000000"/>
      </rPr>
      <t>Nikola Topic</t>
    </r>
  </si>
  <si>
    <r>
      <rPr>
        <rFont val="Calibri, Arial"/>
        <b/>
        <color rgb="FF000000"/>
      </rPr>
      <t xml:space="preserve">#8:   Kelley: </t>
    </r>
    <r>
      <rPr>
        <rFont val="Calibri, Arial"/>
        <b val="0"/>
        <color rgb="FF000000"/>
      </rPr>
      <t>Dalton Knecht</t>
    </r>
  </si>
  <si>
    <t xml:space="preserve">#8:  Berke: </t>
  </si>
  <si>
    <t>JOWK Gold 2024 2nd round</t>
  </si>
  <si>
    <r>
      <rPr>
        <rFont val="Calibri, Arial"/>
        <b/>
        <color rgb="FF000000"/>
      </rPr>
      <t xml:space="preserve">#9:  Kelley: </t>
    </r>
    <r>
      <rPr>
        <rFont val="Calibri, Arial"/>
        <b val="0"/>
        <color rgb="FF000000"/>
      </rPr>
      <t>Zaccharie Risacher</t>
    </r>
  </si>
  <si>
    <r>
      <rPr>
        <rFont val="Calibri, Arial"/>
        <b/>
        <color rgb="FF000000"/>
      </rPr>
      <t xml:space="preserve">#9:   Kelvin: </t>
    </r>
    <r>
      <rPr>
        <rFont val="Calibri, Arial"/>
        <b val="0"/>
        <color rgb="FF000000"/>
      </rPr>
      <t>Kelly Oubre</t>
    </r>
  </si>
  <si>
    <t>JOWK Moss 2027 2nd round</t>
  </si>
  <si>
    <r>
      <rPr>
        <rFont val="Calibri, Arial"/>
        <b/>
        <color rgb="FF000000"/>
      </rPr>
      <t xml:space="preserve">#10: Moss: </t>
    </r>
    <r>
      <rPr>
        <rFont val="Calibri, Arial"/>
        <b val="0"/>
        <color rgb="FF000000"/>
      </rPr>
      <t>Ron Holland</t>
    </r>
  </si>
  <si>
    <r>
      <rPr>
        <rFont val="Calibri, Arial"/>
        <b/>
        <color rgb="FF000000"/>
      </rPr>
      <t xml:space="preserve">#10:   Zujewski: </t>
    </r>
    <r>
      <rPr>
        <rFont val="Calibri, Arial"/>
        <b val="0"/>
        <color rgb="FF000000"/>
      </rPr>
      <t>Terrence Shannon Jr.</t>
    </r>
  </si>
  <si>
    <t xml:space="preserve">#10:  Kelvin: </t>
  </si>
  <si>
    <t>Drops from 7/29/24 Keeper Deadline:</t>
  </si>
  <si>
    <t>IR Eligible players for 2024 offseason</t>
  </si>
  <si>
    <t>Isaac Okoro</t>
  </si>
  <si>
    <t>Isaiah Stewart</t>
  </si>
  <si>
    <t>Rui Hachimura</t>
  </si>
  <si>
    <t>Tre Mann</t>
  </si>
  <si>
    <t>Bruce Brown</t>
  </si>
  <si>
    <t>Markelle Fultz</t>
  </si>
  <si>
    <t>Kristaps Porzingus</t>
  </si>
  <si>
    <t>Jake Laravia</t>
  </si>
  <si>
    <t>Jordan Clarkson</t>
  </si>
  <si>
    <t>Dalano Banton</t>
  </si>
  <si>
    <t>Kyle Lowry</t>
  </si>
  <si>
    <t>Brandon Clarke</t>
  </si>
  <si>
    <t>Nikola Topic</t>
  </si>
  <si>
    <t>Tristan Vukcevic</t>
  </si>
  <si>
    <t>Sam Hauser</t>
  </si>
  <si>
    <t>Richaun Holmes</t>
  </si>
  <si>
    <t>Lonzo Ball</t>
  </si>
  <si>
    <t>Malcolm Brogdon</t>
  </si>
  <si>
    <t>TJ McConnell</t>
  </si>
  <si>
    <t>DaRon Holmes II</t>
  </si>
  <si>
    <t xml:space="preserve">Lugentz Dort </t>
  </si>
  <si>
    <t>Ben Simmons</t>
  </si>
  <si>
    <t>Kelly Oubre Jr.</t>
  </si>
  <si>
    <t>Kelly Olynyk</t>
  </si>
  <si>
    <t>Kevin Huerter</t>
  </si>
  <si>
    <t>Jarred Vanderbilt</t>
  </si>
  <si>
    <t>Toumani Camara</t>
  </si>
  <si>
    <t xml:space="preserve">Vince Williams </t>
  </si>
  <si>
    <t>Dennis Schroder</t>
  </si>
  <si>
    <r>
      <rPr>
        <rFont val="Calibri"/>
        <b/>
        <color theme="1"/>
      </rPr>
      <t xml:space="preserve">#1:  Gold: </t>
    </r>
    <r>
      <rPr>
        <rFont val="Calibri"/>
        <b val="0"/>
        <color theme="1"/>
      </rPr>
      <t>Kyle Filipowski</t>
    </r>
  </si>
  <si>
    <r>
      <rPr>
        <rFont val="Calibri"/>
        <b/>
        <color theme="1"/>
      </rPr>
      <t xml:space="preserve">#9:  Gold: </t>
    </r>
    <r>
      <rPr>
        <rFont val="Calibri"/>
        <b val="0"/>
        <color theme="1"/>
      </rPr>
      <t>Jakobe Walter</t>
    </r>
  </si>
  <si>
    <r>
      <rPr>
        <rFont val="Calibri"/>
        <b/>
        <color theme="1"/>
      </rPr>
      <t xml:space="preserve">#13:  Gold: </t>
    </r>
    <r>
      <rPr>
        <rFont val="Calibri"/>
        <b val="0"/>
        <color theme="1"/>
      </rPr>
      <t>Dillon Jones</t>
    </r>
  </si>
  <si>
    <t>Caris Levert</t>
  </si>
  <si>
    <t>Talen Horten-Tucker</t>
  </si>
  <si>
    <t>Ousmane Dieng</t>
  </si>
  <si>
    <t>Ayo Dosumnu</t>
  </si>
  <si>
    <r>
      <rPr>
        <rFont val="Calibri"/>
        <b/>
        <color theme="1"/>
      </rPr>
      <t xml:space="preserve">#2: Moss: </t>
    </r>
    <r>
      <rPr>
        <rFont val="Calibri"/>
        <b val="0"/>
        <color theme="1"/>
      </rPr>
      <t>Jared McCain</t>
    </r>
  </si>
  <si>
    <t>Marjon Beauchamp</t>
  </si>
  <si>
    <t>Lonnie Walker</t>
  </si>
  <si>
    <r>
      <rPr>
        <rFont val="Calibri"/>
        <b/>
        <color theme="1"/>
      </rPr>
      <t xml:space="preserve">#3:  Trager: </t>
    </r>
    <r>
      <rPr>
        <rFont val="Calibri"/>
        <b val="0"/>
        <color theme="1"/>
      </rPr>
      <t>Ayo Dosumnu</t>
    </r>
  </si>
  <si>
    <t>James Wiseman</t>
  </si>
  <si>
    <t>Olivier-Maxence Prosper</t>
  </si>
  <si>
    <t>Nickeil Alexander-Walker</t>
  </si>
  <si>
    <r>
      <rPr>
        <rFont val="Calibri, Arial"/>
        <b/>
        <color rgb="FF000000"/>
      </rPr>
      <t xml:space="preserve">#4:  Kelley: </t>
    </r>
    <r>
      <rPr>
        <rFont val="Calibri, Arial"/>
        <b val="0"/>
        <color rgb="FF000000"/>
      </rPr>
      <t>Vince Williams</t>
    </r>
  </si>
  <si>
    <t>Trey Jemison</t>
  </si>
  <si>
    <r>
      <rPr>
        <rFont val="Calibri"/>
        <b/>
        <color theme="1"/>
      </rPr>
      <t xml:space="preserve">#5:  Delaney: </t>
    </r>
    <r>
      <rPr>
        <rFont val="Calibri"/>
        <b val="0"/>
        <color theme="1"/>
      </rPr>
      <t>Daron Holmes</t>
    </r>
  </si>
  <si>
    <r>
      <rPr>
        <rFont val="Calibri"/>
        <b/>
        <color theme="1"/>
      </rPr>
      <t xml:space="preserve">#10:  Delaney: </t>
    </r>
    <r>
      <rPr>
        <rFont val="Calibri"/>
        <b val="0"/>
        <color theme="1"/>
      </rPr>
      <t>Robert Williams</t>
    </r>
  </si>
  <si>
    <r>
      <rPr>
        <rFont val="Calibri"/>
        <b/>
        <color theme="1"/>
      </rPr>
      <t xml:space="preserve">#14:  Delaney: </t>
    </r>
    <r>
      <rPr>
        <rFont val="Calibri"/>
        <b val="0"/>
        <color theme="1"/>
      </rPr>
      <t>Jaylon Tyson</t>
    </r>
  </si>
  <si>
    <r>
      <rPr>
        <rFont val="Calibri"/>
        <b/>
        <color theme="1"/>
      </rPr>
      <t xml:space="preserve">#6:  Green: </t>
    </r>
    <r>
      <rPr>
        <rFont val="Calibri"/>
        <b val="0"/>
        <color theme="1"/>
      </rPr>
      <t>Rui Hachimura</t>
    </r>
  </si>
  <si>
    <r>
      <rPr>
        <rFont val="Calibri"/>
        <b/>
        <color theme="1"/>
      </rPr>
      <t xml:space="preserve">#11:  Green: </t>
    </r>
    <r>
      <rPr>
        <rFont val="Calibri"/>
        <b val="0"/>
        <color theme="1"/>
      </rPr>
      <t>Dennis Schroder</t>
    </r>
  </si>
  <si>
    <r>
      <rPr>
        <rFont val="Calibri"/>
        <b/>
        <color theme="1"/>
      </rPr>
      <t xml:space="preserve">#15:  Green: </t>
    </r>
    <r>
      <rPr>
        <rFont val="Calibri"/>
        <b val="0"/>
        <color theme="1"/>
      </rPr>
      <t>Bruce Brown</t>
    </r>
  </si>
  <si>
    <r>
      <rPr>
        <rFont val="Calibri"/>
        <b/>
        <color theme="1"/>
      </rPr>
      <t xml:space="preserve">#7:  Jowkar: </t>
    </r>
    <r>
      <rPr>
        <rFont val="Calibri"/>
        <b val="0"/>
        <color theme="1"/>
      </rPr>
      <t>Malcolm Brogdon</t>
    </r>
  </si>
  <si>
    <r>
      <rPr>
        <rFont val="Calibri"/>
        <b/>
        <color theme="1"/>
      </rPr>
      <t xml:space="preserve">#8:  Kelvin: </t>
    </r>
    <r>
      <rPr>
        <rFont val="Calibri"/>
        <b val="0"/>
        <color theme="1"/>
      </rPr>
      <t>Tre Jones</t>
    </r>
  </si>
  <si>
    <r>
      <rPr>
        <rFont val="Calibri"/>
        <b/>
        <color theme="1"/>
      </rPr>
      <t xml:space="preserve">#12:  Kelvin: </t>
    </r>
    <r>
      <rPr>
        <rFont val="Calibri"/>
        <b val="0"/>
        <color theme="1"/>
      </rPr>
      <t>Delano Banton</t>
    </r>
  </si>
  <si>
    <r>
      <rPr>
        <rFont val="Calibri"/>
        <b/>
        <color theme="1"/>
      </rPr>
      <t xml:space="preserve">#16:  Kelvin: </t>
    </r>
    <r>
      <rPr>
        <rFont val="Calibri"/>
        <b val="0"/>
        <color theme="1"/>
      </rPr>
      <t>Bronny James</t>
    </r>
  </si>
  <si>
    <t>Draft History 2021-2023 &amp; Draft Order based on results</t>
  </si>
  <si>
    <r>
      <rPr>
        <rFont val="Calibri, Arial"/>
        <b/>
        <color rgb="FF000000"/>
        <sz val="12.0"/>
      </rPr>
      <t xml:space="preserve">#1: 40% lottery odds (can't get worse than 3rd overall)
</t>
    </r>
    <r>
      <rPr>
        <rFont val="Calibri, Arial"/>
        <b val="0"/>
        <color rgb="FF000000"/>
        <sz val="12.0"/>
      </rPr>
      <t>2023: Victor Wembenyama
2022: Chet Holmgren
2021: Cade Cunningham</t>
    </r>
  </si>
  <si>
    <r>
      <rPr>
        <rFont val="Calibri, Arial"/>
        <b/>
        <color rgb="FF000000"/>
        <sz val="12.0"/>
      </rPr>
      <t xml:space="preserve">#1: Worst regular season record
</t>
    </r>
    <r>
      <rPr>
        <rFont val="Calibri, Arial"/>
        <b val="0"/>
        <color rgb="FF000000"/>
        <sz val="12.0"/>
      </rPr>
      <t>2023: Taylor Hendricks
2022: Mark Williams
2021: Moses Moody</t>
    </r>
  </si>
  <si>
    <r>
      <rPr>
        <rFont val="Calibri, Arial"/>
        <b/>
        <color rgb="FF000000"/>
        <sz val="12.0"/>
      </rPr>
      <t xml:space="preserve">#1: Worst regular season record
</t>
    </r>
    <r>
      <rPr>
        <rFont val="Calibri, Arial"/>
        <b val="0"/>
        <color rgb="FF000000"/>
        <sz val="12.0"/>
      </rPr>
      <t>2023: Brice Sensabaugh
2022: Steven Adams
2021: Onyeka Okongwu</t>
    </r>
  </si>
  <si>
    <r>
      <rPr>
        <rFont val="Calibri, Arial"/>
        <b/>
        <color rgb="FF000000"/>
        <sz val="12.0"/>
      </rPr>
      <t xml:space="preserve">#2: 30% lottery odds
</t>
    </r>
    <r>
      <rPr>
        <rFont val="Calibri, Arial"/>
        <b val="0"/>
        <color rgb="FF000000"/>
        <sz val="12.0"/>
      </rPr>
      <t>2023: Scoot Henderson
2022: Paolo Bonchero
2021: Jalen Green</t>
    </r>
  </si>
  <si>
    <r>
      <rPr>
        <rFont val="Calibri, Arial"/>
        <b/>
        <color rgb="FF000000"/>
        <sz val="12.0"/>
      </rPr>
      <t xml:space="preserve">#2: 2nd worst regular season record
</t>
    </r>
    <r>
      <rPr>
        <rFont val="Calibri, Arial"/>
        <b val="0"/>
        <color rgb="FF000000"/>
        <sz val="12.0"/>
      </rPr>
      <t>2023: Keyonte George
2022: Jalen Williams
2021: Marvin Bagley III</t>
    </r>
  </si>
  <si>
    <r>
      <rPr>
        <rFont val="Calibri, Arial"/>
        <b/>
        <color rgb="FF000000"/>
        <sz val="12.0"/>
      </rPr>
      <t xml:space="preserve">#2: 2nd worst regular season record
</t>
    </r>
    <r>
      <rPr>
        <rFont val="Calibri, Arial"/>
        <b val="0"/>
        <color rgb="FF000000"/>
        <sz val="12.0"/>
      </rPr>
      <t>2023: Peyton Watson
2022: Dorian Finey-Smith
2021: Seth Curry</t>
    </r>
  </si>
  <si>
    <r>
      <rPr>
        <rFont val="Calibri, Arial"/>
        <b/>
        <color rgb="FF000000"/>
        <sz val="12.0"/>
      </rPr>
      <t xml:space="preserve">#3: 20% lottery odds
</t>
    </r>
    <r>
      <rPr>
        <rFont val="Calibri, Arial"/>
        <b val="0"/>
        <color rgb="FF000000"/>
        <sz val="12.0"/>
      </rPr>
      <t>2023: Amen Thompson
2022: Jabari Smith Jr
2021: Jalen Suggs</t>
    </r>
  </si>
  <si>
    <r>
      <rPr>
        <rFont val="Calibri, Arial"/>
        <b/>
        <color rgb="FF000000"/>
        <sz val="12.0"/>
      </rPr>
      <t xml:space="preserve">#3: 3rd worst regular season record
</t>
    </r>
    <r>
      <rPr>
        <rFont val="Calibri, Arial"/>
        <b val="0"/>
        <color rgb="FF000000"/>
        <sz val="12.0"/>
      </rPr>
      <t>2023: Cason Wallace
2022: Jeremy Sochan
2021: Cam Thomas</t>
    </r>
  </si>
  <si>
    <r>
      <rPr>
        <rFont val="Calibri, Arial"/>
        <b/>
        <color rgb="FF000000"/>
        <sz val="12.0"/>
      </rPr>
      <t xml:space="preserve">#3: 3rd worst regular season record
</t>
    </r>
    <r>
      <rPr>
        <rFont val="Calibri, Arial"/>
        <b val="0"/>
        <color rgb="FF000000"/>
        <sz val="12.0"/>
      </rPr>
      <t>2023: Jalen Hood-Schifino
2022: Blake Wesley
2021: Markelle Fultz</t>
    </r>
  </si>
  <si>
    <r>
      <rPr>
        <rFont val="Calibri, Arial"/>
        <b/>
        <color rgb="FF000000"/>
        <sz val="12.0"/>
      </rPr>
      <t xml:space="preserve">#4: 10% lottery odds
</t>
    </r>
    <r>
      <rPr>
        <rFont val="Calibri, Arial"/>
        <b val="0"/>
        <color rgb="FF000000"/>
        <sz val="12.0"/>
      </rPr>
      <t>2023: Brandon Miller
2022: Jaden Ivey
2021: Evan Mobley</t>
    </r>
  </si>
  <si>
    <r>
      <rPr>
        <rFont val="Calibri, Arial"/>
        <b/>
        <color rgb="FF000000"/>
        <sz val="12.0"/>
      </rPr>
      <t xml:space="preserve">#4: 4th worst regular season record
</t>
    </r>
    <r>
      <rPr>
        <rFont val="Calibri, Arial"/>
        <b val="0"/>
        <color rgb="FF000000"/>
        <sz val="12.0"/>
      </rPr>
      <t>2023: Jordan Hawkins
2022: Walker Kessler
2021: Jaden McDaniels</t>
    </r>
  </si>
  <si>
    <r>
      <rPr>
        <rFont val="Calibri, Arial"/>
        <b/>
        <color rgb="FF000000"/>
        <sz val="12.0"/>
      </rPr>
      <t xml:space="preserve">#4: 4th worst regular season record
</t>
    </r>
    <r>
      <rPr>
        <rFont val="Calibri, Arial"/>
        <b val="0"/>
        <color rgb="FF000000"/>
        <sz val="12.0"/>
      </rPr>
      <t>2023: Nick Smith
2022: Jae'Sean Tate
2021: Nerlens Noel</t>
    </r>
  </si>
  <si>
    <r>
      <rPr>
        <rFont val="Calibri, Arial"/>
        <b/>
        <color rgb="FF000000"/>
        <sz val="12.0"/>
      </rPr>
      <t xml:space="preserve">#5: Loser of Play-in Round (worse record)
</t>
    </r>
    <r>
      <rPr>
        <rFont val="Calibri, Arial"/>
        <b val="0"/>
        <color rgb="FF000000"/>
        <sz val="12.0"/>
      </rPr>
      <t>2023: Ausar Thompson
2022: Keegan Murray
2021: Josh Giddey</t>
    </r>
  </si>
  <si>
    <r>
      <rPr>
        <rFont val="Calibri, Arial"/>
        <b/>
        <color rgb="FF000000"/>
        <sz val="12.0"/>
      </rPr>
      <t xml:space="preserve">#5: Loser of Play-in Round (worse record)
</t>
    </r>
    <r>
      <rPr>
        <rFont val="Calibri, Arial"/>
        <b val="0"/>
        <color rgb="FF000000"/>
        <sz val="12.0"/>
      </rPr>
      <t>2023: Leonard Miller
2022: Jake Laravia
2021: Chris Duarte</t>
    </r>
  </si>
  <si>
    <r>
      <rPr>
        <rFont val="Calibri,Arial"/>
        <b/>
        <color theme="1"/>
        <sz val="12.0"/>
      </rPr>
      <t xml:space="preserve">#5: Loser of Play-in Round (worse record)
</t>
    </r>
    <r>
      <rPr>
        <rFont val="Calibri,Arial"/>
        <b val="0"/>
        <color theme="1"/>
        <sz val="12.0"/>
      </rPr>
      <t>2023: Olivier-Maxence Prosper
2022: Bojan Bogdonavic
2021: Doug Mcdermott</t>
    </r>
  </si>
  <si>
    <r>
      <rPr>
        <rFont val="Calibri, Arial"/>
        <b/>
        <color rgb="FF000000"/>
        <sz val="12.0"/>
      </rPr>
      <t xml:space="preserve">#6: Loser of Play-in Round (better record)
</t>
    </r>
    <r>
      <rPr>
        <rFont val="Calibri, Arial"/>
        <b val="0"/>
        <color rgb="FF000000"/>
        <sz val="12.0"/>
      </rPr>
      <t>2023: Jarace Walker
2022: Jalen Duren
2021: Scottie Barnes</t>
    </r>
  </si>
  <si>
    <r>
      <rPr>
        <rFont val="Calibri, Arial"/>
        <b/>
        <color rgb="FF000000"/>
        <sz val="12.0"/>
      </rPr>
      <t xml:space="preserve">#6: Loser of Play-in Round (better record)
</t>
    </r>
    <r>
      <rPr>
        <rFont val="Calibri, Arial"/>
        <b val="0"/>
        <color rgb="FF000000"/>
        <sz val="12.0"/>
      </rPr>
      <t>2023: Brandin Podziemski
2022: Malaki Branham
2021: Zaire Williams</t>
    </r>
  </si>
  <si>
    <r>
      <rPr>
        <rFont val="Calibri,Arial"/>
        <b/>
        <color theme="1"/>
        <sz val="12.0"/>
      </rPr>
      <t xml:space="preserve">#6: Loser of Play-in Round (better record)
</t>
    </r>
    <r>
      <rPr>
        <rFont val="Calibri,Arial"/>
        <b val="0"/>
        <color theme="1"/>
        <sz val="12.0"/>
      </rPr>
      <t>2023: James Nnaji
2022: Daniel Gafford
2021: Bones Hyland</t>
    </r>
  </si>
  <si>
    <r>
      <rPr>
        <rFont val="Calibri, Arial"/>
        <b/>
        <color rgb="FF000000"/>
        <sz val="12.0"/>
      </rPr>
      <t xml:space="preserve">#7: Worst record of teams getting money back
</t>
    </r>
    <r>
      <rPr>
        <rFont val="Calibri, Arial"/>
        <b val="0"/>
        <color rgb="FF000000"/>
        <sz val="12.0"/>
      </rPr>
      <t>2023: Derek Lively II
2022: Bennedict Mathurin
2021: James Bouknight</t>
    </r>
  </si>
  <si>
    <r>
      <rPr>
        <rFont val="Calibri, Arial"/>
        <b/>
        <color rgb="FF000000"/>
        <sz val="12.0"/>
      </rPr>
      <t xml:space="preserve">#7: Worst record of teams getting money back
</t>
    </r>
    <r>
      <rPr>
        <rFont val="Calibri, Arial"/>
        <b val="0"/>
        <color rgb="FF000000"/>
        <sz val="12.0"/>
      </rPr>
      <t>2023: Kobe Bufkin
2022: TyTy Washington
2021: Victor Oladipo</t>
    </r>
  </si>
  <si>
    <r>
      <rPr>
        <rFont val="Calibri,Arial"/>
        <b/>
        <color theme="1"/>
        <sz val="12.0"/>
      </rPr>
      <t xml:space="preserve">#7: Worst record of teams getting money back
</t>
    </r>
    <r>
      <rPr>
        <rFont val="Calibri,Arial"/>
        <b val="0"/>
        <color theme="1"/>
        <sz val="12.0"/>
      </rPr>
      <t>2023: Dennis Schroder
2022: Kevin Looney
2021: Devin Vassell</t>
    </r>
  </si>
  <si>
    <r>
      <rPr>
        <rFont val="Calibri, Arial"/>
        <b/>
        <color rgb="FF000000"/>
        <sz val="12.0"/>
      </rPr>
      <t xml:space="preserve">#8: Middle record of teams getting money back
</t>
    </r>
    <r>
      <rPr>
        <rFont val="Calibri, Arial"/>
        <b val="0"/>
        <color rgb="FF000000"/>
        <sz val="12.0"/>
      </rPr>
      <t>2023: Bilal Coulibaly
2022: Shaedon Sharpe
2021: Alperen Sengun</t>
    </r>
  </si>
  <si>
    <r>
      <rPr>
        <rFont val="Calibri, Arial"/>
        <b/>
        <color rgb="FF000000"/>
        <sz val="12.0"/>
      </rPr>
      <t xml:space="preserve">#8: Middle record of teams getting money back
</t>
    </r>
    <r>
      <rPr>
        <rFont val="Calibri, Arial"/>
        <b val="0"/>
        <color rgb="FF000000"/>
        <sz val="12.0"/>
      </rPr>
      <t>2023: Saddiq Bey
2022: Johnny Davis
2021: Chuma Okeke</t>
    </r>
  </si>
  <si>
    <r>
      <rPr>
        <rFont val="Calibri,Arial"/>
        <b/>
        <color theme="1"/>
        <sz val="12.0"/>
      </rPr>
      <t xml:space="preserve">#8: Middle record of teams getting money back
</t>
    </r>
    <r>
      <rPr>
        <rFont val="Calibri,Arial"/>
        <b val="0"/>
        <color theme="1"/>
        <sz val="12.0"/>
      </rPr>
      <t>2023: Jonathan Isaac
2022: Chris Boucher
2021: Cameron Johnson</t>
    </r>
  </si>
  <si>
    <r>
      <rPr>
        <rFont val="Calibri, Arial"/>
        <b/>
        <color rgb="FF000000"/>
        <sz val="12.0"/>
      </rPr>
      <t xml:space="preserve">#9: Best record of teams getting money back
</t>
    </r>
    <r>
      <rPr>
        <rFont val="Calibri, Arial"/>
        <b val="0"/>
        <color rgb="FF000000"/>
        <sz val="12.0"/>
      </rPr>
      <t>2023: Anthony Black
2022: Tari Eason
2021: Davion Mitchell</t>
    </r>
  </si>
  <si>
    <r>
      <rPr>
        <rFont val="Calibri, Arial"/>
        <b/>
        <color rgb="FF000000"/>
        <sz val="12.0"/>
      </rPr>
      <t xml:space="preserve">#9: Best record of teams getting money back
</t>
    </r>
    <r>
      <rPr>
        <rFont val="Calibri, Arial"/>
        <b val="0"/>
        <color rgb="FF000000"/>
        <sz val="12.0"/>
      </rPr>
      <t>2023: Jett Howard
2022: AJ Griffin
2021: Lonnie Walker IV</t>
    </r>
  </si>
  <si>
    <r>
      <rPr>
        <rFont val="Calibri,Arial"/>
        <b/>
        <color theme="1"/>
        <sz val="12.0"/>
      </rPr>
      <t xml:space="preserve">#9: Best record of teams getting money back
</t>
    </r>
    <r>
      <rPr>
        <rFont val="Calibri,Arial"/>
        <b val="0"/>
        <color theme="1"/>
        <sz val="12.0"/>
      </rPr>
      <t>2023: Caleb Martin
2022: Rui Hachimura
2021: Nicholas Claxton</t>
    </r>
  </si>
  <si>
    <r>
      <rPr>
        <rFont val="Calibri, Arial"/>
        <b/>
        <color rgb="FF000000"/>
        <sz val="12.0"/>
      </rPr>
      <t xml:space="preserve">#10: Champion
</t>
    </r>
    <r>
      <rPr>
        <rFont val="Calibri, Arial"/>
        <b val="0"/>
        <color rgb="FF000000"/>
        <sz val="12.0"/>
      </rPr>
      <t>2023: Gradey Dick
2022: Dyson Daniels
2021: Jonathan Kuminga</t>
    </r>
  </si>
  <si>
    <r>
      <rPr>
        <rFont val="Calibri, Arial"/>
        <b/>
        <color rgb="FF000000"/>
        <sz val="12.0"/>
      </rPr>
      <t xml:space="preserve">#10: Champion
</t>
    </r>
    <r>
      <rPr>
        <rFont val="Calibri, Arial"/>
        <b val="0"/>
        <color rgb="FF000000"/>
        <sz val="12.0"/>
      </rPr>
      <t>2023: Jaime Jacquez
2022: Quentin Grimes
2021: Josh Christopher</t>
    </r>
  </si>
  <si>
    <r>
      <rPr>
        <rFont val="Calibri,Arial"/>
        <b/>
        <color theme="1"/>
        <sz val="12.0"/>
      </rPr>
      <t xml:space="preserve">#10: Champion
</t>
    </r>
    <r>
      <rPr>
        <rFont val="Calibri,Arial"/>
        <b val="0"/>
        <color theme="1"/>
        <sz val="12.0"/>
      </rPr>
      <t>2023: Grant Williams
2022: Jaden Hardy
2021: Desmond Bane</t>
    </r>
  </si>
  <si>
    <r>
      <rPr>
        <rFont val="Calibri, Arial"/>
        <b/>
        <color rgb="FF000000"/>
        <sz val="12.0"/>
      </rPr>
      <t xml:space="preserve">#10: Comp Pick (if needed)
</t>
    </r>
    <r>
      <rPr>
        <rFont val="Calibri, Arial"/>
        <b val="0"/>
        <color rgb="FF000000"/>
        <sz val="12.0"/>
      </rPr>
      <t>2023: Cam Whitmore</t>
    </r>
  </si>
  <si>
    <t>Centers Audit: 35-40% of the way through the season</t>
  </si>
  <si>
    <t>Primary position (current)</t>
  </si>
  <si>
    <t>Change Needed?</t>
  </si>
  <si>
    <t>Celtics</t>
  </si>
  <si>
    <t>C</t>
  </si>
  <si>
    <t>76ers</t>
  </si>
  <si>
    <t>Knicks</t>
  </si>
  <si>
    <t>Mitchell Robinson</t>
  </si>
  <si>
    <t>Nets</t>
  </si>
  <si>
    <t>Nicholas Claxton</t>
  </si>
  <si>
    <t>Raptors</t>
  </si>
  <si>
    <t>Joekb Poertl</t>
  </si>
  <si>
    <t>Bucks</t>
  </si>
  <si>
    <t>Brook Lopez</t>
  </si>
  <si>
    <t>Pacers</t>
  </si>
  <si>
    <t>Myles Turner</t>
  </si>
  <si>
    <t>Bulls</t>
  </si>
  <si>
    <t>Nikola Vucevic</t>
  </si>
  <si>
    <t>Cavs</t>
  </si>
  <si>
    <t>Jarrett Allen</t>
  </si>
  <si>
    <t>Pistons</t>
  </si>
  <si>
    <t>Jalen Duren</t>
  </si>
  <si>
    <t>Heat</t>
  </si>
  <si>
    <t>Bam Adebayo</t>
  </si>
  <si>
    <t>Hawks</t>
  </si>
  <si>
    <t>Clint Capella</t>
  </si>
  <si>
    <t>Hornets</t>
  </si>
  <si>
    <t>Mark Williams</t>
  </si>
  <si>
    <t>Wizards</t>
  </si>
  <si>
    <t>Jonas Valuncianus</t>
  </si>
  <si>
    <t>Magic</t>
  </si>
  <si>
    <t>Wendall Carter Jr</t>
  </si>
  <si>
    <t>uce</t>
  </si>
  <si>
    <r>
      <rPr>
        <rFont val="Arial"/>
        <b/>
        <color rgb="FFFFFFFF"/>
        <sz val="11.0"/>
      </rPr>
      <t>Jowkar (</t>
    </r>
    <r>
      <rPr>
        <rFont val="Arial"/>
        <b/>
        <color rgb="FFFF0000"/>
        <sz val="11.0"/>
      </rPr>
      <t>!</t>
    </r>
    <r>
      <rPr>
        <rFont val="Arial"/>
        <b/>
        <color rgb="FFFFFFFF"/>
        <sz val="11.0"/>
      </rPr>
      <t>)</t>
    </r>
  </si>
  <si>
    <r>
      <rPr>
        <rFont val="Arial"/>
        <b/>
        <color rgb="FFFFFFFF"/>
        <sz val="11.0"/>
      </rPr>
      <t>Delaney (</t>
    </r>
    <r>
      <rPr>
        <rFont val="Arial"/>
        <b/>
        <color rgb="FFFF0000"/>
        <sz val="11.0"/>
      </rPr>
      <t>!</t>
    </r>
    <r>
      <rPr>
        <rFont val="Arial"/>
        <b/>
        <color rgb="FFFFFFFF"/>
        <sz val="11.0"/>
      </rPr>
      <t>)</t>
    </r>
  </si>
  <si>
    <t>2022-23 Fantasy Season</t>
  </si>
  <si>
    <t>10/18/22 - 2/12/23</t>
  </si>
  <si>
    <t>"The Offseason" : 2023</t>
  </si>
  <si>
    <t>2/13/23 - 8/14/23</t>
  </si>
  <si>
    <t>2023 Drops</t>
  </si>
  <si>
    <t>DELA Peterson 2025 1st Round</t>
  </si>
  <si>
    <t>18 Regular Season Trades</t>
  </si>
  <si>
    <t>KELL Karl Anthony-Towns</t>
  </si>
  <si>
    <t>JOWK Michael Porter Jr.</t>
  </si>
  <si>
    <r>
      <rPr>
        <rFont val="Arial"/>
        <color theme="1"/>
        <sz val="11.0"/>
      </rPr>
      <t>1st Round Vlandis* (</t>
    </r>
    <r>
      <rPr>
        <rFont val="Arial"/>
        <color rgb="FFFF9900"/>
        <sz val="11.0"/>
      </rPr>
      <t>Delaney 2023 1st owns swap rights</t>
    </r>
    <r>
      <rPr>
        <rFont val="Arial"/>
        <color theme="1"/>
        <sz val="11.0"/>
      </rPr>
      <t>)</t>
    </r>
  </si>
  <si>
    <t>2nd Round Vlandis</t>
  </si>
  <si>
    <t>DELA Jowkar 2023 2nd Round</t>
  </si>
  <si>
    <t>KELL Jusuf Nurkic</t>
  </si>
  <si>
    <t>JOWK Cam Thomas</t>
  </si>
  <si>
    <t>Norman Powell</t>
  </si>
  <si>
    <r>
      <rPr>
        <rFont val="Arial"/>
        <color theme="1"/>
        <sz val="11.0"/>
      </rPr>
      <t>1st Round Delaney** (</t>
    </r>
    <r>
      <rPr>
        <rFont val="Arial"/>
        <color rgb="FFFF9900"/>
        <sz val="11.0"/>
      </rPr>
      <t>Right to swap with Vlandis 2023 1st</t>
    </r>
    <r>
      <rPr>
        <rFont val="Arial"/>
        <color theme="1"/>
        <sz val="11.0"/>
      </rPr>
      <t>)</t>
    </r>
  </si>
  <si>
    <t>JOWK Kris Dunn</t>
  </si>
  <si>
    <t>Marcus Morris</t>
  </si>
  <si>
    <t>HALE Brandom Ingram</t>
  </si>
  <si>
    <t>BERK Green 2024 1st Round</t>
  </si>
  <si>
    <t>JOWK Jowkar 2024 1st round</t>
  </si>
  <si>
    <t>Drew Eubanks</t>
  </si>
  <si>
    <t>Christian Koloko</t>
  </si>
  <si>
    <t>Larry Nance</t>
  </si>
  <si>
    <t>HALE Berke 2025 2nd Round</t>
  </si>
  <si>
    <t>BERK Berke 2026 1st Round</t>
  </si>
  <si>
    <t>JOWK Berke 2025 1st round</t>
  </si>
  <si>
    <t>Nick Richard’s</t>
  </si>
  <si>
    <t>Royce O’neale</t>
  </si>
  <si>
    <t>2023 (Year III)</t>
  </si>
  <si>
    <t>BERK Berke 2027 1st Round</t>
  </si>
  <si>
    <t>JOWK Gold 2026 2nd round</t>
  </si>
  <si>
    <t>Aaron Nesmith</t>
  </si>
  <si>
    <r>
      <rPr>
        <rFont val="Arial"/>
        <b/>
        <color rgb="FFFFFFFF"/>
        <sz val="11.0"/>
      </rPr>
      <t>Gold (</t>
    </r>
    <r>
      <rPr>
        <rFont val="Arial"/>
        <b/>
        <color rgb="FFFF0000"/>
        <sz val="11.0"/>
      </rPr>
      <t>!</t>
    </r>
    <r>
      <rPr>
        <rFont val="Arial"/>
        <b/>
        <color rgb="FFFFFFFF"/>
        <sz val="11.0"/>
      </rPr>
      <t>)</t>
    </r>
  </si>
  <si>
    <t>Vlandis</t>
  </si>
  <si>
    <r>
      <rPr>
        <rFont val="Arial"/>
        <b/>
        <color rgb="FFFFFFFF"/>
        <sz val="11.0"/>
      </rPr>
      <t>Zujewski (</t>
    </r>
    <r>
      <rPr>
        <rFont val="Arial"/>
        <b/>
        <color rgb="FFFF0000"/>
        <sz val="11.0"/>
      </rPr>
      <t>!</t>
    </r>
    <r>
      <rPr>
        <rFont val="Arial"/>
        <b/>
        <color rgb="FFFFFFFF"/>
        <sz val="11.0"/>
      </rPr>
      <t>)</t>
    </r>
  </si>
  <si>
    <t>JOWK Kelley 2027 2nd round</t>
  </si>
  <si>
    <t>JRE</t>
  </si>
  <si>
    <t>PETE Paul George</t>
  </si>
  <si>
    <t>BERK Dejounte Murray</t>
  </si>
  <si>
    <t>PETE Jimmy Butler</t>
  </si>
  <si>
    <t>DELA Pascal Siakam</t>
  </si>
  <si>
    <t>JOWK Berke 2023 1st round (#6 overall)</t>
  </si>
  <si>
    <t>Killian Hayes</t>
  </si>
  <si>
    <t>NAW</t>
  </si>
  <si>
    <t>PETE Tobias Harris</t>
  </si>
  <si>
    <t>BERK Bones Hyland</t>
  </si>
  <si>
    <t>JOWK Peterson 2025 1st round</t>
  </si>
  <si>
    <t>Blake Wesley</t>
  </si>
  <si>
    <t>Jonathan Isaac</t>
  </si>
  <si>
    <t>BERK Collin Sexton</t>
  </si>
  <si>
    <t>JOWK Jowkar 2023 2nd round (#13 overall)</t>
  </si>
  <si>
    <t>Ochai Agbaji</t>
  </si>
  <si>
    <t>Isaiah Jackson</t>
  </si>
  <si>
    <t>Marvin Bagley (Bagels)</t>
  </si>
  <si>
    <t>JOWK Moses Moody</t>
  </si>
  <si>
    <t>Jordan Nowara</t>
  </si>
  <si>
    <t>PETE Jarred Vanderbilt</t>
  </si>
  <si>
    <t>GREEN Nicolas Claxton</t>
  </si>
  <si>
    <t>Josh Richardson</t>
  </si>
  <si>
    <t>Isaiah Hartenstein</t>
  </si>
  <si>
    <t>TRAG John Collins</t>
  </si>
  <si>
    <t>John Wall</t>
  </si>
  <si>
    <t>* Swap rights w/Delaney FRP, swap if Vlandis FRP is higher pick</t>
  </si>
  <si>
    <t>GOLD Kristaps Porzingis</t>
  </si>
  <si>
    <t>MOSS Moss 2023 1st round</t>
  </si>
  <si>
    <t>TRAG Green 2023 2nd round (#14 overall)</t>
  </si>
  <si>
    <t>DELA Jowkar 2023 2nd round (#13 overall)</t>
  </si>
  <si>
    <t>Lu Dort</t>
  </si>
  <si>
    <t>** Swap rights w/Vlandis FRP, swap if Vlandis FRP is higher pick</t>
  </si>
  <si>
    <t>MOSS Vlandis 2024 1st round</t>
  </si>
  <si>
    <t>Jevon Carter</t>
  </si>
  <si>
    <t xml:space="preserve">MOSS  Moss 2024 2nd round </t>
  </si>
  <si>
    <t>PETE Nicholas Claxton</t>
  </si>
  <si>
    <t>TRAG Peterson 2025 1st round</t>
  </si>
  <si>
    <t>John Konchar</t>
  </si>
  <si>
    <t>TRAG Trager 2026 1st round</t>
  </si>
  <si>
    <t>Mo Wagner</t>
  </si>
  <si>
    <t>Jalen McDaniels</t>
  </si>
  <si>
    <t xml:space="preserve">2023 Draft Order: </t>
  </si>
  <si>
    <t>1st Rd Owner</t>
  </si>
  <si>
    <t>2nd Rd Owner</t>
  </si>
  <si>
    <t>3rd Rd Owner
Compensatory Round</t>
  </si>
  <si>
    <t>JOWK De'Andre Hunter</t>
  </si>
  <si>
    <t>VLAND Vlandis 2027 2nd round</t>
  </si>
  <si>
    <t>TRAG Kelley 2023 2nd round (#19 overall)</t>
  </si>
  <si>
    <t>Isaiah Joe</t>
  </si>
  <si>
    <t>#1:      Lottery #1 (40% Trager)</t>
  </si>
  <si>
    <t>Doug McDermott</t>
  </si>
  <si>
    <t>Tyty Washington</t>
  </si>
  <si>
    <t>#2:      Lottery #2  (30% Jowkar)</t>
  </si>
  <si>
    <t>MOSS Brandon Clarke</t>
  </si>
  <si>
    <t>GOLD Kyle Anderson</t>
  </si>
  <si>
    <t>PETE Derrick White</t>
  </si>
  <si>
    <t>JOWK Jusuf Nurkic</t>
  </si>
  <si>
    <t>Davion Mitchell</t>
  </si>
  <si>
    <t>#3:      Lottery #3 (30% Green)</t>
  </si>
  <si>
    <t>PETE Kelley 2023 2nd round (#19 overall)</t>
  </si>
  <si>
    <t>JOWK Berke 2023 2nd round (#17 overall)</t>
  </si>
  <si>
    <t>Dillon Brooks</t>
  </si>
  <si>
    <t>#4       Gold</t>
  </si>
  <si>
    <t>HALE Marcus Smart</t>
  </si>
  <si>
    <t>PETE Green 2023 2nd round</t>
  </si>
  <si>
    <t>Jaylen Nowell</t>
  </si>
  <si>
    <t>#5:      Zujewski</t>
  </si>
  <si>
    <t>HALE Will Barton</t>
  </si>
  <si>
    <t>PETE Jowkar 2024 2nd round swap rights (connected to Trager 2024 SRP)</t>
  </si>
  <si>
    <t>GOLD Kyle Kuzma</t>
  </si>
  <si>
    <t>DELA Green 2024 1st round</t>
  </si>
  <si>
    <t>Caleb Martin</t>
  </si>
  <si>
    <t>Chris Duarte</t>
  </si>
  <si>
    <t>GOLD Tyus Jones</t>
  </si>
  <si>
    <t>DELA Green 2023 2nd round (#14 overall)</t>
  </si>
  <si>
    <t>Trey Lyles</t>
  </si>
  <si>
    <t>Darius Bazley</t>
  </si>
  <si>
    <t>#7:      Delaney</t>
  </si>
  <si>
    <r>
      <rPr>
        <rFont val="Arial"/>
        <color rgb="FFFF0000"/>
        <sz val="11.0"/>
      </rPr>
      <t xml:space="preserve">Kelvin </t>
    </r>
    <r>
      <rPr>
        <rFont val="Arial"/>
        <color rgb="FF000000"/>
        <sz val="11.0"/>
      </rPr>
      <t>Receives</t>
    </r>
  </si>
  <si>
    <r>
      <rPr>
        <rFont val="Arial"/>
        <color rgb="FF6AA84F"/>
        <sz val="11.0"/>
      </rPr>
      <t xml:space="preserve">Trager </t>
    </r>
    <r>
      <rPr>
        <rFont val="Arial"/>
        <color rgb="FF000000"/>
        <sz val="11.0"/>
      </rPr>
      <t>Receives</t>
    </r>
    <r>
      <rPr>
        <rFont val="Arial"/>
        <color rgb="FF6AA84F"/>
        <sz val="11.0"/>
      </rPr>
      <t xml:space="preserve"> </t>
    </r>
  </si>
  <si>
    <r>
      <rPr>
        <rFont val="Arial"/>
        <color rgb="FF4A86E8"/>
        <sz val="11.0"/>
      </rPr>
      <t xml:space="preserve">Jowkar </t>
    </r>
    <r>
      <rPr>
        <rFont val="Arial"/>
        <color rgb="FF000000"/>
        <sz val="11.0"/>
      </rPr>
      <t>Receives</t>
    </r>
  </si>
  <si>
    <t>GOLD Cole Anthony</t>
  </si>
  <si>
    <t>Xavier Tillman</t>
  </si>
  <si>
    <t>#8:      Vlandis/Kelley</t>
  </si>
  <si>
    <t>JOWK Buddy Hield</t>
  </si>
  <si>
    <t>PETE KJ Martin</t>
  </si>
  <si>
    <t>PETE Berke 2023 2nd round</t>
  </si>
  <si>
    <t>#9:      Moss</t>
  </si>
  <si>
    <t>HALE Green 2026 2nd round</t>
  </si>
  <si>
    <r>
      <rPr>
        <rFont val="Arial"/>
        <color rgb="FF4285F4"/>
      </rPr>
      <t>Kelley</t>
    </r>
    <r>
      <rPr>
        <rFont val="Arial"/>
        <color theme="1"/>
      </rPr>
      <t xml:space="preserve"> Receives</t>
    </r>
  </si>
  <si>
    <r>
      <rPr>
        <rFont val="Arial"/>
        <color rgb="FFFBBC04"/>
      </rPr>
      <t>Gold</t>
    </r>
    <r>
      <rPr>
        <rFont val="Arial"/>
        <color theme="1"/>
      </rPr>
      <t xml:space="preserve"> Recieves</t>
    </r>
  </si>
  <si>
    <r>
      <rPr>
        <rFont val="Arial"/>
        <color rgb="FF34A853"/>
        <sz val="10.0"/>
      </rPr>
      <t>Green</t>
    </r>
    <r>
      <rPr>
        <rFont val="Arial"/>
        <color theme="1"/>
        <sz val="10.0"/>
      </rPr>
      <t xml:space="preserve"> receives</t>
    </r>
  </si>
  <si>
    <r>
      <rPr>
        <rFont val="Arial"/>
        <color rgb="FFB45F06"/>
      </rPr>
      <t>Trager</t>
    </r>
    <r>
      <rPr>
        <rFont val="Arial"/>
        <color theme="1"/>
      </rPr>
      <t xml:space="preserve"> receives</t>
    </r>
  </si>
  <si>
    <t>GREEN Mikal Bridges</t>
  </si>
  <si>
    <t>GREEN Jalen Duren</t>
  </si>
  <si>
    <t>KELL Jalen Brunson</t>
  </si>
  <si>
    <t>KELL Berke 2025 1st round</t>
  </si>
  <si>
    <t>#11: Compensatory</t>
  </si>
  <si>
    <t>VLAND Gold 2023 2nd round</t>
  </si>
  <si>
    <t>BERK Kelly Oubre Jr.</t>
  </si>
  <si>
    <t>GREEN Delaney 2023 1st round (#7 overall)</t>
  </si>
  <si>
    <t xml:space="preserve">KELL Green 2024 1st round receives right to swap with Berke 2024 1st round </t>
  </si>
  <si>
    <t>KELL Donovan Mitchell</t>
  </si>
  <si>
    <t>KELL swap rights to Kelley 2027 1st round (connected to Trager 2027 1st round, top 3 protected, convey to Kelley 2028 1st round)</t>
  </si>
  <si>
    <t>VLAND Moss 2023 2nd round</t>
  </si>
  <si>
    <t>GREEN Peterson 2023 1st round (#10 overall)</t>
  </si>
  <si>
    <t>KELL Gold 2024 1st round receives right to swap with Kelley 2024 1st round</t>
  </si>
  <si>
    <t>KELL Delaney 2023 2nd round (#18 overall)</t>
  </si>
  <si>
    <t>VLAND De'Andre Hunter</t>
  </si>
  <si>
    <t>GREEN Berke 2024 1st round</t>
  </si>
  <si>
    <t>GOLD Kelley 2024 1st round</t>
  </si>
  <si>
    <t>DELA Vlandis 2026 1st round</t>
  </si>
  <si>
    <t>HALE Green 2024 1st round</t>
  </si>
  <si>
    <t>GOLD Moss 2024 2nd round</t>
  </si>
  <si>
    <t>HALE Jowkar 2026 2nd round</t>
  </si>
  <si>
    <t>TRAG Kelley 2025 1st round</t>
  </si>
  <si>
    <t>HALE Trager 2026 2nd round</t>
  </si>
  <si>
    <t>GREEN Green 2025 1st round</t>
  </si>
  <si>
    <t>GREEN rescinds top 1 protection of 2024 1st round pick, allows Green 2025 1st round to be traded</t>
  </si>
  <si>
    <t>DELA Wendall Carter Jr.</t>
  </si>
  <si>
    <t>ZJEW Kyrie Irving</t>
  </si>
  <si>
    <t>DELA Dennis Smith Jr.</t>
  </si>
  <si>
    <t>GOLD Cam Johnson</t>
  </si>
  <si>
    <t>DELA Delaney 2027 1st round</t>
  </si>
  <si>
    <t>DELA Delaney 2026 1st round</t>
  </si>
  <si>
    <t>GOLD Green 2023 2nd round (#14 overall)</t>
  </si>
  <si>
    <t>BERK Delaney 2024 1st round</t>
  </si>
  <si>
    <t>ZJEW Kawhi Leonard</t>
  </si>
  <si>
    <t>August 13th 2023</t>
  </si>
  <si>
    <t>BERK Moss 2024 1st round</t>
  </si>
  <si>
    <t>/ / / / / / / / /     Draft Day 2023        / / / / / / / / /</t>
  </si>
  <si>
    <t>Jowkar benched Jaden Ivey over Jericho Sims AND Cam Reddish</t>
  </si>
  <si>
    <t>PETE Jaren Jackson Jr</t>
  </si>
  <si>
    <t>ZJEW Anthony Davis</t>
  </si>
  <si>
    <t>KELL Cam Whitmore</t>
  </si>
  <si>
    <t>JOWK Gold 2023 2nd round (#15 overall)</t>
  </si>
  <si>
    <t>Zujewski benched Jalen Williams over Chris Duarte AND Romeo Langford</t>
  </si>
  <si>
    <t>PETE Moss 2026 1st round</t>
  </si>
  <si>
    <t>ZJEW Josh Hart</t>
  </si>
  <si>
    <t>JOWK Moss 2026 2nd round</t>
  </si>
  <si>
    <t>Gold benched Paolo Banchero over Christian Koloko AND Precious Achiuwa</t>
  </si>
  <si>
    <t>PETE Peterson 2023 2nd round</t>
  </si>
  <si>
    <t>ZJEW Zujewski 2026 2nd round</t>
  </si>
  <si>
    <t>JOWK Jowkar 2027 2nd round</t>
  </si>
  <si>
    <t>1/14/23 &amp; 1/15/23</t>
  </si>
  <si>
    <t>Delaney didn't set lineup consecutive weekend days</t>
  </si>
  <si>
    <t>PETE Delaney 2024 2nd round</t>
  </si>
  <si>
    <t>ZJEW Zujewski 2027 2nd round</t>
  </si>
  <si>
    <t>JOWK Cam Whitmore</t>
  </si>
  <si>
    <t xml:space="preserve">GOLD Delaney 2027 1st round </t>
  </si>
  <si>
    <t>BERK Gold 2023 2nd round</t>
  </si>
  <si>
    <t>JOWK Donte DiVincenzo</t>
  </si>
  <si>
    <t>GOLD Gold 2027 2nd round</t>
  </si>
  <si>
    <t>1st call up - Oct 17th 2022</t>
  </si>
  <si>
    <t>2nd call up - Nov 20th 2022</t>
  </si>
  <si>
    <t>3rd call up - Jan 1st 2023</t>
  </si>
  <si>
    <t>4th call up - Feb 12th 2023</t>
  </si>
  <si>
    <t>JOWK Cam Reddish</t>
  </si>
  <si>
    <t>GOLD Gold 2028 2nd round</t>
  </si>
  <si>
    <t>BERK Jordan Clarkson</t>
  </si>
  <si>
    <t>JOWK Mo Bamba</t>
  </si>
  <si>
    <t>TRAG Deandre Ayton</t>
  </si>
  <si>
    <t>ZJEW Ausar Thompson</t>
  </si>
  <si>
    <t>Walker Kessler</t>
  </si>
  <si>
    <t>TRAG Taylor Hendricks</t>
  </si>
  <si>
    <t>ZJEW Delaney 2024 1st round</t>
  </si>
  <si>
    <t>Jalen Johnson</t>
  </si>
  <si>
    <t>JOWK Jordan Clarkson</t>
  </si>
  <si>
    <t>MOSS Moss 2026 2nd round</t>
  </si>
  <si>
    <t>TRAG Keyonte George</t>
  </si>
  <si>
    <t>ZJEW Zujewski 2023 2nd round (#15 overall)</t>
  </si>
  <si>
    <t>MOSS Moss 2027 2nd round</t>
  </si>
  <si>
    <t>TRAG Trager 2025 2nd round</t>
  </si>
  <si>
    <t>Dalen Terry</t>
  </si>
  <si>
    <t>BERK Tobias Harris</t>
  </si>
  <si>
    <t>Josh Hart</t>
  </si>
  <si>
    <t>Onyeka Okongwu</t>
  </si>
  <si>
    <t>BERK Berke 2026 2nd round</t>
  </si>
  <si>
    <t>Harrison Barnes</t>
  </si>
  <si>
    <t>James Bouknight</t>
  </si>
  <si>
    <t>De'Andre Hunter</t>
  </si>
  <si>
    <t>Johnny Davis</t>
  </si>
  <si>
    <t>Cam Reddish</t>
  </si>
  <si>
    <t>BERK swap rights to Berke 2025 2nd round (connected to Peterson 2025 2nd round)</t>
  </si>
  <si>
    <t>MarJon Beauchamp</t>
  </si>
  <si>
    <t>Jaden Hardy</t>
  </si>
  <si>
    <t>Jake LaRavia</t>
  </si>
  <si>
    <t>Talen Horton-Tucker</t>
  </si>
  <si>
    <t>Kenyon Martin</t>
  </si>
  <si>
    <t>Chuma Okeke</t>
  </si>
  <si>
    <t>2023 Rookie Draft Recap: August 13th, 2023</t>
  </si>
  <si>
    <r>
      <rPr>
        <rFont val="Calibri, Arial"/>
        <b/>
        <color rgb="FF000000"/>
      </rPr>
      <t xml:space="preserve">#1: Jowkar: </t>
    </r>
    <r>
      <rPr>
        <rFont val="Calibri, Arial"/>
        <b val="0"/>
        <color rgb="FF000000"/>
      </rPr>
      <t>Victor Wembenyama</t>
    </r>
  </si>
  <si>
    <r>
      <rPr>
        <rFont val="Calibri, Arial"/>
        <b/>
        <color rgb="FF000000"/>
      </rPr>
      <t xml:space="preserve">#1:  Trager: </t>
    </r>
    <r>
      <rPr>
        <rFont val="Calibri, Arial"/>
        <b val="0"/>
        <color rgb="FF000000"/>
      </rPr>
      <t xml:space="preserve">Taylor Hendricks </t>
    </r>
    <r>
      <rPr>
        <rFont val="Calibri, Arial"/>
        <b/>
        <color rgb="FF000000"/>
      </rPr>
      <t>-&gt; Traded to Zujewski</t>
    </r>
  </si>
  <si>
    <r>
      <rPr>
        <rFont val="Calibri, Arial"/>
        <b/>
        <color rgb="FF000000"/>
      </rPr>
      <t xml:space="preserve">#1:  Trager: </t>
    </r>
    <r>
      <rPr>
        <rFont val="Calibri, Arial"/>
        <b val="0"/>
        <color rgb="FF000000"/>
      </rPr>
      <t>Lonzo to IR -&gt; Brice Sensabaugh</t>
    </r>
  </si>
  <si>
    <r>
      <rPr>
        <rFont val="Calibri, Arial"/>
        <b/>
        <color rgb="FF000000"/>
      </rPr>
      <t xml:space="preserve">#2:  Green: </t>
    </r>
    <r>
      <rPr>
        <rFont val="Calibri, Arial"/>
        <b val="0"/>
        <color rgb="FF000000"/>
      </rPr>
      <t>Scoot Henderson</t>
    </r>
  </si>
  <si>
    <r>
      <rPr>
        <rFont val="Calibri, Arial"/>
        <b/>
        <color rgb="FF000000"/>
      </rPr>
      <t>#2:</t>
    </r>
    <r>
      <rPr>
        <rFont val="Calibri, Arial"/>
        <b/>
        <color rgb="FF0000FF"/>
      </rPr>
      <t xml:space="preserve"> </t>
    </r>
    <r>
      <rPr>
        <rFont val="Calibri, Arial"/>
        <b/>
        <color rgb="FF000000"/>
      </rPr>
      <t>Trager:</t>
    </r>
    <r>
      <rPr>
        <rFont val="Calibri, Arial"/>
        <b val="0"/>
        <color rgb="FF000000"/>
      </rPr>
      <t xml:space="preserve"> Keyonte George </t>
    </r>
    <r>
      <rPr>
        <rFont val="Calibri, Arial"/>
        <b/>
        <color rgb="FF000000"/>
      </rPr>
      <t>-&gt; Traded to Zujewski</t>
    </r>
  </si>
  <si>
    <r>
      <rPr>
        <rFont val="Calibri, Arial"/>
        <b/>
        <color rgb="FF000000"/>
      </rPr>
      <t xml:space="preserve">#2:  Jowkar: </t>
    </r>
    <r>
      <rPr>
        <rFont val="Calibri, Arial"/>
        <b val="0"/>
        <color rgb="FF000000"/>
      </rPr>
      <t>Lamelo to IR -&gt; Peyton Watson</t>
    </r>
  </si>
  <si>
    <r>
      <rPr>
        <rFont val="Calibri, Arial"/>
        <b/>
        <color rgb="FF000000"/>
      </rPr>
      <t xml:space="preserve">#3:  Trager: </t>
    </r>
    <r>
      <rPr>
        <rFont val="Calibri, Arial"/>
        <b val="0"/>
        <color rgb="FF000000"/>
      </rPr>
      <t>Amen Thompson</t>
    </r>
  </si>
  <si>
    <r>
      <rPr>
        <rFont val="Calibri, Arial"/>
        <b/>
        <color rgb="FF000000"/>
      </rPr>
      <t xml:space="preserve">#3:   Delaney: </t>
    </r>
    <r>
      <rPr>
        <rFont val="Calibri, Arial"/>
        <b val="0"/>
        <color rgb="FF000000"/>
      </rPr>
      <t>Cason Wallace</t>
    </r>
  </si>
  <si>
    <r>
      <rPr>
        <rFont val="Calibri, Arial"/>
        <b/>
        <color rgb="FF000000"/>
      </rPr>
      <t xml:space="preserve">#3: Green: </t>
    </r>
    <r>
      <rPr>
        <rFont val="Calibri, Arial"/>
        <b val="0"/>
        <color rgb="FF000000"/>
      </rPr>
      <t>Jalen Hood-Schifino</t>
    </r>
  </si>
  <si>
    <r>
      <rPr>
        <rFont val="Calibri, Arial"/>
        <b/>
        <color rgb="FF000000"/>
      </rPr>
      <t xml:space="preserve">#4:  Moss: </t>
    </r>
    <r>
      <rPr>
        <rFont val="Calibri, Arial"/>
        <b val="0"/>
        <color rgb="FF000000"/>
      </rPr>
      <t>Brandon Miller</t>
    </r>
  </si>
  <si>
    <r>
      <rPr>
        <rFont val="Calibri, Arial"/>
        <b/>
        <color rgb="FF000000"/>
      </rPr>
      <t xml:space="preserve">#4:  Jowkar: </t>
    </r>
    <r>
      <rPr>
        <rFont val="Calibri, Arial"/>
        <b val="0"/>
        <color rgb="FF000000"/>
      </rPr>
      <t xml:space="preserve">Jordan Hawkins -&gt; </t>
    </r>
    <r>
      <rPr>
        <rFont val="Calibri, Arial"/>
        <b/>
        <color rgb="FF000000"/>
      </rPr>
      <t>Traded to Kelley</t>
    </r>
  </si>
  <si>
    <r>
      <rPr>
        <rFont val="Calibri, Arial"/>
        <b/>
        <color rgb="FF000000"/>
      </rPr>
      <t xml:space="preserve">#4:  Gold: </t>
    </r>
    <r>
      <rPr>
        <rFont val="Calibri, Arial"/>
        <b val="0"/>
        <color rgb="FF000000"/>
      </rPr>
      <t>Nick Smith</t>
    </r>
  </si>
  <si>
    <r>
      <rPr>
        <rFont val="Calibri, Arial"/>
        <b/>
        <color rgb="FF000000"/>
      </rPr>
      <t xml:space="preserve">#5:  Zujewski: </t>
    </r>
    <r>
      <rPr>
        <rFont val="Calibri, Arial"/>
        <b val="0"/>
        <color rgb="FF000000"/>
      </rPr>
      <t xml:space="preserve">Ausar Thompson -&gt; </t>
    </r>
    <r>
      <rPr>
        <rFont val="Calibri, Arial"/>
        <b/>
        <color rgb="FF000000"/>
      </rPr>
      <t>Traded to Trager</t>
    </r>
  </si>
  <si>
    <r>
      <rPr>
        <rFont val="Calibri, Arial"/>
        <b/>
        <color rgb="FF000000"/>
      </rPr>
      <t xml:space="preserve">#5:   Zujewski: </t>
    </r>
    <r>
      <rPr>
        <rFont val="Calibri, Arial"/>
        <b val="0"/>
        <color rgb="FF000000"/>
      </rPr>
      <t xml:space="preserve">Leonard Miller - &gt; </t>
    </r>
    <r>
      <rPr>
        <rFont val="Calibri, Arial"/>
        <b/>
        <color rgb="FF000000"/>
      </rPr>
      <t>Traded to Trager</t>
    </r>
  </si>
  <si>
    <r>
      <rPr>
        <rFont val="Calibri, Arial"/>
        <b/>
        <color rgb="FF000000"/>
      </rPr>
      <t xml:space="preserve">#5:  ZujewskI: </t>
    </r>
    <r>
      <rPr>
        <rFont val="Calibri, Arial"/>
        <b val="0"/>
        <color rgb="FF000000"/>
      </rPr>
      <t>Dennis Smith to IR -&gt; Olivier-Maxence Prosper</t>
    </r>
  </si>
  <si>
    <r>
      <rPr>
        <rFont val="Calibri, Arial"/>
        <b/>
        <color rgb="FF000000"/>
      </rPr>
      <t xml:space="preserve">#6:  Delaney: </t>
    </r>
    <r>
      <rPr>
        <rFont val="Calibri, Arial"/>
        <b val="0"/>
        <color rgb="FF000000"/>
      </rPr>
      <t>Jarace Walker</t>
    </r>
  </si>
  <si>
    <r>
      <rPr>
        <rFont val="Calibri, Arial"/>
        <b/>
        <color rgb="FF000000"/>
      </rPr>
      <t xml:space="preserve">#6:   Kelvin: </t>
    </r>
    <r>
      <rPr>
        <rFont val="Calibri, Arial"/>
        <b val="0"/>
        <color rgb="FF000000"/>
      </rPr>
      <t>Brandin Podziemski</t>
    </r>
  </si>
  <si>
    <r>
      <rPr>
        <rFont val="Calibri, Arial"/>
        <b/>
        <color rgb="FF000000"/>
      </rPr>
      <t xml:space="preserve">#6:  Berke: </t>
    </r>
    <r>
      <rPr>
        <rFont val="Calibri, Arial"/>
        <b val="0"/>
        <color rgb="FF000000"/>
      </rPr>
      <t>Steven Adams to IR - &gt; James Nnaji</t>
    </r>
  </si>
  <si>
    <r>
      <rPr>
        <rFont val="Calibri, Arial"/>
        <b/>
        <color rgb="FF000000"/>
      </rPr>
      <t xml:space="preserve">#7:  Kelley: </t>
    </r>
    <r>
      <rPr>
        <rFont val="Calibri, Arial"/>
        <b val="0"/>
        <color rgb="FF000000"/>
      </rPr>
      <t>Derek Lively II</t>
    </r>
  </si>
  <si>
    <r>
      <rPr>
        <rFont val="Calibri, Arial"/>
        <b/>
        <color rgb="FF000000"/>
      </rPr>
      <t xml:space="preserve">#7:   Green: </t>
    </r>
    <r>
      <rPr>
        <rFont val="Calibri, Arial"/>
        <b val="0"/>
        <color rgb="FF000000"/>
      </rPr>
      <t>Kobe Bufkin</t>
    </r>
  </si>
  <si>
    <t xml:space="preserve">#7:  Delaney: </t>
  </si>
  <si>
    <r>
      <rPr>
        <rFont val="Calibri, Arial"/>
        <b/>
        <color rgb="FF000000"/>
      </rPr>
      <t xml:space="preserve">#8:  Trager: </t>
    </r>
    <r>
      <rPr>
        <rFont val="Calibri, Arial"/>
        <b val="0"/>
        <color rgb="FF000000"/>
      </rPr>
      <t>Bilal Coulibaly</t>
    </r>
  </si>
  <si>
    <r>
      <rPr>
        <rFont val="Calibri, Arial"/>
        <b/>
        <color rgb="FF000000"/>
      </rPr>
      <t xml:space="preserve">#8:   Jowkar: </t>
    </r>
    <r>
      <rPr>
        <rFont val="Calibri, Arial"/>
        <b val="0"/>
        <color rgb="FF000000"/>
      </rPr>
      <t>Saddiq Bey</t>
    </r>
  </si>
  <si>
    <r>
      <rPr>
        <rFont val="Calibri, Arial"/>
        <b/>
        <color rgb="FF000000"/>
      </rPr>
      <t xml:space="preserve">#8:  Kelley: </t>
    </r>
    <r>
      <rPr>
        <rFont val="Calibri, Arial"/>
        <b val="0"/>
        <color rgb="FF000000"/>
      </rPr>
      <t>Oubre to IR</t>
    </r>
    <r>
      <rPr>
        <rFont val="Calibri, Arial"/>
        <b/>
        <color rgb="FF000000"/>
      </rPr>
      <t xml:space="preserve"> -&gt; </t>
    </r>
    <r>
      <rPr>
        <rFont val="Calibri, Arial"/>
        <b val="0"/>
        <color rgb="FF000000"/>
      </rPr>
      <t>Dennis Schroder</t>
    </r>
  </si>
  <si>
    <r>
      <rPr>
        <rFont val="Calibri, Arial"/>
        <b/>
        <color rgb="FF000000"/>
      </rPr>
      <t xml:space="preserve">#9:  Gold: </t>
    </r>
    <r>
      <rPr>
        <rFont val="Calibri, Arial"/>
        <b val="0"/>
        <color rgb="FF000000"/>
      </rPr>
      <t>Anthony Black</t>
    </r>
  </si>
  <si>
    <r>
      <rPr>
        <rFont val="Calibri, Arial"/>
        <b/>
        <color rgb="FF000000"/>
      </rPr>
      <t xml:space="preserve">#9:   Berke: </t>
    </r>
    <r>
      <rPr>
        <rFont val="Calibri, Arial"/>
        <b val="0"/>
        <color rgb="FF000000"/>
      </rPr>
      <t>Jett Howard</t>
    </r>
  </si>
  <si>
    <r>
      <rPr>
        <rFont val="Calibri, Arial"/>
        <b/>
        <color rgb="FF000000"/>
      </rPr>
      <t xml:space="preserve">#9:  Moss: </t>
    </r>
    <r>
      <rPr>
        <rFont val="Calibri, Arial"/>
        <b val="0"/>
        <color rgb="FF000000"/>
      </rPr>
      <t>Ja to IR -&gt; Isaac</t>
    </r>
  </si>
  <si>
    <r>
      <rPr>
        <rFont val="Calibri, Arial"/>
        <b/>
        <color rgb="FF000000"/>
      </rPr>
      <t xml:space="preserve">#10: Kelley: </t>
    </r>
    <r>
      <rPr>
        <rFont val="Calibri, Arial"/>
        <b val="0"/>
        <color rgb="FF000000"/>
      </rPr>
      <t>Gradey Dick</t>
    </r>
  </si>
  <si>
    <r>
      <rPr>
        <rFont val="Calibri, Arial"/>
        <b/>
        <color rgb="FF000000"/>
      </rPr>
      <t xml:space="preserve">#10:   Zujewski: </t>
    </r>
    <r>
      <rPr>
        <rFont val="Calibri, Arial"/>
        <b val="0"/>
        <color rgb="FF000000"/>
      </rPr>
      <t>Jaime Jacquez</t>
    </r>
  </si>
  <si>
    <r>
      <rPr>
        <rFont val="Calibri, Arial"/>
        <b/>
        <color rgb="FF000000"/>
      </rPr>
      <t xml:space="preserve">#10:  Kelvin: </t>
    </r>
    <r>
      <rPr>
        <rFont val="Calibri, Arial"/>
        <b val="0"/>
        <color rgb="FF000000"/>
      </rPr>
      <t>Sabonis to IR -&gt; Caleb Martin</t>
    </r>
  </si>
  <si>
    <r>
      <rPr>
        <rFont val="Calibri, Arial"/>
        <b/>
        <color rgb="FF000000"/>
      </rPr>
      <t xml:space="preserve">#11: (Compensation) Kelley: </t>
    </r>
    <r>
      <rPr>
        <rFont val="Calibri, Arial"/>
        <b val="0"/>
        <color rgb="FF000000"/>
      </rPr>
      <t xml:space="preserve">Cam Whitmore </t>
    </r>
    <r>
      <rPr>
        <rFont val="Calibri, Arial"/>
        <b/>
        <color rgb="FF000000"/>
      </rPr>
      <t>-&gt; Traded to Jowkar -&gt; Traded to Gold</t>
    </r>
  </si>
  <si>
    <r>
      <rPr>
        <rFont val="Calibri, Arial"/>
        <b/>
        <color rgb="FF000000"/>
      </rPr>
      <t xml:space="preserve">#1:  Trager: </t>
    </r>
    <r>
      <rPr>
        <rFont val="Calibri, Arial"/>
        <b val="0"/>
        <color rgb="FF000000"/>
      </rPr>
      <t>Bridges to IR -&gt; Grant Williams</t>
    </r>
  </si>
  <si>
    <r>
      <rPr>
        <rFont val="Calibri, Arial"/>
        <b/>
        <color rgb="FF000000"/>
      </rPr>
      <t xml:space="preserve">#1:  Trager: </t>
    </r>
    <r>
      <rPr>
        <rFont val="Calibri, Arial"/>
        <b val="0"/>
        <color rgb="FF000000"/>
      </rPr>
      <t>roster spot from Ayton trade -&gt; Kris Murray</t>
    </r>
  </si>
  <si>
    <r>
      <rPr>
        <rFont val="Calibri, Arial"/>
        <b/>
        <color rgb="FF000000"/>
      </rPr>
      <t xml:space="preserve">#1:  Trager: </t>
    </r>
    <r>
      <rPr>
        <rFont val="Calibri, Arial"/>
        <b val="0"/>
        <color rgb="FF000000"/>
      </rPr>
      <t>Mark Williams to IR -&gt; Dariq Whitehead</t>
    </r>
  </si>
  <si>
    <r>
      <rPr>
        <rFont val="Calibri, Arial"/>
        <b/>
        <color rgb="FF000000"/>
      </rPr>
      <t xml:space="preserve">#2:  Jowkar: </t>
    </r>
    <r>
      <rPr>
        <rFont val="Calibri, Arial"/>
        <b val="0"/>
        <color rgb="FF000000"/>
      </rPr>
      <t>Zion Williamson to IR -&gt; Lu Dort</t>
    </r>
  </si>
  <si>
    <r>
      <rPr>
        <rFont val="Calibri, Arial"/>
        <b/>
        <color rgb="FF000000"/>
      </rPr>
      <t xml:space="preserve">#2:  Jowkar: </t>
    </r>
    <r>
      <rPr>
        <rFont val="Calibri, Arial"/>
        <b val="0"/>
        <color rgb="FF000000"/>
      </rPr>
      <t>Zach Collins to IR -&gt; Corey Kispert</t>
    </r>
  </si>
  <si>
    <r>
      <rPr>
        <rFont val="Calibri, Arial"/>
        <b/>
        <color rgb="FF000000"/>
      </rPr>
      <t xml:space="preserve">#2:  Jowkar: </t>
    </r>
    <r>
      <rPr>
        <rFont val="Calibri, Arial"/>
        <b val="0"/>
        <color rgb="FF000000"/>
      </rPr>
      <t>Deni Avdija to IR -&gt; Matisse Thybulle</t>
    </r>
  </si>
  <si>
    <r>
      <rPr>
        <rFont val="Calibri, Arial"/>
        <b/>
        <color rgb="FF000000"/>
      </rPr>
      <t xml:space="preserve">#3: Green: </t>
    </r>
    <r>
      <rPr>
        <rFont val="Calibri, Arial"/>
        <b val="0"/>
        <color rgb="FF000000"/>
      </rPr>
      <t>Jaden McDaniels to IR -&gt; Brooks</t>
    </r>
  </si>
  <si>
    <t xml:space="preserve">#3: Green: </t>
  </si>
  <si>
    <t>#3: Green:</t>
  </si>
  <si>
    <r>
      <rPr>
        <rFont val="Calibri, Arial"/>
        <b/>
        <color rgb="FF000000"/>
      </rPr>
      <t xml:space="preserve">#4:  Gold: </t>
    </r>
    <r>
      <rPr>
        <rFont val="Calibri, Arial"/>
        <b val="0"/>
        <color rgb="FF000000"/>
      </rPr>
      <t>Jaden Hardy to IR -&gt; Emoni Bates</t>
    </r>
  </si>
  <si>
    <r>
      <rPr>
        <rFont val="Calibri, Arial"/>
        <b/>
        <color rgb="FF000000"/>
      </rPr>
      <t xml:space="preserve">#4:  Gold: </t>
    </r>
    <r>
      <rPr>
        <rFont val="Calibri, Arial"/>
        <b val="0"/>
        <color rgb="FF000000"/>
      </rPr>
      <t>Bol Bol</t>
    </r>
  </si>
  <si>
    <r>
      <rPr>
        <rFont val="Calibri, Arial"/>
        <b/>
        <color rgb="FF000000"/>
      </rPr>
      <t xml:space="preserve">#4:  Gold: </t>
    </r>
    <r>
      <rPr>
        <rFont val="Calibri, Arial"/>
        <b val="0"/>
        <color rgb="FF000000"/>
      </rPr>
      <t>Colin Castleon</t>
    </r>
  </si>
  <si>
    <r>
      <rPr>
        <rFont val="Calibri, Arial"/>
        <b/>
        <color rgb="FF000000"/>
      </rPr>
      <t xml:space="preserve">#5:  ZujewskI: </t>
    </r>
    <r>
      <rPr>
        <rFont val="Calibri, Arial"/>
        <b val="0"/>
        <color rgb="FF000000"/>
      </rPr>
      <t>Naz Reid to IR -&gt; Andre Jackson Jr.</t>
    </r>
  </si>
  <si>
    <t xml:space="preserve">#5:  ZujewskI: </t>
  </si>
  <si>
    <r>
      <rPr>
        <rFont val="Calibri, Arial"/>
        <b/>
        <color rgb="FF000000"/>
      </rPr>
      <t xml:space="preserve">#6:  Berke: </t>
    </r>
    <r>
      <rPr>
        <rFont val="Calibri, Arial"/>
        <b val="0"/>
        <color rgb="FF000000"/>
      </rPr>
      <t>Victor Oladipo to IR -&gt; Killian Hayes</t>
    </r>
  </si>
  <si>
    <t>#6:  Berke:</t>
  </si>
  <si>
    <r>
      <rPr>
        <rFont val="Calibri, Arial"/>
        <b/>
        <color rgb="FF000000"/>
      </rPr>
      <t xml:space="preserve">#8:  Kelley: </t>
    </r>
    <r>
      <rPr>
        <rFont val="Calibri, Arial"/>
        <b val="0"/>
        <color rgb="FF000000"/>
      </rPr>
      <t xml:space="preserve">Malcolm Brogdon to IR -&gt; Noah Clowney </t>
    </r>
  </si>
  <si>
    <r>
      <rPr>
        <rFont val="Calibri, Arial"/>
        <b/>
        <color rgb="FF000000"/>
      </rPr>
      <t xml:space="preserve">#8:  Kelley: </t>
    </r>
    <r>
      <rPr>
        <rFont val="Calibri, Arial"/>
        <b val="0"/>
        <color rgb="FF000000"/>
      </rPr>
      <t>Middleton to IR -&gt; Gabe Vincent</t>
    </r>
  </si>
  <si>
    <r>
      <rPr>
        <rFont val="Calibri, Arial"/>
        <b/>
        <color rgb="FF000000"/>
      </rPr>
      <t xml:space="preserve">#8:  Kelley: </t>
    </r>
    <r>
      <rPr>
        <rFont val="Calibri, Arial"/>
        <b val="0"/>
        <color rgb="FF000000"/>
      </rPr>
      <t>CJ Mccollum to IR -&gt; Amari Bailey</t>
    </r>
  </si>
  <si>
    <r>
      <rPr>
        <rFont val="Calibri, Arial"/>
        <b/>
        <color rgb="FF000000"/>
      </rPr>
      <t xml:space="preserve">#9:  Moss: </t>
    </r>
    <r>
      <rPr>
        <rFont val="Calibri, Arial"/>
        <b val="0"/>
        <color rgb="FF000000"/>
      </rPr>
      <t>Jonathan Isaac to IR -&gt; RIchaun Holmes</t>
    </r>
  </si>
  <si>
    <t>#9:  Moss:</t>
  </si>
  <si>
    <r>
      <rPr>
        <rFont val="Calibri, Arial"/>
        <b/>
        <color rgb="FF000000"/>
      </rPr>
      <t xml:space="preserve">#10:  Kelvin: </t>
    </r>
    <r>
      <rPr>
        <rFont val="Calibri, Arial"/>
        <b val="0"/>
        <color rgb="FF000000"/>
      </rPr>
      <t>Julius Randle to IR -&gt;  Max Strus</t>
    </r>
  </si>
  <si>
    <r>
      <rPr>
        <rFont val="Calibri, Arial"/>
        <b/>
        <color rgb="FF000000"/>
      </rPr>
      <t xml:space="preserve">#1:  Trager: </t>
    </r>
    <r>
      <rPr>
        <rFont val="Calibri, Arial"/>
        <b val="0"/>
        <color rgb="FF000000"/>
      </rPr>
      <t>Brice Sensebaugh to IR -&gt; Norman Powell</t>
    </r>
  </si>
  <si>
    <r>
      <rPr>
        <rFont val="Calibri,Arial"/>
        <b/>
        <color theme="1"/>
      </rPr>
      <t xml:space="preserve">#1:  Trager: </t>
    </r>
    <r>
      <rPr>
        <rFont val="Calibri,Arial"/>
        <b val="0"/>
        <color theme="1"/>
      </rPr>
      <t>PJ Washington to IR -&gt; Isaiah Jackson</t>
    </r>
  </si>
  <si>
    <r>
      <rPr>
        <rFont val="Calibri, Arial"/>
        <b/>
        <color rgb="FF000000"/>
      </rPr>
      <t xml:space="preserve">#2:  Jowkar: </t>
    </r>
    <r>
      <rPr>
        <rFont val="Calibri, Arial"/>
        <b val="0"/>
        <color rgb="FF000000"/>
      </rPr>
      <t>Walker Kessler to IR -&gt; Keita Bates-Diop</t>
    </r>
  </si>
  <si>
    <t xml:space="preserve">#2:  Jowkar: </t>
  </si>
  <si>
    <t xml:space="preserve">#4:  Gold: </t>
  </si>
  <si>
    <t xml:space="preserve">#8:  Kelley: </t>
  </si>
  <si>
    <t>#8:  Kelley:</t>
  </si>
  <si>
    <t>Lob Land (HALE)</t>
  </si>
  <si>
    <t>Herro Ball (NJ)</t>
  </si>
  <si>
    <t>Washed Kings (DELA)</t>
  </si>
  <si>
    <t>Ice Trae (MAX)</t>
  </si>
  <si>
    <t>Magic City Hot Wingz (BERK)</t>
  </si>
  <si>
    <t>2021-22 Fantasy Season</t>
  </si>
  <si>
    <t>(08/30/21 - 1/10/22 [TBD])</t>
  </si>
  <si>
    <t>"The Offseason" : 2022 (April 11th - August ___)</t>
  </si>
  <si>
    <t>|</t>
  </si>
  <si>
    <t>1st Round Berke^</t>
  </si>
  <si>
    <t xml:space="preserve">BERK Berke 2022 1st Round </t>
  </si>
  <si>
    <t>HALE Mitchell Robinson</t>
  </si>
  <si>
    <t>17 Regular Season Trades</t>
  </si>
  <si>
    <t>BERK Gordon Hayward</t>
  </si>
  <si>
    <t xml:space="preserve">JOWK Donte Divencenzo </t>
  </si>
  <si>
    <t>1st Round Trager^^</t>
  </si>
  <si>
    <t xml:space="preserve">1st Round Vlandis* </t>
  </si>
  <si>
    <t xml:space="preserve">BERK Berke 2025 2nd Round </t>
  </si>
  <si>
    <t>JOWK Peterson 2022 2nd round</t>
  </si>
  <si>
    <t>JOWK Delaney 2024 2nd round</t>
  </si>
  <si>
    <t>BERK Fred Vanvleet</t>
  </si>
  <si>
    <t>DELA Lebron James</t>
  </si>
  <si>
    <t>BERK Montrezl Harrell</t>
  </si>
  <si>
    <t>GOLD Gold 2023 1st round</t>
  </si>
  <si>
    <t>MOSS Vlandis 2022 1st round (swap rights)</t>
  </si>
  <si>
    <t>2022 (Year II)</t>
  </si>
  <si>
    <t>BERK Berke 2024 1st Round</t>
  </si>
  <si>
    <t>GOLD Kelvin 2024 1st round</t>
  </si>
  <si>
    <t>MOSS Kelvin 2022 1st round</t>
  </si>
  <si>
    <t>Deepwater Suggs (GOLD)</t>
  </si>
  <si>
    <t>Morey Ball (MOSS)</t>
  </si>
  <si>
    <t>Charlotte Wobnets (MT)</t>
  </si>
  <si>
    <t>Always Droppin Dimes (DIME)</t>
  </si>
  <si>
    <t>Z Man the Juice (Zman)</t>
  </si>
  <si>
    <t>GOLD Brook Lopez</t>
  </si>
  <si>
    <t>MOSS Jonathan Kuminga</t>
  </si>
  <si>
    <t>ZJEW Pascal Siakam</t>
  </si>
  <si>
    <t xml:space="preserve">JOWK Saddiq Bey </t>
  </si>
  <si>
    <t>GOLD Seth Curry</t>
  </si>
  <si>
    <t xml:space="preserve">1st Round Moss** </t>
  </si>
  <si>
    <t>ZJEW Kemba Walker</t>
  </si>
  <si>
    <t>JOWK Kevin Porter Jr.</t>
  </si>
  <si>
    <t>ZJEW John Wall</t>
  </si>
  <si>
    <t>JOWK Aaron Gordon</t>
  </si>
  <si>
    <t>MOSS Dejounte Murray</t>
  </si>
  <si>
    <t>MOSS Moss 2024 FRP top 3 protected w/swap rights on Kelvin FRP - conveys to PETE 2024 FRP or Moss 2025 FRP</t>
  </si>
  <si>
    <t>PETE Rudy Gobert</t>
  </si>
  <si>
    <r>
      <rPr>
        <rFont val="Arial"/>
        <color rgb="FFFF0000"/>
        <sz val="11.0"/>
      </rPr>
      <t xml:space="preserve">Kelvin </t>
    </r>
    <r>
      <rPr>
        <rFont val="Arial"/>
        <color rgb="FF000000"/>
        <sz val="11.0"/>
      </rPr>
      <t>Receives</t>
    </r>
  </si>
  <si>
    <r>
      <rPr>
        <rFont val="Arial"/>
        <color rgb="FF6AA84F"/>
        <sz val="11.0"/>
      </rPr>
      <t xml:space="preserve">Zujewski </t>
    </r>
    <r>
      <rPr>
        <rFont val="Arial"/>
        <color rgb="FF000000"/>
        <sz val="11.0"/>
      </rPr>
      <t>Receives</t>
    </r>
    <r>
      <rPr>
        <rFont val="Arial"/>
        <color rgb="FF6AA84F"/>
        <sz val="11.0"/>
      </rPr>
      <t xml:space="preserve"> </t>
    </r>
  </si>
  <si>
    <r>
      <rPr>
        <rFont val="Arial"/>
        <color rgb="FF4A86E8"/>
        <sz val="11.0"/>
      </rPr>
      <t xml:space="preserve">Gold </t>
    </r>
    <r>
      <rPr>
        <rFont val="Arial"/>
        <color rgb="FF000000"/>
        <sz val="11.0"/>
      </rPr>
      <t>Receives</t>
    </r>
  </si>
  <si>
    <t>GOLD Caris Levert</t>
  </si>
  <si>
    <t>GOLD Jamal Murray</t>
  </si>
  <si>
    <t>PETE Jerami Grant</t>
  </si>
  <si>
    <t>VLAND Green 2022 1st round (#4 overall)</t>
  </si>
  <si>
    <t>JOWK Caris Levert</t>
  </si>
  <si>
    <t>Draft Pick Protections &amp; Swaps</t>
  </si>
  <si>
    <t>ZJEW Mo Bamba</t>
  </si>
  <si>
    <t>PETE Chris Duarte</t>
  </si>
  <si>
    <t>ZJEW Josh Giddey</t>
  </si>
  <si>
    <t>VLAND Vlandis 2023 2nd round</t>
  </si>
  <si>
    <t>* - (Moss owns swap rights, swap if Vlandis is higher pick)</t>
  </si>
  <si>
    <t>GOLD Gold 2024 2nd Round</t>
  </si>
  <si>
    <t>PETE Mason Plumlee</t>
  </si>
  <si>
    <t>PETE Kelvin 2024 FRP</t>
  </si>
  <si>
    <t>**- (Swap with Vlandis if Vlandis is higher pick)</t>
  </si>
  <si>
    <t>ZJEW Bobby Portis</t>
  </si>
  <si>
    <t>DELA Fred VanVleet</t>
  </si>
  <si>
    <t>PETE Dejounte Murray</t>
  </si>
  <si>
    <t>DELA D'Angelo Russell</t>
  </si>
  <si>
    <t>PETE Wendall Carter Jr</t>
  </si>
  <si>
    <t>^ - (Trager owns swap rights, swap if Trager is higher pick)</t>
  </si>
  <si>
    <t>Winner</t>
  </si>
  <si>
    <t>Victory Margin</t>
  </si>
  <si>
    <t>2nd place</t>
  </si>
  <si>
    <t>JOWK D'Angelo Russell</t>
  </si>
  <si>
    <t>DELA Nikola Vucevic</t>
  </si>
  <si>
    <t>PETE Bobby Portis</t>
  </si>
  <si>
    <t>^^ - (Swap with Berke FRP if Berke is higher pick)</t>
  </si>
  <si>
    <t>DELA Delaney 2022 1st Round</t>
  </si>
  <si>
    <t>DELA Delaney 2025 2nd round</t>
  </si>
  <si>
    <t>PETE Gold 2024 2nd round</t>
  </si>
  <si>
    <t>DELA Berke 2024 1st Round</t>
  </si>
  <si>
    <t>TRAG Cj McCollum</t>
  </si>
  <si>
    <t>VLAND Jowkar 2022 1st round (#5 overall)</t>
  </si>
  <si>
    <t xml:space="preserve">2022 Draft Order: </t>
  </si>
  <si>
    <t>JOWK Tyler Herro</t>
  </si>
  <si>
    <t>VLAND Lamelo Ball</t>
  </si>
  <si>
    <t>VLAND Vlandis 2025 1st round</t>
  </si>
  <si>
    <t>JOWK Jaren Jackson Jr.</t>
  </si>
  <si>
    <t>VLAND Nassir Little</t>
  </si>
  <si>
    <t>ZUjewski</t>
  </si>
  <si>
    <t>JOWK Jakob Poeltl</t>
  </si>
  <si>
    <t>JOWK 2023 Green 2nd round</t>
  </si>
  <si>
    <t>GREEN De'andre Hunter</t>
  </si>
  <si>
    <t>#3:      Lottery #3 (30% Moss via Vlandis)</t>
  </si>
  <si>
    <t>JOWK Delaney 2022 1st Round</t>
  </si>
  <si>
    <t>#4:      Green</t>
  </si>
  <si>
    <t>JOWK Delaney 2023 2nd Round</t>
  </si>
  <si>
    <t>JOWK Jae'Sean Tate</t>
  </si>
  <si>
    <t>VLAND Malik Beasley</t>
  </si>
  <si>
    <t>#5:      Jowkar</t>
  </si>
  <si>
    <t>JOWK Gordon Hayward</t>
  </si>
  <si>
    <t>VLAND Jowkar 2025 1st round</t>
  </si>
  <si>
    <t>#6:      Moss</t>
  </si>
  <si>
    <t>PETE Caris Levert</t>
  </si>
  <si>
    <t>JOWK Dennis Schroeder</t>
  </si>
  <si>
    <t>JOWK Alex Caruso</t>
  </si>
  <si>
    <t>PETE 2026 Jowkar FRP Swap w/Kelvin 2026 FRP (if swap doesn't happen, protection is Kelvin 2026 SRP)</t>
  </si>
  <si>
    <t>VLAND Vlandis 2026 2nd round</t>
  </si>
  <si>
    <r>
      <rPr>
        <rFont val="Alfa Slab One"/>
        <b/>
        <color rgb="FF000000"/>
        <sz val="12.0"/>
      </rPr>
      <t xml:space="preserve">#8:      </t>
    </r>
    <r>
      <rPr>
        <rFont val="Alfa Slab One"/>
        <b/>
        <color rgb="FF000000"/>
        <sz val="12.0"/>
      </rPr>
      <t>Kelvin</t>
    </r>
  </si>
  <si>
    <t>PETE Jae Crowder</t>
  </si>
  <si>
    <t>#9:      Trager</t>
  </si>
  <si>
    <t>VLAND Reggie Jackson</t>
  </si>
  <si>
    <t>#10:    Berke</t>
  </si>
  <si>
    <t xml:space="preserve">JOWK Delaney 2023 1st round </t>
  </si>
  <si>
    <t>GREEN Bradley Beal</t>
  </si>
  <si>
    <t>VLAND Jowkar 2023 1st round</t>
  </si>
  <si>
    <t>JOWK Berke 2024 1st round</t>
  </si>
  <si>
    <t>GREEN Jusuf Nurkic</t>
  </si>
  <si>
    <t>VLAND Vlandis 2026 1st round</t>
  </si>
  <si>
    <t>JOWK Berke 2022 2nd round</t>
  </si>
  <si>
    <t>JOWK Nassir Little</t>
  </si>
  <si>
    <t>VLAND Vlandis 2022 2nd round (#13 overall)</t>
  </si>
  <si>
    <t>TRAG Mo Bamba</t>
  </si>
  <si>
    <t>JOWK Nicolas Claxton</t>
  </si>
  <si>
    <t>VLAND Vlandis 2024 2nd round</t>
  </si>
  <si>
    <t>TRAG Trager 2022 2nd round (#19 overall)</t>
  </si>
  <si>
    <t>BERK Harrison Barnes</t>
  </si>
  <si>
    <t>PETE Jordan Clarkson</t>
  </si>
  <si>
    <t>VLAND Tyler Herro</t>
  </si>
  <si>
    <t>PETE Quentin Grimes</t>
  </si>
  <si>
    <t>VLAND Vlandis 2024 1st round</t>
  </si>
  <si>
    <t>MOSS Khris Middleton</t>
  </si>
  <si>
    <t>MOSS Moss 2023 2nd round</t>
  </si>
  <si>
    <t>PETE Mike Conley</t>
  </si>
  <si>
    <t>DELA Lauri Markkanen</t>
  </si>
  <si>
    <t>DELA Delaney 2022 2nd round</t>
  </si>
  <si>
    <t>JOWK Kemba Walker</t>
  </si>
  <si>
    <t>BERK Berke 2024 2nd round</t>
  </si>
  <si>
    <t>JOWK Dillon Brooks</t>
  </si>
  <si>
    <t>ZJEW Saddiq Bey</t>
  </si>
  <si>
    <t>PETE Joel Embiid</t>
  </si>
  <si>
    <t>GREEN Domantas Sabonis</t>
  </si>
  <si>
    <t>JOWK Isaac Okoro</t>
  </si>
  <si>
    <t>ZJEW Andre Drummond</t>
  </si>
  <si>
    <t>PETE Berke 2022 1st round (#10 overall)</t>
  </si>
  <si>
    <t>GREEN Zach Lavine</t>
  </si>
  <si>
    <t>JOWK Luke Kennard</t>
  </si>
  <si>
    <t xml:space="preserve">ZJEW Kelly Olynyk </t>
  </si>
  <si>
    <t>GREEN Jarred Vanderbilt</t>
  </si>
  <si>
    <t>GREEN Derrick White</t>
  </si>
  <si>
    <t>GREEN Green 2022 1st round</t>
  </si>
  <si>
    <t>VLAND Vlandis 2022 1st round</t>
  </si>
  <si>
    <t>GREEN Delaney 2022 1st (#7 overall)</t>
  </si>
  <si>
    <t>VLAND Delaney 2022 1st round</t>
  </si>
  <si>
    <t>GREEN Green 2023 2nd round</t>
  </si>
  <si>
    <t>GREEN Jowkar 2024 2nd round</t>
  </si>
  <si>
    <r>
      <rPr>
        <rFont val="Arial"/>
        <color rgb="FFFF0000"/>
        <sz val="11.0"/>
      </rPr>
      <t xml:space="preserve">Kelvin </t>
    </r>
    <r>
      <rPr>
        <rFont val="Arial"/>
        <color rgb="FF000000"/>
        <sz val="11.0"/>
      </rPr>
      <t>Receives</t>
    </r>
  </si>
  <si>
    <r>
      <rPr>
        <rFont val="Arial"/>
        <color rgb="FF6AA84F"/>
        <sz val="11.0"/>
      </rPr>
      <t xml:space="preserve">Trager </t>
    </r>
    <r>
      <rPr>
        <rFont val="Arial"/>
        <color rgb="FF000000"/>
        <sz val="11.0"/>
      </rPr>
      <t>Receives</t>
    </r>
    <r>
      <rPr>
        <rFont val="Arial"/>
        <color rgb="FF6AA84F"/>
        <sz val="11.0"/>
      </rPr>
      <t xml:space="preserve"> </t>
    </r>
  </si>
  <si>
    <r>
      <rPr>
        <rFont val="Arial"/>
        <color rgb="FF4A86E8"/>
        <sz val="11.0"/>
      </rPr>
      <t xml:space="preserve">Delaney </t>
    </r>
    <r>
      <rPr>
        <rFont val="Arial"/>
        <color rgb="FF000000"/>
        <sz val="11.0"/>
      </rPr>
      <t>Receives</t>
    </r>
  </si>
  <si>
    <t>GREEN Green 2024 2nd round</t>
  </si>
  <si>
    <t>2022 Rookie Draft Recap: August 7th, 2022</t>
  </si>
  <si>
    <t>TRAG Christian Wood</t>
  </si>
  <si>
    <t>PETE CJ McCollum</t>
  </si>
  <si>
    <t>PETE Al Horford</t>
  </si>
  <si>
    <t>TRAG Wendall Carter Jr</t>
  </si>
  <si>
    <t>PETE Mo Bamba</t>
  </si>
  <si>
    <t>DELA Luka Doncic</t>
  </si>
  <si>
    <t>JOWK Bradley Beal</t>
  </si>
  <si>
    <r>
      <rPr>
        <rFont val="Calibri, Arial"/>
        <b/>
        <color rgb="FF000000"/>
      </rPr>
      <t xml:space="preserve">#1: Zujewski: </t>
    </r>
    <r>
      <rPr>
        <rFont val="Calibri, Arial"/>
        <b val="0"/>
        <color rgb="FF000000"/>
      </rPr>
      <t>Chet Holmgren</t>
    </r>
  </si>
  <si>
    <r>
      <rPr>
        <rFont val="Calibri, Arial"/>
        <b/>
        <color rgb="FF000000"/>
      </rPr>
      <t xml:space="preserve">#1:  Trager: </t>
    </r>
    <r>
      <rPr>
        <rFont val="Calibri, Arial"/>
        <b val="0"/>
        <color rgb="FF000000"/>
      </rPr>
      <t>Mark Williams</t>
    </r>
  </si>
  <si>
    <r>
      <rPr>
        <rFont val="Calibri, Arial"/>
        <b/>
        <color rgb="FF000000"/>
      </rPr>
      <t xml:space="preserve">#1:  Gold: </t>
    </r>
    <r>
      <rPr>
        <rFont val="Calibri, Arial"/>
        <b val="0"/>
        <color rgb="FF000000"/>
      </rPr>
      <t>Ben Simmons to IR -&gt; Steven Adams</t>
    </r>
  </si>
  <si>
    <t>TRAG Collin Sexton</t>
  </si>
  <si>
    <t>PETE Kevin Huerter</t>
  </si>
  <si>
    <t>DELA Ziaire Williams</t>
  </si>
  <si>
    <t>JOWK Pascal Siakam</t>
  </si>
  <si>
    <r>
      <rPr>
        <rFont val="Calibri, Arial"/>
        <b/>
        <color rgb="FF000000"/>
      </rPr>
      <t xml:space="preserve">#2:  Gold: </t>
    </r>
    <r>
      <rPr>
        <rFont val="Calibri, Arial"/>
        <b val="0"/>
        <color rgb="FF000000"/>
      </rPr>
      <t>Paolo Bonchero</t>
    </r>
  </si>
  <si>
    <r>
      <rPr>
        <rFont val="Calibri, Arial"/>
        <b/>
        <color rgb="FF000000"/>
      </rPr>
      <t>#2:</t>
    </r>
    <r>
      <rPr>
        <rFont val="Calibri, Arial"/>
        <b/>
        <color rgb="FF0000FF"/>
      </rPr>
      <t xml:space="preserve"> </t>
    </r>
    <r>
      <rPr>
        <rFont val="Calibri, Arial"/>
        <b/>
        <color rgb="FF000000"/>
      </rPr>
      <t>Zujewski:</t>
    </r>
    <r>
      <rPr>
        <rFont val="Calibri, Arial"/>
        <b val="0"/>
        <color rgb="FF000000"/>
      </rPr>
      <t xml:space="preserve"> Jalen Williams</t>
    </r>
  </si>
  <si>
    <t>#2:  Zujewski: Didn't pick up</t>
  </si>
  <si>
    <t>TRAG Berke 2022 1st round</t>
  </si>
  <si>
    <t>PETE Delaney 2022 2nd round</t>
  </si>
  <si>
    <t>DELA Gold 2024 2nd round</t>
  </si>
  <si>
    <t>JOWK Terry Rozier</t>
  </si>
  <si>
    <r>
      <rPr>
        <rFont val="Calibri, Arial"/>
        <b/>
        <color rgb="FF000000"/>
      </rPr>
      <t xml:space="preserve">#3:  Gold: </t>
    </r>
    <r>
      <rPr>
        <rFont val="Calibri, Arial"/>
        <b val="0"/>
        <color rgb="FF000000"/>
      </rPr>
      <t>Jabari Smith Jr</t>
    </r>
  </si>
  <si>
    <r>
      <rPr>
        <rFont val="Calibri, Arial"/>
        <b/>
        <color rgb="FF000000"/>
      </rPr>
      <t xml:space="preserve">#3:   Green: </t>
    </r>
    <r>
      <rPr>
        <rFont val="Calibri, Arial"/>
        <b val="0"/>
        <color rgb="FF000000"/>
      </rPr>
      <t>Jeremy Sochan</t>
    </r>
  </si>
  <si>
    <t>#3: Vlandis: Didn't pick up</t>
  </si>
  <si>
    <t>DELA Lamarcus Aldridge</t>
  </si>
  <si>
    <t>PETE Berke 2021 1st round swap rights (conveys to Trager 2021 1st round</t>
  </si>
  <si>
    <t>DELA Delaney 2026 2nd round</t>
  </si>
  <si>
    <t>JOWK Green 2024 1st round</t>
  </si>
  <si>
    <r>
      <rPr>
        <rFont val="Calibri, Arial"/>
        <b/>
        <color rgb="FF000000"/>
      </rPr>
      <t xml:space="preserve">#4:  Jowkar: </t>
    </r>
    <r>
      <rPr>
        <rFont val="Calibri, Arial"/>
        <b val="0"/>
        <color rgb="FF000000"/>
      </rPr>
      <t>Jaden Ivey</t>
    </r>
  </si>
  <si>
    <r>
      <rPr>
        <rFont val="Calibri, Arial"/>
        <b/>
        <color rgb="FF000000"/>
      </rPr>
      <t xml:space="preserve">#4:   Jowkar: </t>
    </r>
    <r>
      <rPr>
        <rFont val="Calibri, Arial"/>
        <b val="0"/>
        <color rgb="FF000000"/>
      </rPr>
      <t>Walker Kessler</t>
    </r>
  </si>
  <si>
    <r>
      <rPr>
        <rFont val="Calibri, Arial"/>
        <b/>
        <color rgb="FF000000"/>
      </rPr>
      <t xml:space="preserve">#4:  Green: </t>
    </r>
    <r>
      <rPr>
        <rFont val="Calibri, Arial"/>
        <b val="0"/>
        <color rgb="FF000000"/>
      </rPr>
      <t>Embiid to IR -&gt; Dorian Finney-Smith</t>
    </r>
  </si>
  <si>
    <r>
      <rPr>
        <rFont val="Calibri, Arial"/>
        <b/>
        <color rgb="FF000000"/>
      </rPr>
      <t xml:space="preserve">#5:  Trager: </t>
    </r>
    <r>
      <rPr>
        <rFont val="Calibri, Arial"/>
        <b val="0"/>
        <color rgb="FF000000"/>
      </rPr>
      <t>Keegan Murray</t>
    </r>
  </si>
  <si>
    <r>
      <rPr>
        <rFont val="Calibri, Arial"/>
        <b/>
        <color rgb="FF000000"/>
      </rPr>
      <t xml:space="preserve">#5:   Vlandis: </t>
    </r>
    <r>
      <rPr>
        <rFont val="Calibri, Arial"/>
        <b val="0"/>
        <color rgb="FF000000"/>
      </rPr>
      <t>Jake Laravia</t>
    </r>
  </si>
  <si>
    <r>
      <rPr>
        <rFont val="Calibri, Arial"/>
        <b/>
        <color rgb="FF000000"/>
      </rPr>
      <t xml:space="preserve">#5:  Jowkar: </t>
    </r>
    <r>
      <rPr>
        <rFont val="Calibri, Arial"/>
        <b val="0"/>
        <color rgb="FF000000"/>
      </rPr>
      <t>Michael Porter Jr to IR -&gt; Blake Wesley</t>
    </r>
  </si>
  <si>
    <t xml:space="preserve">GREEN Spencer Dinwiddie </t>
  </si>
  <si>
    <t>DELA Jarred Vanderbilt</t>
  </si>
  <si>
    <t>JOWK Vladnis 2026 1st round</t>
  </si>
  <si>
    <r>
      <rPr>
        <rFont val="Calibri, Arial"/>
        <b/>
        <color rgb="FF000000"/>
      </rPr>
      <t xml:space="preserve">#6:  Green: </t>
    </r>
    <r>
      <rPr>
        <rFont val="Calibri, Arial"/>
        <b val="0"/>
        <color rgb="FF000000"/>
      </rPr>
      <t>Jalen Duren</t>
    </r>
  </si>
  <si>
    <r>
      <rPr>
        <rFont val="Calibri, Arial"/>
        <b/>
        <color rgb="FF000000"/>
      </rPr>
      <t xml:space="preserve">#6:   Moss: </t>
    </r>
    <r>
      <rPr>
        <rFont val="Calibri, Arial"/>
        <b val="0"/>
        <color rgb="FF000000"/>
      </rPr>
      <t>Malaki Branham</t>
    </r>
  </si>
  <si>
    <r>
      <rPr>
        <rFont val="Calibri, Arial"/>
        <b/>
        <color rgb="FF000000"/>
      </rPr>
      <t xml:space="preserve">#6:  Moss: </t>
    </r>
    <r>
      <rPr>
        <rFont val="Calibri, Arial"/>
        <b val="0"/>
        <color rgb="FF000000"/>
      </rPr>
      <t>Rubio to IR -&gt; Jae'Sean Tate</t>
    </r>
  </si>
  <si>
    <t>GREEN Thomas Bryant</t>
  </si>
  <si>
    <t>JOWK Jowkar 2025 1st round swap rights (w/Delaney 2025 1st round)</t>
  </si>
  <si>
    <r>
      <rPr>
        <rFont val="Calibri, Arial"/>
        <b/>
        <color rgb="FF000000"/>
      </rPr>
      <t xml:space="preserve">#7:  Gold: </t>
    </r>
    <r>
      <rPr>
        <rFont val="Calibri, Arial"/>
        <b val="0"/>
        <color rgb="FF000000"/>
      </rPr>
      <t>Bennedict Mathurin</t>
    </r>
  </si>
  <si>
    <r>
      <rPr>
        <rFont val="Calibri, Arial"/>
        <b/>
        <color rgb="FF000000"/>
      </rPr>
      <t xml:space="preserve">#7:   Trager: </t>
    </r>
    <r>
      <rPr>
        <rFont val="Calibri, Arial"/>
        <b val="0"/>
        <color rgb="FF000000"/>
      </rPr>
      <t>TyTy Washington</t>
    </r>
  </si>
  <si>
    <r>
      <rPr>
        <rFont val="Calibri, Arial"/>
        <b/>
        <color rgb="FF000000"/>
      </rPr>
      <t xml:space="preserve">#7:  Delaney: </t>
    </r>
    <r>
      <rPr>
        <rFont val="Calibri, Arial"/>
        <b val="0"/>
        <color rgb="FF000000"/>
      </rPr>
      <t>Joe Harris to IR -&gt; Bojan Bogdonavic</t>
    </r>
  </si>
  <si>
    <r>
      <rPr>
        <rFont val="Calibri, Arial"/>
        <b/>
        <color rgb="FF000000"/>
      </rPr>
      <t xml:space="preserve">#8:  Gold: </t>
    </r>
    <r>
      <rPr>
        <rFont val="Calibri, Arial"/>
        <b val="0"/>
        <color rgb="FF000000"/>
      </rPr>
      <t>Shaedon Sharpe</t>
    </r>
  </si>
  <si>
    <r>
      <rPr>
        <rFont val="Calibri, Arial"/>
        <b/>
        <color rgb="FF000000"/>
      </rPr>
      <t xml:space="preserve">#8:   Berke: </t>
    </r>
    <r>
      <rPr>
        <rFont val="Calibri, Arial"/>
        <b val="0"/>
        <color rgb="FF000000"/>
      </rPr>
      <t>Johnny Davis</t>
    </r>
  </si>
  <si>
    <t>#8:  Kelvin: Didn't pick up</t>
  </si>
  <si>
    <t>BERK Julius Randle</t>
  </si>
  <si>
    <t>PETE Christian Wood</t>
  </si>
  <si>
    <t>TRAG Desmond Bane</t>
  </si>
  <si>
    <t xml:space="preserve">VLAND Vlandis 2023 1st round (lower swap of Vlandis and Delaney </t>
  </si>
  <si>
    <r>
      <rPr>
        <rFont val="Calibri, Arial"/>
        <b/>
        <color rgb="FF000000"/>
      </rPr>
      <t xml:space="preserve">#9:  Jowkar: </t>
    </r>
    <r>
      <rPr>
        <rFont val="Calibri, Arial"/>
        <b val="0"/>
        <color rgb="FF000000"/>
      </rPr>
      <t>Tari Eason</t>
    </r>
  </si>
  <si>
    <r>
      <rPr>
        <rFont val="Calibri, Arial"/>
        <b/>
        <color rgb="FF000000"/>
      </rPr>
      <t xml:space="preserve">#9:   Trager: </t>
    </r>
    <r>
      <rPr>
        <rFont val="Calibri, Arial"/>
        <b val="0"/>
        <color rgb="FF000000"/>
      </rPr>
      <t>AJ Griffin</t>
    </r>
  </si>
  <si>
    <r>
      <rPr>
        <rFont val="Calibri, Arial"/>
        <b/>
        <color rgb="FF000000"/>
      </rPr>
      <t xml:space="preserve">#9:  Trager: </t>
    </r>
    <r>
      <rPr>
        <rFont val="Calibri, Arial"/>
        <b val="0"/>
        <color rgb="FF000000"/>
      </rPr>
      <t>Ball to IR -&gt; Daniel Gafford</t>
    </r>
  </si>
  <si>
    <t>TRAG Vlandis 2024 2nd round</t>
  </si>
  <si>
    <t>VLAND PJ Washington</t>
  </si>
  <si>
    <r>
      <rPr>
        <rFont val="Calibri, Arial"/>
        <b/>
        <color rgb="FF000000"/>
      </rPr>
      <t xml:space="preserve">#10:  Green: </t>
    </r>
    <r>
      <rPr>
        <rFont val="Calibri, Arial"/>
        <b val="0"/>
        <color rgb="FF000000"/>
      </rPr>
      <t>Dyson Daniels</t>
    </r>
  </si>
  <si>
    <r>
      <rPr>
        <rFont val="Calibri, Arial"/>
        <b/>
        <color rgb="FF000000"/>
      </rPr>
      <t xml:space="preserve">#10:   Trager: </t>
    </r>
    <r>
      <rPr>
        <rFont val="Calibri, Arial"/>
        <b val="0"/>
        <color rgb="FF000000"/>
      </rPr>
      <t>Quentin Grimes</t>
    </r>
  </si>
  <si>
    <r>
      <rPr>
        <rFont val="Calibri, Arial"/>
        <b/>
        <color rgb="FF000000"/>
      </rPr>
      <t xml:space="preserve">#10:  Berke: </t>
    </r>
    <r>
      <rPr>
        <rFont val="Calibri, Arial"/>
        <b val="0"/>
        <color rgb="FF000000"/>
      </rPr>
      <t>Alec Burks to IR -&gt; Kevon Looney</t>
    </r>
  </si>
  <si>
    <t>DELA Alec Burks</t>
  </si>
  <si>
    <t>JOWK Patrick Beverly</t>
  </si>
  <si>
    <t>TRAG Delaney 2022 2nd round (#17 overall)</t>
  </si>
  <si>
    <t>VLAND Trager 2022 2nd round (#19 overall)</t>
  </si>
  <si>
    <t>DELA Kelvin 2022 2nd round</t>
  </si>
  <si>
    <t>VLAND Alex Caruso</t>
  </si>
  <si>
    <r>
      <rPr>
        <rFont val="Calibri, Arial"/>
        <b/>
        <color rgb="FF000000"/>
      </rPr>
      <t xml:space="preserve">#1:  Gold: </t>
    </r>
    <r>
      <rPr>
        <rFont val="Calibri, Arial"/>
        <b val="0"/>
        <color rgb="FF000000"/>
      </rPr>
      <t>Jalen Suggs to IR -&gt; Chris Boucher</t>
    </r>
  </si>
  <si>
    <r>
      <rPr>
        <rFont val="Calibri, Arial"/>
        <b/>
        <color rgb="FF000000"/>
      </rPr>
      <t xml:space="preserve">#1:  Gold: </t>
    </r>
    <r>
      <rPr>
        <rFont val="Calibri, Arial"/>
        <b val="0"/>
        <color rgb="FF000000"/>
      </rPr>
      <t>Drop Darius Bazley -&gt; Christian Koloko</t>
    </r>
  </si>
  <si>
    <t>#1:  Gold: N/A</t>
  </si>
  <si>
    <t>PETE Gabe Vincent</t>
  </si>
  <si>
    <t>ZJEW Aaron Gordon</t>
  </si>
  <si>
    <t>VLAND De'Aaron Fox</t>
  </si>
  <si>
    <t>MOSS Tobias Harris</t>
  </si>
  <si>
    <t>#2:  Zujewski: N/A</t>
  </si>
  <si>
    <t>PETE Amir Coffey</t>
  </si>
  <si>
    <t>ZJEW Evan Fournier</t>
  </si>
  <si>
    <t>MOSS Paul George</t>
  </si>
  <si>
    <r>
      <rPr>
        <rFont val="Calibri, Arial"/>
        <b/>
        <color rgb="FF000000"/>
      </rPr>
      <t xml:space="preserve">#3: Vlandis: </t>
    </r>
    <r>
      <rPr>
        <rFont val="Calibri, Arial"/>
        <b val="0"/>
        <color rgb="FF000000"/>
      </rPr>
      <t>Lavine to IR -&gt; Rui Hachimura</t>
    </r>
  </si>
  <si>
    <t>#3: Vlandis: N/A</t>
  </si>
  <si>
    <t>PETE Zujewski 2023 2nd round</t>
  </si>
  <si>
    <t>MOSS Moss 2026 1st round</t>
  </si>
  <si>
    <r>
      <rPr>
        <rFont val="Calibri, Arial"/>
        <b/>
        <color rgb="FF000000"/>
      </rPr>
      <t xml:space="preserve">#4:  Green: </t>
    </r>
    <r>
      <rPr>
        <rFont val="Calibri, Arial"/>
        <b val="0"/>
        <color rgb="FF000000"/>
      </rPr>
      <t>Isaac to IR -&gt; Jaden Hardy</t>
    </r>
  </si>
  <si>
    <r>
      <rPr>
        <rFont val="Calibri, Arial"/>
        <b/>
        <color rgb="FF000000"/>
      </rPr>
      <t xml:space="preserve">#4:  Green: </t>
    </r>
    <r>
      <rPr>
        <rFont val="Calibri, Arial"/>
        <b val="0"/>
        <color rgb="FF000000"/>
      </rPr>
      <t>Dyson to IR -&gt; Nikola Jovic</t>
    </r>
  </si>
  <si>
    <t>#4:  Green: N/A</t>
  </si>
  <si>
    <t>PETE Peterson 2024 2nd round</t>
  </si>
  <si>
    <r>
      <rPr>
        <rFont val="Calibri, Arial"/>
        <b/>
        <color rgb="FF000000"/>
      </rPr>
      <t xml:space="preserve">#5:  Jowkar: </t>
    </r>
    <r>
      <rPr>
        <rFont val="Calibri, Arial"/>
        <b val="0"/>
        <color rgb="FF000000"/>
      </rPr>
      <t>Josh Christopher to IR -&gt; Jeremiah Robinson-Earl</t>
    </r>
  </si>
  <si>
    <r>
      <rPr>
        <rFont val="Calibri, Arial"/>
        <b/>
        <color rgb="FF000000"/>
      </rPr>
      <t xml:space="preserve">#5:  Jowkar: </t>
    </r>
    <r>
      <rPr>
        <rFont val="Calibri, Arial"/>
        <b val="0"/>
        <color rgb="FF000000"/>
      </rPr>
      <t>Jalen Johnson to IR -&gt; Ochai Ajbaji</t>
    </r>
  </si>
  <si>
    <r>
      <rPr>
        <rFont val="Calibri, Arial"/>
        <b/>
        <color rgb="FF000000"/>
      </rPr>
      <t xml:space="preserve">#5:  Jowkar: </t>
    </r>
    <r>
      <rPr>
        <rFont val="Calibri, Arial"/>
        <b val="0"/>
        <color rgb="FF000000"/>
      </rPr>
      <t>Drop Ochai Ajbaji -&gt; Dayron Sharpe</t>
    </r>
  </si>
  <si>
    <t>VLAND Tobias Harris</t>
  </si>
  <si>
    <t>PETE De'Angelo Russell</t>
  </si>
  <si>
    <r>
      <rPr>
        <rFont val="Calibri, Arial"/>
        <b/>
        <color rgb="FF000000"/>
      </rPr>
      <t xml:space="preserve">#6:  Moss: </t>
    </r>
    <r>
      <rPr>
        <rFont val="Calibri, Arial"/>
        <b val="0"/>
        <color rgb="FF000000"/>
      </rPr>
      <t>Seth Curry to IR -&gt; Kyle Anderson</t>
    </r>
  </si>
  <si>
    <r>
      <rPr>
        <rFont val="Calibri, Arial"/>
        <b/>
        <color rgb="FF000000"/>
      </rPr>
      <t xml:space="preserve">#6:  Moss: </t>
    </r>
    <r>
      <rPr>
        <rFont val="Calibri, Arial"/>
        <b val="0"/>
        <color rgb="FF000000"/>
      </rPr>
      <t>Bogdan Bogdonavic to IR -&gt; Evan Fournier</t>
    </r>
  </si>
  <si>
    <t>#6:  Moss: N/A</t>
  </si>
  <si>
    <t>VLAND Paul George</t>
  </si>
  <si>
    <t>PETE Zach Lavine</t>
  </si>
  <si>
    <t>#7:  Delaney: N/A</t>
  </si>
  <si>
    <t>VLAND Moss 2026 1st round</t>
  </si>
  <si>
    <t>PETE Malcolm Brogdon</t>
  </si>
  <si>
    <t>#8:  Kelvin: N/A</t>
  </si>
  <si>
    <t>VLAND Jaren Jackson Jr.</t>
  </si>
  <si>
    <t>PETE Delaney 2022 1st round (#7 overall)</t>
  </si>
  <si>
    <r>
      <rPr>
        <rFont val="Calibri, Arial"/>
        <b/>
        <color rgb="FF000000"/>
      </rPr>
      <t xml:space="preserve">#9:  Trager: </t>
    </r>
    <r>
      <rPr>
        <rFont val="Calibri, Arial"/>
        <b val="0"/>
        <color rgb="FF000000"/>
      </rPr>
      <t>Ingram to IR -&gt; Cody Martin</t>
    </r>
  </si>
  <si>
    <r>
      <rPr>
        <rFont val="Calibri, Arial"/>
        <b/>
        <color rgb="FF000000"/>
      </rPr>
      <t xml:space="preserve">#9:  Trager: </t>
    </r>
    <r>
      <rPr>
        <rFont val="Calibri, Arial"/>
        <b val="0"/>
        <color rgb="FF000000"/>
      </rPr>
      <t>Dort to IR -&gt; Jae Crowder</t>
    </r>
  </si>
  <si>
    <r>
      <rPr>
        <rFont val="Calibri, Arial"/>
        <b/>
        <color rgb="FF000000"/>
      </rPr>
      <t xml:space="preserve">#9:  Trager: </t>
    </r>
    <r>
      <rPr>
        <rFont val="Calibri, Arial"/>
        <b val="0"/>
        <color rgb="FF000000"/>
      </rPr>
      <t>AJ Griffin to IR -&gt; Paul Reed</t>
    </r>
  </si>
  <si>
    <r>
      <rPr>
        <rFont val="Calibri, Arial"/>
        <b/>
        <color rgb="FF000000"/>
      </rPr>
      <t xml:space="preserve">#10:  Berke: </t>
    </r>
    <r>
      <rPr>
        <rFont val="Calibri, Arial"/>
        <b val="0"/>
        <color rgb="FF000000"/>
      </rPr>
      <t>Drop Tyus Jones -&gt; James Bouknight</t>
    </r>
  </si>
  <si>
    <t xml:space="preserve">#10:  Berke: </t>
  </si>
  <si>
    <t>VLAND Delaney 2022 1st round (#7 overall)</t>
  </si>
  <si>
    <t>GOLD Peterson 2022 1st round (#8 overall)</t>
  </si>
  <si>
    <t>GOLD Gold 2023 2nd round</t>
  </si>
  <si>
    <t>Kelvin: Pickup Tim Hardaway put on IR -&gt; Terrance Mann</t>
  </si>
  <si>
    <t>Kelvin: Lillard to IR -&gt; Royce O'Neale</t>
  </si>
  <si>
    <t>VLAND Mo Bamba</t>
  </si>
  <si>
    <t>GOLD Jemai Grant</t>
  </si>
  <si>
    <t>Kelvin: JJJ to IR -&gt; D'evonte Graham</t>
  </si>
  <si>
    <t>VLAND Coby White</t>
  </si>
  <si>
    <t xml:space="preserve">JOWK Clint Capela </t>
  </si>
  <si>
    <t>VLAND Peterson 2022 1st round (#8 overall)</t>
  </si>
  <si>
    <t>JOWK Jowkar 2022 2nd round (#15 overall)</t>
  </si>
  <si>
    <t>VLAND Delaney 2022 2nd round (#17 overall)</t>
  </si>
  <si>
    <t>JOWK Berke 2024 2nd round</t>
  </si>
  <si>
    <t>JOWK Vlandis 2026 2nd round</t>
  </si>
  <si>
    <t>GREEN 2022 Berke 2nd round (#20 overall)</t>
  </si>
  <si>
    <t>TRAG Right to swap Green 2025 2nd round Trager 2025 2nd round (if it doesn't convey, right to swap Green 2026 2nd round with Trager 2026 2nd round)</t>
  </si>
  <si>
    <r>
      <rPr>
        <rFont val="Arial"/>
        <color rgb="FFFF0000"/>
        <sz val="11.0"/>
      </rPr>
      <t xml:space="preserve">Gold </t>
    </r>
    <r>
      <rPr>
        <rFont val="Arial"/>
        <color rgb="FF000000"/>
        <sz val="11.0"/>
      </rPr>
      <t>Receives</t>
    </r>
  </si>
  <si>
    <r>
      <rPr>
        <rFont val="Arial"/>
        <color rgb="FF6AA84F"/>
        <sz val="11.0"/>
      </rPr>
      <t xml:space="preserve">Trager </t>
    </r>
    <r>
      <rPr>
        <rFont val="Arial"/>
        <color rgb="FF000000"/>
        <sz val="11.0"/>
      </rPr>
      <t>Receives</t>
    </r>
    <r>
      <rPr>
        <rFont val="Arial"/>
        <color rgb="FF6AA84F"/>
        <sz val="11.0"/>
      </rPr>
      <t xml:space="preserve"> </t>
    </r>
  </si>
  <si>
    <r>
      <rPr>
        <rFont val="Arial"/>
        <color rgb="FF4A86E8"/>
        <sz val="11.0"/>
      </rPr>
      <t xml:space="preserve">Jowkar </t>
    </r>
    <r>
      <rPr>
        <rFont val="Arial"/>
        <color rgb="FF000000"/>
        <sz val="11.0"/>
      </rPr>
      <t>Receives</t>
    </r>
  </si>
  <si>
    <t>JOWK Peterson 2022 1st round (#8 overall)</t>
  </si>
  <si>
    <t>GOLD Gold 2022 2nd round (#11 overall)</t>
  </si>
  <si>
    <t>TRAG Trager 2022 1st round (#9 overall)</t>
  </si>
  <si>
    <t>GOLD Gold 2026 1st round Swap rights (connected to Trager 2026 FRP)</t>
  </si>
  <si>
    <t>GOLD Vlandis 2024 2nd round</t>
  </si>
  <si>
    <t>GOLD Gold 2025 2nd round</t>
  </si>
  <si>
    <t>GOLD Gold 2026 2nd round</t>
  </si>
  <si>
    <t>JOWK Andre Drummond</t>
  </si>
  <si>
    <t>BERK Berke 2025 1st round</t>
  </si>
  <si>
    <t>JOWK Reggie Jackson</t>
  </si>
  <si>
    <t>BERK Ayo Dosunmu</t>
  </si>
  <si>
    <t>JOWK Victor Oladipo</t>
  </si>
  <si>
    <t xml:space="preserve">BERK Deni Avdija </t>
  </si>
  <si>
    <t>JOWK Vlandis 2024 2nd round</t>
  </si>
  <si>
    <t>PETE Collin Sexton</t>
  </si>
  <si>
    <t>BERK Christian Wood</t>
  </si>
  <si>
    <t>PETE Moss 2024 1st round</t>
  </si>
  <si>
    <t>BERK Mitch Robinson</t>
  </si>
  <si>
    <t>BERK Berke 2023 2nd round</t>
  </si>
  <si>
    <t>BERK Delaney 2024 2nd round</t>
  </si>
  <si>
    <t>DELA Dejounte Murray</t>
  </si>
  <si>
    <t>BERK Chris Paul</t>
  </si>
  <si>
    <t>DELA Kelly Oubre</t>
  </si>
  <si>
    <t>BERK Draymond Green</t>
  </si>
  <si>
    <t>DELA Delaney 2024 1st round</t>
  </si>
  <si>
    <t xml:space="preserve">2022 Dynasty Draft </t>
  </si>
  <si>
    <t>TRAG Vlandis 2023 2nd round (#13 overall)</t>
  </si>
  <si>
    <t>GREEN Green 2022 2nd round (#14 overall)</t>
  </si>
  <si>
    <t>GREEN Green 2026 2nd round</t>
  </si>
  <si>
    <t>TRAG Green 2022 2nd round (#14 overall)</t>
  </si>
  <si>
    <t>JOWK Delaney 2022 2nd round (#17 overall)</t>
  </si>
  <si>
    <t>TRAG Gold 2025 SRP Swap Right connected to Jowkar 2025 SRP</t>
  </si>
  <si>
    <t>JOWK Vlandis 2023 2nd round</t>
  </si>
  <si>
    <t>JOWK Jowkar 2026 2nd round</t>
  </si>
  <si>
    <t>Sex Land (TRAG)</t>
  </si>
  <si>
    <t>Herro Ball (JOWK)</t>
  </si>
  <si>
    <t>Ice Trae (GREEN)</t>
  </si>
  <si>
    <t>Magic city Hot Wingz (BERK)</t>
  </si>
  <si>
    <t>2020-21 Fantasy Season</t>
  </si>
  <si>
    <t>(12/22/20 - 3/15/21)</t>
  </si>
  <si>
    <t>"The Offseason" : 2021 (May 17th - August 28th)</t>
  </si>
  <si>
    <t>JOWK SF/PF Deandre Hunter</t>
  </si>
  <si>
    <t>GREEN PF/C Jaren Jackson Jr</t>
  </si>
  <si>
    <t>19 Regular Season Trades</t>
  </si>
  <si>
    <t>JOWK Kendrick Nunn</t>
  </si>
  <si>
    <t>VLAND Klay Thompson</t>
  </si>
  <si>
    <t>JOWK C Mason Plumlee</t>
  </si>
  <si>
    <t>GREEN SF/SG Will Barton</t>
  </si>
  <si>
    <t>JOWK Jowkar 2022 1st Round</t>
  </si>
  <si>
    <t>VLAND Vlandis 2023 1st Round Swap Rights (connect to Delaney 2023 1st)</t>
  </si>
  <si>
    <t>JOWK SF/SG Cameron Johnson</t>
  </si>
  <si>
    <t>GREEN SG/SF Justin Holiday</t>
  </si>
  <si>
    <t>JOWK Jowkar 2025 1st Round</t>
  </si>
  <si>
    <t>JOWK Jowkar 2021 1st Round</t>
  </si>
  <si>
    <t>GREEN Green 2024 1st Round (top 1 protected, conveys to 2025 GREEN first)</t>
  </si>
  <si>
    <t>JOWK Jowkar 2024 2nd Round</t>
  </si>
  <si>
    <t>BERK Berke 2021 1st round</t>
  </si>
  <si>
    <t>VLAND Vlandis 2021 2nd round</t>
  </si>
  <si>
    <t>2021 (Year I)</t>
  </si>
  <si>
    <t>VLAND Green 2021 2nd round</t>
  </si>
  <si>
    <t>Deepwater Bogdanovic (SG)</t>
  </si>
  <si>
    <t>Minnesota TimberWobs (MT)</t>
  </si>
  <si>
    <t>Z man the Juice (ZMAn)</t>
  </si>
  <si>
    <t>TRAG Joel Embiid</t>
  </si>
  <si>
    <t>DIME Deandre Ayton</t>
  </si>
  <si>
    <t>TRAG De'Aaron Fox</t>
  </si>
  <si>
    <t>DIME Victor Oladipo</t>
  </si>
  <si>
    <t>1st Round Vlandis</t>
  </si>
  <si>
    <t>DIME Kelvin 2021 1st Round</t>
  </si>
  <si>
    <t>August 29th 2021</t>
  </si>
  <si>
    <t>/ / / / / / / / /     Draft Day 2021        / / / / / / / / /</t>
  </si>
  <si>
    <t>TRAG Demar Derozan</t>
  </si>
  <si>
    <t>DELA Collin Sexton</t>
  </si>
  <si>
    <t>TRAG Berke 2023 1st</t>
  </si>
  <si>
    <t>JOWK Jowkar 2021 2nd (#14)</t>
  </si>
  <si>
    <t>TRAG Trager 2021 2nd Round</t>
  </si>
  <si>
    <t>TRAG Berke 2022 2nd</t>
  </si>
  <si>
    <r>
      <rPr>
        <rFont val="Arial"/>
        <color rgb="FFFF0000"/>
        <sz val="11.0"/>
      </rPr>
      <t xml:space="preserve">Kelvin </t>
    </r>
    <r>
      <rPr>
        <rFont val="Arial"/>
        <color rgb="FF000000"/>
        <sz val="11.0"/>
      </rPr>
      <t>Receives</t>
    </r>
  </si>
  <si>
    <r>
      <rPr>
        <rFont val="Arial"/>
        <color rgb="FF6AA84F"/>
        <sz val="11.0"/>
      </rPr>
      <t xml:space="preserve">Delaney </t>
    </r>
    <r>
      <rPr>
        <rFont val="Arial"/>
        <color rgb="FF000000"/>
        <sz val="11.0"/>
      </rPr>
      <t>Receives</t>
    </r>
    <r>
      <rPr>
        <rFont val="Arial"/>
        <color rgb="FF6AA84F"/>
        <sz val="11.0"/>
      </rPr>
      <t xml:space="preserve"> </t>
    </r>
  </si>
  <si>
    <r>
      <rPr>
        <rFont val="Arial"/>
        <color rgb="FF4A86E8"/>
        <sz val="11.0"/>
      </rPr>
      <t xml:space="preserve">Jowkar </t>
    </r>
    <r>
      <rPr>
        <rFont val="Arial"/>
        <color rgb="FF000000"/>
        <sz val="11.0"/>
      </rPr>
      <t>Receives</t>
    </r>
  </si>
  <si>
    <t>JOWK Peterson 2022 2nd</t>
  </si>
  <si>
    <t>DELA Delaney 2021 2nd (#17)</t>
  </si>
  <si>
    <t>DELA Jerami Grant</t>
  </si>
  <si>
    <t>JOWK Lauri Markanen</t>
  </si>
  <si>
    <t>DIME Clint Capela</t>
  </si>
  <si>
    <t>JOWK Jowkar 2023 2nd</t>
  </si>
  <si>
    <t>JOWK Mike Conley</t>
  </si>
  <si>
    <t>DIME Kemba Walker</t>
  </si>
  <si>
    <t>DELA Dela 2024 2nd Round</t>
  </si>
  <si>
    <t>DELA Kemba Walker</t>
  </si>
  <si>
    <t>ZJEW Draymond Green</t>
  </si>
  <si>
    <t>ZJEW Joe Harris</t>
  </si>
  <si>
    <t xml:space="preserve">2021 Draft Order: </t>
  </si>
  <si>
    <t>2nd round is Compensatory, thus you can pick from other free agents</t>
  </si>
  <si>
    <t>BERK Andrew Wiggins</t>
  </si>
  <si>
    <t>JOWK Montrezl Harrell</t>
  </si>
  <si>
    <t>#1:      Lottery #1 (40% Green)</t>
  </si>
  <si>
    <r>
      <rPr>
        <rFont val="&quot;Permanent Marker&quot;"/>
        <strike/>
        <color theme="1"/>
        <sz val="14.0"/>
      </rPr>
      <t>Vlandis</t>
    </r>
    <r>
      <rPr>
        <rFont val="&quot;Permanent Marker&quot;"/>
        <color theme="1"/>
        <sz val="14.0"/>
      </rPr>
      <t xml:space="preserve"> Berke</t>
    </r>
  </si>
  <si>
    <t>1st round picks must all be rookies</t>
  </si>
  <si>
    <t>#2:      Lottery #2  (30% Gold)</t>
  </si>
  <si>
    <t>MOSS Malcolm Brogdon</t>
  </si>
  <si>
    <t>DIME Donovan Mitchell</t>
  </si>
  <si>
    <r>
      <rPr>
        <rFont val="&quot;Permanent Marker&quot;"/>
        <strike/>
        <color theme="1"/>
        <sz val="14.0"/>
      </rPr>
      <t>Vlandis</t>
    </r>
    <r>
      <rPr>
        <rFont val="&quot;Permanent Marker&quot;"/>
        <color theme="1"/>
        <sz val="14.0"/>
      </rPr>
      <t xml:space="preserve"> Berke</t>
    </r>
  </si>
  <si>
    <t>DIME Myles Turner</t>
  </si>
  <si>
    <t>#4:      Jowkar</t>
  </si>
  <si>
    <t>MOSS Al Horford</t>
  </si>
  <si>
    <t>DIME Kelvin 2022 1st Round</t>
  </si>
  <si>
    <r>
      <rPr>
        <rFont val="Alfa Slab One"/>
        <b/>
        <color rgb="FF1C4587"/>
        <sz val="12.0"/>
      </rPr>
      <t xml:space="preserve">#5:      </t>
    </r>
    <r>
      <rPr>
        <rFont val="Alfa Slab One"/>
        <b/>
        <color rgb="FF1C4587"/>
        <sz val="12.0"/>
      </rPr>
      <t>Zujewski</t>
    </r>
  </si>
  <si>
    <t>#6:      Trager</t>
  </si>
  <si>
    <t>GREEN Mason Plumlee</t>
  </si>
  <si>
    <t>DIME Kelvin 2023 1st Round</t>
  </si>
  <si>
    <r>
      <rPr>
        <rFont val="Alfa Slab One"/>
        <b/>
        <color rgb="FF000000"/>
        <sz val="12.0"/>
      </rPr>
      <t xml:space="preserve">#7:      </t>
    </r>
    <r>
      <rPr>
        <rFont val="Alfa Slab One"/>
        <b/>
        <color rgb="FF000000"/>
        <sz val="12.0"/>
      </rPr>
      <t>Delaney</t>
    </r>
  </si>
  <si>
    <t>GREEN Green 2021 2nd round</t>
  </si>
  <si>
    <t>DIME Kelvin 2022 2nd Round</t>
  </si>
  <si>
    <r>
      <rPr>
        <rFont val="Alfa Slab One"/>
        <b/>
        <color rgb="FF000000"/>
        <sz val="12.0"/>
      </rPr>
      <t xml:space="preserve">#8:      </t>
    </r>
    <r>
      <rPr>
        <rFont val="Alfa Slab One"/>
        <b/>
        <color rgb="FF000000"/>
        <sz val="12.0"/>
      </rPr>
      <t>Kelvin</t>
    </r>
  </si>
  <si>
    <t>#9:      Berke</t>
  </si>
  <si>
    <r>
      <rPr>
        <rFont val="&quot;Permanent Marker&quot;"/>
        <strike/>
        <color theme="1"/>
        <sz val="14.0"/>
      </rPr>
      <t>Berke</t>
    </r>
    <r>
      <rPr>
        <rFont val="&quot;Permanent Marker&quot;"/>
        <color theme="1"/>
        <sz val="14.0"/>
      </rPr>
      <t xml:space="preserve"> Vlandis</t>
    </r>
  </si>
  <si>
    <t>VLAND Steph Curry</t>
  </si>
  <si>
    <t>DIME De'Aaron Fox</t>
  </si>
  <si>
    <r>
      <rPr>
        <rFont val="Alfa Slab One"/>
        <b/>
        <color rgb="FF000000"/>
        <sz val="12.0"/>
      </rPr>
      <t xml:space="preserve">#10:    </t>
    </r>
    <r>
      <rPr>
        <rFont val="Alfa Slab One"/>
        <b/>
        <color rgb="FF000000"/>
        <sz val="12.0"/>
      </rPr>
      <t>Moss</t>
    </r>
  </si>
  <si>
    <t>VLAND Jeremy Lamb</t>
  </si>
  <si>
    <t>DIME Devonte Graham</t>
  </si>
  <si>
    <t>VLAND Dillon Brooks</t>
  </si>
  <si>
    <t>DIME Keldon Johnson</t>
  </si>
  <si>
    <t>DIME Green 2021 2nd round</t>
  </si>
  <si>
    <t>TRAG James Harden</t>
  </si>
  <si>
    <t>BERK Brandon Ingram</t>
  </si>
  <si>
    <t>2021 Rookie Draft Recap: August 29th, 2021</t>
  </si>
  <si>
    <t>BERK 2023 Berke 1st round</t>
  </si>
  <si>
    <t>BERK 2022 Berke 2nd round</t>
  </si>
  <si>
    <r>
      <rPr>
        <rFont val="Calibri, Arial"/>
        <b/>
        <color rgb="FF000000"/>
      </rPr>
      <t>#1: Ice Trae:</t>
    </r>
    <r>
      <rPr>
        <rFont val="Calibri, Arial"/>
        <b val="0"/>
        <color rgb="FF000000"/>
      </rPr>
      <t xml:space="preserve"> Cade Cunningham </t>
    </r>
  </si>
  <si>
    <r>
      <rPr>
        <rFont val="Calibri, Arial"/>
        <b/>
        <color rgb="FF000000"/>
      </rPr>
      <t>#1:  Magic City Hot Wingz:</t>
    </r>
    <r>
      <rPr>
        <rFont val="Calibri, Arial"/>
        <b val="0"/>
        <color rgb="FF000000"/>
      </rPr>
      <t xml:space="preserve"> Moses Moody</t>
    </r>
  </si>
  <si>
    <r>
      <rPr>
        <rFont val="Calibri, Arial"/>
        <b/>
        <color rgb="FF000000"/>
      </rPr>
      <t xml:space="preserve">#1:  Ice Trae: </t>
    </r>
    <r>
      <rPr>
        <rFont val="Calibri, Arial"/>
        <b val="0"/>
        <color rgb="FF000000"/>
      </rPr>
      <t>Isaac IR ---&gt; Onyeka Okongwu</t>
    </r>
  </si>
  <si>
    <r>
      <rPr>
        <rFont val="Calibri, Arial"/>
        <b/>
        <color rgb="FF000000"/>
      </rPr>
      <t xml:space="preserve">#2:  Morey Ball: </t>
    </r>
    <r>
      <rPr>
        <rFont val="Calibri, Arial"/>
        <b val="0"/>
        <color rgb="FF000000"/>
      </rPr>
      <t>Jalen Green</t>
    </r>
  </si>
  <si>
    <r>
      <rPr>
        <rFont val="Calibri, Arial"/>
        <b/>
        <color rgb="FF000000"/>
      </rPr>
      <t>#2:</t>
    </r>
    <r>
      <rPr>
        <rFont val="Calibri, Arial"/>
        <b/>
        <color rgb="FF0000FF"/>
      </rPr>
      <t xml:space="preserve"> </t>
    </r>
    <r>
      <rPr>
        <rFont val="Calibri, Arial"/>
        <b/>
        <color rgb="FF000000"/>
      </rPr>
      <t xml:space="preserve">Deepwater: </t>
    </r>
    <r>
      <rPr>
        <rFont val="Calibri, Arial"/>
        <b val="0"/>
        <color rgb="FF000000"/>
      </rPr>
      <t>Marvin Bagley</t>
    </r>
  </si>
  <si>
    <r>
      <rPr>
        <rFont val="Calibri, Arial"/>
        <b/>
        <color rgb="FF000000"/>
      </rPr>
      <t xml:space="preserve">#2:  Deepwater: </t>
    </r>
    <r>
      <rPr>
        <rFont val="Calibri, Arial"/>
        <b val="0"/>
        <color rgb="FF000000"/>
      </rPr>
      <t>Murray IR ---&gt; Seth Curry</t>
    </r>
  </si>
  <si>
    <t>MOSS Donovan Mitchell</t>
  </si>
  <si>
    <t>VLAND Russell Westbrook</t>
  </si>
  <si>
    <r>
      <rPr>
        <rFont val="Calibri, Arial"/>
        <b/>
        <color rgb="FF000000"/>
      </rPr>
      <t>#3:  Deepwater:</t>
    </r>
    <r>
      <rPr>
        <rFont val="Calibri, Arial"/>
        <b val="0"/>
        <color rgb="FF000000"/>
      </rPr>
      <t xml:space="preserve"> Jalen Suggs</t>
    </r>
  </si>
  <si>
    <r>
      <rPr>
        <rFont val="Calibri, Arial"/>
        <b/>
        <color rgb="FF000000"/>
      </rPr>
      <t xml:space="preserve">#3:   Magic City Hot Wingz: </t>
    </r>
    <r>
      <rPr>
        <rFont val="Calibri, Arial"/>
        <b val="0"/>
        <color rgb="FF000000"/>
      </rPr>
      <t>Cam Thomas</t>
    </r>
  </si>
  <si>
    <r>
      <rPr>
        <rFont val="Calibri, Arial"/>
        <b/>
        <color rgb="FF000000"/>
      </rPr>
      <t xml:space="preserve">#3: Minnesota TimberWobs: </t>
    </r>
    <r>
      <rPr>
        <rFont val="Calibri, Arial"/>
        <b val="0"/>
        <color rgb="FF000000"/>
      </rPr>
      <t>Coby White IR ---&gt; Steven Adams</t>
    </r>
  </si>
  <si>
    <t>VLAND 2021 Vlandis 1st round</t>
  </si>
  <si>
    <r>
      <rPr>
        <rFont val="Calibri, Arial"/>
        <b/>
        <color rgb="FF000000"/>
      </rPr>
      <t>#4:  Ice Trae:</t>
    </r>
    <r>
      <rPr>
        <rFont val="Calibri, Arial"/>
        <b val="0"/>
        <color rgb="FF000000"/>
      </rPr>
      <t xml:space="preserve"> Evan Mobley</t>
    </r>
  </si>
  <si>
    <r>
      <rPr>
        <rFont val="Calibri, Arial"/>
        <b/>
        <color rgb="FF000000"/>
      </rPr>
      <t xml:space="preserve">#4:   Herro Ball: ---&gt; HaleTrager : </t>
    </r>
    <r>
      <rPr>
        <rFont val="Calibri, Arial"/>
        <b val="0"/>
        <color rgb="FF000000"/>
      </rPr>
      <t>Jaden McDaniels</t>
    </r>
  </si>
  <si>
    <r>
      <rPr>
        <rFont val="Calibri, Arial"/>
        <b/>
        <color rgb="FF000000"/>
      </rPr>
      <t>#4:  Herro Ball:</t>
    </r>
    <r>
      <rPr>
        <rFont val="Calibri, Arial"/>
        <b val="0"/>
        <color rgb="FF000000"/>
      </rPr>
      <t xml:space="preserve"> Klay Thompson IR ---&gt; Markelle Fultz IR</t>
    </r>
  </si>
  <si>
    <t>VLAND 2022 Vlandis 1st round swap right</t>
  </si>
  <si>
    <r>
      <rPr>
        <rFont val="Calibri, Arial"/>
        <b/>
        <color rgb="FF000000"/>
      </rPr>
      <t xml:space="preserve">#5:  Z man the Juice: </t>
    </r>
    <r>
      <rPr>
        <rFont val="Calibri, Arial"/>
        <b val="0"/>
        <color rgb="FF000000"/>
      </rPr>
      <t>Josh Giddey</t>
    </r>
  </si>
  <si>
    <r>
      <rPr>
        <rFont val="Calibri, Arial"/>
        <b/>
        <color rgb="FF000000"/>
      </rPr>
      <t xml:space="preserve">#5:   Always Droppin Dimes: </t>
    </r>
    <r>
      <rPr>
        <rFont val="Calibri, Arial"/>
        <b val="0"/>
        <color rgb="FF000000"/>
      </rPr>
      <t>Chris Duarte</t>
    </r>
  </si>
  <si>
    <r>
      <rPr>
        <rFont val="Calibri, Arial"/>
        <b/>
        <color rgb="FF000000"/>
      </rPr>
      <t>#5:  Z Man the Juice:</t>
    </r>
    <r>
      <rPr>
        <rFont val="Calibri, Arial"/>
        <b val="0"/>
        <color rgb="FF000000"/>
      </rPr>
      <t xml:space="preserve"> </t>
    </r>
    <r>
      <rPr>
        <rFont val="Calibri, Arial"/>
        <b/>
        <color rgb="FF000000"/>
      </rPr>
      <t>N/A</t>
    </r>
  </si>
  <si>
    <r>
      <rPr>
        <rFont val="Calibri, Arial"/>
        <b/>
        <color rgb="FF000000"/>
      </rPr>
      <t>#6:  SexLand:</t>
    </r>
    <r>
      <rPr>
        <rFont val="Calibri, Arial"/>
        <b val="0"/>
        <color rgb="FF000000"/>
      </rPr>
      <t xml:space="preserve"> Scottie Barnes</t>
    </r>
  </si>
  <si>
    <r>
      <rPr>
        <rFont val="Calibri, Arial"/>
        <b/>
        <color rgb="FF000000"/>
      </rPr>
      <t>#6:   Washed Kings:</t>
    </r>
    <r>
      <rPr>
        <rFont val="Calibri, Arial"/>
        <b val="0"/>
        <color rgb="FF000000"/>
      </rPr>
      <t xml:space="preserve"> Zaire Williams</t>
    </r>
  </si>
  <si>
    <r>
      <rPr>
        <rFont val="Calibri, Arial"/>
        <b/>
        <color rgb="FF000000"/>
      </rPr>
      <t xml:space="preserve">#6:  SexLand: </t>
    </r>
    <r>
      <rPr>
        <rFont val="Calibri, Arial"/>
        <b val="0"/>
        <color rgb="FF000000"/>
      </rPr>
      <t>Mitch Robinson IR ---&gt; Nerlens Noel</t>
    </r>
  </si>
  <si>
    <t>JOWK Damian Lillard</t>
  </si>
  <si>
    <t>DIME Nikola Jokic</t>
  </si>
  <si>
    <r>
      <rPr>
        <rFont val="Calibri, Arial"/>
        <b/>
        <color rgb="FF000000"/>
      </rPr>
      <t>#7:  Minnesota TimberWobs:</t>
    </r>
    <r>
      <rPr>
        <rFont val="Calibri, Arial"/>
        <b val="0"/>
        <color rgb="FF000000"/>
      </rPr>
      <t xml:space="preserve"> James Bouknight</t>
    </r>
  </si>
  <si>
    <r>
      <rPr>
        <rFont val="Calibri, Arial"/>
        <b/>
        <color rgb="FF000000"/>
      </rPr>
      <t xml:space="preserve">#7:   Washed Kings ---&gt; Jowkar </t>
    </r>
    <r>
      <rPr>
        <rFont val="Calibri, Arial"/>
        <b val="0"/>
        <color rgb="FF000000"/>
      </rPr>
      <t>Victor Oladipo</t>
    </r>
  </si>
  <si>
    <r>
      <rPr>
        <rFont val="Calibri, Arial"/>
        <b/>
        <color rgb="FF000000"/>
      </rPr>
      <t>#7:  Washed Kings:</t>
    </r>
    <r>
      <rPr>
        <rFont val="Calibri, Arial"/>
        <b val="0"/>
        <color rgb="FF000000"/>
      </rPr>
      <t xml:space="preserve"> Doug Mcdermott</t>
    </r>
  </si>
  <si>
    <t>JOWK Kyrie Irving</t>
  </si>
  <si>
    <t>DIME Dillon Brooks</t>
  </si>
  <si>
    <r>
      <rPr>
        <rFont val="Calibri, Arial"/>
        <b/>
        <color rgb="FF000000"/>
      </rPr>
      <t xml:space="preserve">#8:  SexLand: </t>
    </r>
    <r>
      <rPr>
        <rFont val="Calibri, Arial"/>
        <b val="0"/>
        <color rgb="FF000000"/>
      </rPr>
      <t>Alperen Sengun</t>
    </r>
  </si>
  <si>
    <r>
      <rPr>
        <rFont val="Calibri, Arial"/>
        <b/>
        <color rgb="FF000000"/>
      </rPr>
      <t xml:space="preserve">#8:   Always Droppin Dimes: </t>
    </r>
    <r>
      <rPr>
        <rFont val="Calibri, Arial"/>
        <b val="0"/>
        <color rgb="FF000000"/>
      </rPr>
      <t>Chuma Okeke</t>
    </r>
  </si>
  <si>
    <r>
      <rPr>
        <rFont val="Calibri, Arial"/>
        <b/>
        <color rgb="FF000000"/>
      </rPr>
      <t>#8:  Always Droppin Dimes:</t>
    </r>
    <r>
      <rPr>
        <rFont val="Calibri, Arial"/>
        <b val="0"/>
        <color rgb="FF000000"/>
      </rPr>
      <t xml:space="preserve"> </t>
    </r>
    <r>
      <rPr>
        <rFont val="Calibri, Arial"/>
        <b/>
        <color rgb="FF000000"/>
      </rPr>
      <t>N/A</t>
    </r>
  </si>
  <si>
    <t>DIME Kelvin 2025 1st round</t>
  </si>
  <si>
    <r>
      <rPr>
        <rFont val="Calibri, Arial"/>
        <b/>
        <color rgb="FF000000"/>
      </rPr>
      <t>#9:  Minnesota TimberWobs:</t>
    </r>
    <r>
      <rPr>
        <rFont val="Calibri, Arial"/>
        <b val="0"/>
        <color rgb="FF000000"/>
      </rPr>
      <t xml:space="preserve"> Davion Mitchell</t>
    </r>
  </si>
  <si>
    <r>
      <rPr>
        <rFont val="Calibri, Arial"/>
        <b/>
        <color rgb="FF000000"/>
      </rPr>
      <t xml:space="preserve">#9:   Magic City Hot Wingz: </t>
    </r>
    <r>
      <rPr>
        <rFont val="Calibri, Arial"/>
        <b val="0"/>
        <color rgb="FF000000"/>
      </rPr>
      <t xml:space="preserve"> Lonnie Walker IV</t>
    </r>
  </si>
  <si>
    <r>
      <rPr>
        <rFont val="Calibri, Arial"/>
        <b/>
        <color rgb="FF000000"/>
      </rPr>
      <t xml:space="preserve">#9:  Magic City Hot Wingz: </t>
    </r>
    <r>
      <rPr>
        <rFont val="Calibri, Arial"/>
        <b val="0"/>
        <color rgb="FF000000"/>
      </rPr>
      <t>Drop Ricky Rubio ---&gt; Bones Hyland</t>
    </r>
  </si>
  <si>
    <r>
      <rPr>
        <rFont val="Calibri, Arial"/>
        <b/>
        <color rgb="FF000000"/>
      </rPr>
      <t xml:space="preserve">#10:  Morey Ball: </t>
    </r>
    <r>
      <rPr>
        <rFont val="Calibri, Arial"/>
        <b val="0"/>
        <color rgb="FF000000"/>
      </rPr>
      <t>Jonathan Kuminga</t>
    </r>
  </si>
  <si>
    <r>
      <rPr>
        <rFont val="Calibri, Arial"/>
        <b/>
        <color rgb="FF000000"/>
      </rPr>
      <t xml:space="preserve">#10:   Morey Ball: </t>
    </r>
    <r>
      <rPr>
        <rFont val="Calibri, Arial"/>
        <b val="0"/>
        <color rgb="FF000000"/>
      </rPr>
      <t>Josh Christopher</t>
    </r>
  </si>
  <si>
    <t>#10:  Morey Ball: N/A</t>
  </si>
  <si>
    <t>DIME Kyrie Irving</t>
  </si>
  <si>
    <t>ZJEW Paul George</t>
  </si>
  <si>
    <t>DIME Josh Jackson</t>
  </si>
  <si>
    <t>ZJEW Terry Rozier</t>
  </si>
  <si>
    <t>ZJEW Zujewski 2021 2nd round</t>
  </si>
  <si>
    <r>
      <rPr>
        <rFont val="Calibri, Arial"/>
        <b/>
        <color rgb="FF000000"/>
      </rPr>
      <t>#1:  Ice Trae: Is</t>
    </r>
    <r>
      <rPr>
        <rFont val="Calibri, Arial"/>
        <b val="0"/>
        <color rgb="FF000000"/>
      </rPr>
      <t>aiah Stewart ---&gt; Devin Vassell</t>
    </r>
  </si>
  <si>
    <r>
      <rPr>
        <rFont val="Calibri, Arial"/>
        <b/>
        <color rgb="FF000000"/>
      </rPr>
      <t xml:space="preserve">#1:  Ice Trae: </t>
    </r>
    <r>
      <rPr>
        <rFont val="Calibri, Arial"/>
        <b val="0"/>
        <color rgb="FF000000"/>
      </rPr>
      <t>Thomas Bryant IR ---&gt; Kira Lewis</t>
    </r>
  </si>
  <si>
    <r>
      <rPr>
        <rFont val="Calibri, Arial"/>
        <b/>
        <color rgb="FF000000"/>
      </rPr>
      <t xml:space="preserve">#1:  Ice Trae: </t>
    </r>
    <r>
      <rPr>
        <rFont val="Calibri, Arial"/>
        <b val="0"/>
        <color rgb="FF000000"/>
      </rPr>
      <t>Patrick Williams IR ---&gt; Trey Murphy III</t>
    </r>
  </si>
  <si>
    <t>ZJEW Zujewski 2023 2nd round</t>
  </si>
  <si>
    <r>
      <rPr>
        <rFont val="Calibri, Arial"/>
        <b/>
        <color rgb="FF000000"/>
      </rPr>
      <t xml:space="preserve">#2:  Deepwater: </t>
    </r>
    <r>
      <rPr>
        <rFont val="Calibri, Arial"/>
        <b val="0"/>
        <color rgb="FF000000"/>
      </rPr>
      <t>TJ Warren IR ---&gt; Cameron Johsnon</t>
    </r>
  </si>
  <si>
    <r>
      <rPr>
        <rFont val="Calibri, Arial"/>
        <b/>
        <color rgb="FF000000"/>
      </rPr>
      <t xml:space="preserve">#2:  Deepwater: </t>
    </r>
    <r>
      <rPr>
        <rFont val="Calibri, Arial"/>
        <b val="0"/>
        <color rgb="FF000000"/>
      </rPr>
      <t>James Wiseman IR ---&gt; Malik Monk</t>
    </r>
  </si>
  <si>
    <t>#2:  Deepwater: N/A</t>
  </si>
  <si>
    <t>#3: Minnesota TimberWobs: N/A</t>
  </si>
  <si>
    <t>DELA Richaun Holmes</t>
  </si>
  <si>
    <t>DIME Terry Rozier</t>
  </si>
  <si>
    <r>
      <rPr>
        <rFont val="Calibri, Arial"/>
        <b/>
        <color rgb="FF000000"/>
      </rPr>
      <t xml:space="preserve">#4:  Herro Ball: </t>
    </r>
    <r>
      <rPr>
        <rFont val="Calibri, Arial"/>
        <b val="0"/>
        <color rgb="FF000000"/>
      </rPr>
      <t>Markelle Fultz IR ---&gt; Nicholas Claxton</t>
    </r>
  </si>
  <si>
    <r>
      <rPr>
        <rFont val="Calibri, Arial"/>
        <b/>
        <color rgb="FF000000"/>
      </rPr>
      <t xml:space="preserve">#4:  Herro Ball: </t>
    </r>
    <r>
      <rPr>
        <rFont val="Calibri, Arial"/>
        <b val="0"/>
        <color rgb="FF000000"/>
      </rPr>
      <t>Victor Oladipo IR ---&gt; Jalen Johnson</t>
    </r>
  </si>
  <si>
    <t>#4:  Herro Ball: N/A</t>
  </si>
  <si>
    <t>DELA Norman Powell</t>
  </si>
  <si>
    <t>DIME TJ McConnell</t>
  </si>
  <si>
    <t>#5:  Z Man the Juice: N/A</t>
  </si>
  <si>
    <r>
      <rPr>
        <rFont val="Calibri, Arial"/>
        <b/>
        <color rgb="FF000000"/>
      </rPr>
      <t xml:space="preserve">#6:  SexLand: </t>
    </r>
    <r>
      <rPr>
        <rFont val="Calibri, Arial"/>
        <b val="0"/>
        <color rgb="FF000000"/>
      </rPr>
      <t>Donte Divencenzo IR ---&gt; Demond Bane</t>
    </r>
  </si>
  <si>
    <t>#6:  SexLand: N/A</t>
  </si>
  <si>
    <t>JOWK Thaddeus Young</t>
  </si>
  <si>
    <t>DELA Dennis Schroeder</t>
  </si>
  <si>
    <r>
      <rPr>
        <rFont val="Calibri, Arial"/>
        <b/>
        <color rgb="FF000000"/>
      </rPr>
      <t xml:space="preserve">#7:  Washed Kings: </t>
    </r>
    <r>
      <rPr>
        <rFont val="Calibri, Arial"/>
        <b val="0"/>
        <color rgb="FF000000"/>
      </rPr>
      <t>Payton Pritchard</t>
    </r>
  </si>
  <si>
    <t>#7:  Washed Kings: N/A</t>
  </si>
  <si>
    <t>DELA Delaney 1st round 2021</t>
  </si>
  <si>
    <t>#8:  Always Droppin Dimes: N/A</t>
  </si>
  <si>
    <t>DELA  Delaney 2nd round 2023</t>
  </si>
  <si>
    <r>
      <rPr>
        <rFont val="Calibri, Arial"/>
        <b/>
        <color rgb="FF000000"/>
      </rPr>
      <t xml:space="preserve">#9:  Magic City Hot Wingz: </t>
    </r>
    <r>
      <rPr>
        <rFont val="Calibri, Arial"/>
        <b val="0"/>
        <color rgb="FF000000"/>
      </rPr>
      <t>Drop Kontavious Caldwell Pope ---&gt; Shariife Cooper</t>
    </r>
  </si>
  <si>
    <r>
      <rPr>
        <rFont val="Calibri, Arial"/>
        <b/>
        <color rgb="FF000000"/>
      </rPr>
      <t xml:space="preserve">#9:  Magic City Hot Wingz: </t>
    </r>
    <r>
      <rPr>
        <rFont val="Calibri, Arial"/>
        <b val="0"/>
        <color rgb="FF000000"/>
      </rPr>
      <t>Drop Alec Burks --&gt; Pickup Carmelo Anthony</t>
    </r>
  </si>
  <si>
    <t xml:space="preserve">#9:  Magic City Hot Wingz: </t>
  </si>
  <si>
    <r>
      <rPr>
        <rFont val="Calibri, Arial"/>
        <b/>
        <color rgb="FF000000"/>
      </rPr>
      <t xml:space="preserve">#10:  Morey Ball: </t>
    </r>
    <r>
      <rPr>
        <rFont val="Calibri, Arial"/>
        <b val="0"/>
        <color rgb="FF000000"/>
      </rPr>
      <t xml:space="preserve">Myles Turner IR ---&gt; Kevin Love </t>
    </r>
  </si>
  <si>
    <t>VLAND D'Angelo Russell</t>
  </si>
  <si>
    <t>JOWK Andrew Wiggins</t>
  </si>
  <si>
    <t>7th Round for Ice Trae: Okongwu to IR ---&gt; Pickup Usman Garuba</t>
  </si>
  <si>
    <t>JOWK Delaney 1st round 2021</t>
  </si>
  <si>
    <t>JOWK Jowkar 1st round 2023</t>
  </si>
  <si>
    <t>JOWK Onyeka Okongwu</t>
  </si>
  <si>
    <t>GREEN Saddiq Bey</t>
  </si>
  <si>
    <t>GREEN Kelvin 2022 2nd round</t>
  </si>
  <si>
    <t>JOWK Derrick Rose</t>
  </si>
  <si>
    <t>DELA Lou Williams</t>
  </si>
  <si>
    <t>DELA Delaney 2023 1st round</t>
  </si>
  <si>
    <t>JOWK Jowkar 1st round 2022</t>
  </si>
  <si>
    <t>VLAND Vlandis 2023 1st round swap rights with Delaney 2023 1st round</t>
  </si>
  <si>
    <t>JOWK Jowkar 1st round 2025</t>
  </si>
  <si>
    <t>Brandon Ingram</t>
  </si>
  <si>
    <t>Offseason Topics (OT) 2026</t>
  </si>
  <si>
    <t>Subject</t>
  </si>
  <si>
    <t>Extra thought</t>
  </si>
  <si>
    <t>Are we voting on this?</t>
  </si>
  <si>
    <t>Result</t>
  </si>
  <si>
    <t>Max GP</t>
  </si>
  <si>
    <t>Vote between 55 and no more Max GP - consideratoin to include 60 but argumentwas made that it's too little to matter
No matter what, commissionser will no longer be retroactively editing lineups</t>
  </si>
  <si>
    <t>Stepien Rule</t>
  </si>
  <si>
    <t>If we want to have 5 years of picks that's fine, but we could consider putting a limit on this. 
My proposal is that you must have 1 first round picks pick in the next 3 drafts to be able to trade your deeper picks. 
What this means practically is that if you don't have any picks for the next 3 seasons, you have to retain your deeper firsts and future unless you gain a first in the next 3 seasons. Any trade that conflicts with the Stepien rule being adhered to would get rejected by the legue office</t>
  </si>
  <si>
    <t>Cup double week</t>
  </si>
  <si>
    <t xml:space="preserve">The NBA Cup has the quarter finals/semi-finals/and finals over the course of 2 weeks which creates weird schedules for the week. Better to combine them for increased volume in the week (although variance can be fun!)
Idea is to combine the weeks where these events for the NBA cup take place </t>
  </si>
  <si>
    <t>No</t>
  </si>
  <si>
    <t>Combining the week (I need to actually remember to do it, we should just allow me to correct the mistake if we realize it in season)</t>
  </si>
  <si>
    <t>Move from Groupme to Discord</t>
  </si>
  <si>
    <t>Could allow us to create channels and just has a lot of versatility as an app. Does anyone even use groupme anymore outside of this chat?</t>
  </si>
  <si>
    <t>Yes</t>
  </si>
  <si>
    <t>Lower buy in from 100 to 50</t>
  </si>
  <si>
    <t>Axe weekly highest scorer?</t>
  </si>
  <si>
    <t>10 or 0 (fuck 5)</t>
  </si>
  <si>
    <t>Maximum GP</t>
  </si>
  <si>
    <t>Lloyd said 4 per slot on twitter, Trager thinks 5 per slot. That's 40 vs 50 starts per week. Would vote first on if we have a max GP then would vote on what number that would be
Look into bench which can be a reserve slot that can be bumped into the scoring
Voting on 50 GP for regular season weeks and then playoffs having no cap</t>
  </si>
  <si>
    <t>Definitely</t>
  </si>
  <si>
    <t>Shorten the season</t>
  </si>
  <si>
    <t>Currently 16 periods with ASG week being wild card round and then next month being playoff matchups
Things to consider: 
How to deal with ASG weeks if part of playoffs
Total number of regular season periods (currently 16, considering an NFL scheduling model where bottom teams play bottom teams as their duplicate, would get us to 13/14 weeks probably)
If we still want 2 week matchups for semis and finals</t>
  </si>
  <si>
    <t>Voting on moving wild card to week before all star break and then doing a spring break for the wild card week(s)</t>
  </si>
  <si>
    <t>Axe</t>
  </si>
  <si>
    <t>Tanking proposal</t>
  </si>
  <si>
    <t>Lowest average score of players gets highest pick - question becomes where does it stop from there?</t>
  </si>
  <si>
    <t>6% per strike</t>
  </si>
  <si>
    <t>Zujewski proposed changes</t>
  </si>
  <si>
    <t xml:space="preserve">Proposed Changes:
    1.    Waiver Schedule Adjustment: Waiver claims will be processed twice weekly, specifically on Sunday and Wednesday mornings. This change aims to accommodate the increasingly busy schedules of our members, allowing for strategic planning without daily oversight.
    2.    Introduction of Bidding: Implement a bidding system for waiver claims to introduce an exciting, competitive aspect to acquiring players.
    3.    Strategic Waiver Days: Setting waiver days to Sunday and Wednesday optimizes flexibility for handling injuries, allowing team owners to respond effectively to player availability and plan for the week ahead, particularly targeting the high-volume game days.
    4.    Unlimited Pickups: On waiver processing days (Sunday and Wednesday), there will be no limit to the number of pickups a team can make. This measure is to offset the reduced frequency of waiver claims and encourage strategic decision-making on designated days.
    5.    Unlimited Injured Reserve (IR) Spots: To reduce the impact of injuries on fantasy teams, unlimited IR spots will be introduced. However, to prevent abuse of this system:
    •    Injured players cannot be added directly to the IR upon acquisition.
    •    Players with the Game Time Decision (GTD) status are ineligible for immediate IR placement to prevent games played manipulation.
</t>
  </si>
  <si>
    <t>1. Discussion
2. Already happening
3. Discussion same as 1
4. Discussion along with 1
5. Discussion</t>
  </si>
  <si>
    <t>Consensus</t>
  </si>
  <si>
    <t>IST 2 week matchup</t>
  </si>
  <si>
    <t>It's a weird week so we should make it 2 weeks to account for this</t>
  </si>
  <si>
    <t>Doing it</t>
  </si>
  <si>
    <t>Discuss asap</t>
  </si>
  <si>
    <t>2x per day FAAB</t>
  </si>
  <si>
    <t>Fantrax lets us set up FAAB for 2x per day. Could do 9am and 4/5pm to account for daily pickups and injury replacement pickups. Not perfect if a guy is ruled out last second, but better than our current system imo
Decision here will inform a vote on if we are keeping the Compensatory round or not. With FAAB, it would be bidding for FA's right when they become available which could be pretty fair. Might also set a date for FA to open post draft instead of opening it right away but that's up for group discussion</t>
  </si>
  <si>
    <t>Fantrax didn't allow 2x FAAB per day but we voted this in. Shifted to 1x FAAB per day which will be followed by a free for all free agency system for the rest of the day from the set FAAB time</t>
  </si>
  <si>
    <t>Slow Draft</t>
  </si>
  <si>
    <t xml:space="preserve">The idea is that each pick gets 24 hours to be taken. This will allow for more trading opportunities overall. Drafters should not take the full 24 hours if they do not need it, for the sake of everyone. We'll have to decide if the person picking just sends it in or Trager announces it in the groupme. </t>
  </si>
  <si>
    <t>Yes we're doing it</t>
  </si>
  <si>
    <t>Trager stuff</t>
  </si>
  <si>
    <t>Reduce IR Spots</t>
  </si>
  <si>
    <t>Everyone complains about FA, well lets make it better! We can reduce IR from 5 to 4/3 to inject more randomness into the league from injuries. Forces you to be a bit lucky to win. We only went to 5 IR spots due to COVID, so should revert back</t>
  </si>
  <si>
    <t>Voting</t>
  </si>
  <si>
    <t>Reduce number of years of picks</t>
  </si>
  <si>
    <t>We should consider limiting future picks to 4 years out instead of 5. Would increase their value and not let people throw away their futures as easiliy. If approved, would not be implemented until 2025 offseason by not unlocking 2030 picks that year (would still unlock 2029 picks in 2024 offseason)</t>
  </si>
  <si>
    <t>Add player eligibility</t>
  </si>
  <si>
    <r>
      <rPr/>
      <t xml:space="preserve">Text Trager and make your argument? Groupchat with Trager and Max?
</t>
    </r>
    <r>
      <rPr>
        <color rgb="FF1155CC"/>
        <u/>
      </rPr>
      <t>https://www.nba.com/stats/lineups/traditional?slug=traditional</t>
    </r>
    <r>
      <rPr/>
      <t xml:space="preserve"> - going to use advanced filters on this for all position arguments to see most used lineups and where players play in those lineups</t>
    </r>
  </si>
  <si>
    <t>G-league call ups</t>
  </si>
  <si>
    <t>Zujewski - should be once per year, feels too much like a roster spot right now</t>
  </si>
  <si>
    <t>Maybe</t>
  </si>
  <si>
    <t>Bi-weekly FA pickups</t>
  </si>
  <si>
    <t>Zujewski - Wednesday and Sunday morning</t>
  </si>
  <si>
    <t>Ignore, trying out FAAB first</t>
  </si>
  <si>
    <t>Max games played</t>
  </si>
  <si>
    <t>Feels like it has to be at least 55-60 games</t>
  </si>
  <si>
    <t>Looking into #, will debate in groupchat</t>
  </si>
  <si>
    <t>Dues for Lawson</t>
  </si>
  <si>
    <t>Jowkar - we all look for this guys rankings and some pay anyways. Everyone could contribute $5-6 toward dues and we could all just have his stuff as a league</t>
  </si>
  <si>
    <t>Making a sub group if people want it to just be pooled and released to the group that wants in</t>
  </si>
  <si>
    <t>More Trager</t>
  </si>
  <si>
    <t>Starting Centers establishment</t>
  </si>
  <si>
    <t>Going to be sure all 30 starting centers from the league the year prior are marked as a primary center by the keeper deadline. Caveat being if a team has a "major change" losing some players that make it clear a certain player would now be the starting C</t>
  </si>
  <si>
    <t>Just doing it, will go into effect at start of the season</t>
  </si>
  <si>
    <t>Tanking rules - weekly minimum GP</t>
  </si>
  <si>
    <t>Still a 3 strike system where the 3rd strike results in loss of furthest out SRP. A 4th strike results in dropping of lottery odds (if team owns their own pick). Weekly minimum is 30 games for all teams so retroactively a team can receive a strike. A team can also still receive a strike by sitting a top player 2x within a week or on the last day of a matchup. Top player will be defined as those averaging 40+ and the league office will differ to the discretion of the manager if they have an explanation as to why they did it or what happened.</t>
  </si>
  <si>
    <t>Just doing it</t>
  </si>
  <si>
    <t>Draft roster flexibility</t>
  </si>
  <si>
    <t>During the draft, teams can make trades and be over the 22 player limit. However, once the draft ends there will be a 12 hour period to process the drops to get every team to 22 players or fewer. From there the compensatory round will begin. Compensatory round will be completed in 1 night with 10 min per pick.</t>
  </si>
  <si>
    <t>FAAB time</t>
  </si>
  <si>
    <t>When should we do FAAB? On the one hand could do 5/6pm so that it's really the FA right before games played. However, when thinking about the league schedule this would be bad for weekend games. Thus 11am might be best. Depends how hte league wants to prioritize the purpose of the FAAB timing whether it's for limiting most pickups to FAAB system or allowing FAAB to basically take the place of overnight/in-game pickups to even the playing field
Probably the latter so 11am makes sense</t>
  </si>
  <si>
    <t>Noon / 12pm each day</t>
  </si>
  <si>
    <t>ESPN vs Fantrax</t>
  </si>
  <si>
    <t>ESPN Pros - people are used to it, same app as their other fantasy (just football)
Fantrax Pros - roster pickups once games start, significantly more optionality, DTD can go in IR, notifications to set your lineup &amp; for pickups, automatic lineup setting for the week, trade block that notifies you, 1 week wildcard round</t>
  </si>
  <si>
    <t>Probably not</t>
  </si>
  <si>
    <t>Unless someone insists, it has seemed pretty unanimous over the course of the year that Fantrax is the preferred site</t>
  </si>
  <si>
    <t>If we choose to stay w/Fantrax - vote on G-League</t>
  </si>
  <si>
    <t>Do we keep this concept?</t>
  </si>
  <si>
    <t>Staying with Fantrax partially just for this (and other flexibility</t>
  </si>
  <si>
    <t>Vote on roster size</t>
  </si>
  <si>
    <t>22 vs 20</t>
  </si>
  <si>
    <t>Unless someone forces it</t>
  </si>
  <si>
    <t>Extra wildcard slot</t>
  </si>
  <si>
    <t>I think we should have the 6th place team make the wild card. Top 2 seeds get byes and 3/4 are in the play in vs 6/5 respectively with a 1 week wild-card round.
Also think we should change up payout structure to include playoff teams getting their money back. It would just be top 4 teams (extra $100 out of overall pot, would become 600-200-100-100 probably). Play-in round is for money back and receiving a bye guarentees money back.
Change lottery to 4 teams that miss play-in/playoffs. Change odds percentages to 40-30-20-10 for bottom 4 teams. It's a top 2 lottery, so the worst the 40% team can finish is 3rd overall.</t>
  </si>
  <si>
    <t>Teams that miss playoffs should have a chance at the #1 pick</t>
  </si>
  <si>
    <t>Proposing 40/30/20/5/5 , or 35/30/20/10/5 - eliminiates incentive to tank. Last place team can't finish worse than 3rd (same as current).</t>
  </si>
  <si>
    <t>Yes (if above fails)</t>
  </si>
  <si>
    <t>G-League:</t>
  </si>
  <si>
    <t xml:space="preserve"> 1. 164 games played maximum</t>
  </si>
  <si>
    <t>The Kessler Rule</t>
  </si>
  <si>
    <t>Players who average 25 FPPG on the season at any point in the season (outside the first week of a small sample size) will lose G-League eligibiligty once it's brought to the Commissioners attention. They must be replaced within 24 hours or will be dropped, this will occur outside of the normal call up/call down periods.</t>
  </si>
  <si>
    <t>The Sharpe Rule</t>
  </si>
  <si>
    <t>If we add an FPPG limit for the G-League, we could remove the FRP restriction for G-League. This would allow people to take "projects" that they feel are highly talented and want to take a chance on with a high pick.</t>
  </si>
  <si>
    <t>Addendum to the Kessler Rule</t>
  </si>
  <si>
    <t>Conversation on ways to improve Waivers</t>
  </si>
  <si>
    <t>Reduce IR by 1: We no longer have Covid, with DTD able to enter on Fantrax, it limits waivers even more if everyone is using them all</t>
  </si>
  <si>
    <t>Draft Day</t>
  </si>
  <si>
    <t>Within 1-2 weeks of SL ending (2023 example - SL ended July 17th - draft by end of July)</t>
  </si>
  <si>
    <t>If we choose to stay w/Fantrax - # of starts threshold</t>
  </si>
  <si>
    <t>Need to get weekly average - 50-55 - 7-8 starts per day</t>
  </si>
  <si>
    <t>FAAB</t>
  </si>
  <si>
    <t>2 FAAB times per day</t>
  </si>
  <si>
    <t>Tanking rules: Just Lineup Optimization</t>
  </si>
  <si>
    <t>It's not a sustainable long term strategy to care about people's start/sit decisions. 
Suggestion is to do a 30+ FPPG player for lineup optimization as the only reason to receive a complaint for lineup optimization.</t>
  </si>
  <si>
    <t>Trager to announce tanking policy</t>
  </si>
  <si>
    <t>Should Commish be allowed to adjust lineups at all?</t>
  </si>
  <si>
    <t>I started to adjust lineups midseason in lieu of giving people strikes, to just get the "real" outcomes people wanted/intended
Gap - if someone forgets to set their own lineup, I wouldn't offer to adjust it for them. But if someone reports them in as tanking, I would adjust it in leau of a strike. 
How do we remedy this? Allow someone to have 1-2 "mistakes" per year for lineup adjustments that have to be sent in within 24 hours?</t>
  </si>
  <si>
    <t>Tanking rules: Punishment</t>
  </si>
  <si>
    <t>I think we should do a 3 strikes = loss of SRP structure. 
4th strike = loss of lottery chances (only if you own your own pick)
1 strike can come from not setting your lineup on multiple days in a week, not setting your lineup on a weekend day (Sat/Sun), or not optimizing your lineup for your 35+ FPPG scorers (season average)
If this doesn't work, we will have to very seriously consider flat odds for the lottery for all non-playoff participants. You should be able to tank and get into the lottery, but the amount of maneuvering in the past year was frankly absurd and won't be tolerated by me again to deal with.</t>
  </si>
  <si>
    <t>The Spennyian Rule</t>
  </si>
  <si>
    <t>Roster limit in the offseason - Roster limit will be +4 from whatever we decide the # of keepers are. This dispermits someone from overloading their team soooo much that they drop valuable pieces. (Spencer, summer of 2022)</t>
  </si>
  <si>
    <t>No IR usage in offseason</t>
  </si>
  <si>
    <t>Kelvins idea - no use of IR in the offseason. Assuming this refers to everything before the start of the season. Need to understand if it is refering to the offseason ending is post-draft or start of NBA season</t>
  </si>
  <si>
    <t>Vote occurred before the draft. IR slots are eligible to be used in compensatory round and in the intervening time before the NBA season starts</t>
  </si>
  <si>
    <t>Can an FRP be eligible for g-league on a new team?</t>
  </si>
  <si>
    <t>If a team drops a player (or they get traded away), are they then eligible for the g-league for any team besides the one that originally drafted them?</t>
  </si>
  <si>
    <t>If a player touches a g-league game in the real NBA, they will then become eligible for g-league that year
FRP are eligible for g-league if they're dropped (and picked up by the team that did not draft them)</t>
  </si>
  <si>
    <t>Weekly highest scorer
Dues</t>
  </si>
  <si>
    <t xml:space="preserve">Get rid of it? Modify? look at end of season results
Weekly highest scorer won $20 per week - 17 weeks = $34 per person
Adding $10 for Fantrax. </t>
  </si>
  <si>
    <t>Dues will be $144, Fantrax dues + weekly highest scorer</t>
  </si>
  <si>
    <t>Tanking</t>
  </si>
  <si>
    <t>We now have an ability to set lineups for an entire period ahead of time, so now how do we want to deal with purposefully sitting guys?</t>
  </si>
  <si>
    <t>No tanking rules, self-enforcement, that's the point of the lottery</t>
  </si>
  <si>
    <t>FAAB?</t>
  </si>
  <si>
    <t>Free agent auction budget? Pro is actually bidding on players, con is no more same day pickups</t>
  </si>
  <si>
    <t>Player Primary/Secondary Postion Eligibility</t>
  </si>
  <si>
    <t>Can we trade this if the player starts at a different position than their Primary is? Examples in pre-season would be JJJ and Mobley, once the season starts someone like KAT probably too</t>
  </si>
  <si>
    <t>This just feels fairly easy to me, like if a guy is starting at a position that should be his primary position. For these PF cases, sure maybe they play some C but realistically the starting C on their team is getting 24+ min which means that this player is not playing a majority of the teams Center minutes.
Will always be based on the year prior and where they played. Can be adjusted midseason at owners request based on 10+ GP of evidence</t>
  </si>
  <si>
    <t>Scoring on Fantrax</t>
  </si>
  <si>
    <t>Keeping ESPN scoring, unless someone has a better option; can consider future scoring changes brought to the league in the offseason</t>
  </si>
  <si>
    <t>I updated it to be what we had with ESPN Scoring</t>
  </si>
  <si>
    <t>Wild Card round - 1 week</t>
  </si>
  <si>
    <t>See if Fantrax allows for a 1 week wild card round with 2 week semis and finals</t>
  </si>
  <si>
    <t>I think everyone just wants this, it makes sense to shorten playoffs a little too</t>
  </si>
  <si>
    <t>Should the regular season go through last week of the regular season?</t>
  </si>
  <si>
    <t>It has for the past 2 years, did the finalists feel like it effected their players playing games? Has the league become competitive enough with the play-in tournament and seeding that teams were able to still compete at their normal level?</t>
  </si>
  <si>
    <t>Going to end regular season 1-2 weeks before playoffs end depending on NBA schedule timing with all star break and our playoffs</t>
  </si>
  <si>
    <t>Divisions</t>
  </si>
  <si>
    <t>Would be cool to set up extra kinds of competition/scheduling, divisions would be MA and outside MA.
MA: Trager, Moss, Gold, Zujewski, Jowkar
Outside MA: Delaney, Logan, Kelvin, Spencer, Green
Even if we don't do divisions, I want to determine some kind of rotational-ish program to give people similar-ish matchups over the course of years</t>
  </si>
  <si>
    <t>These feel kind of out of whack now, regular season will be 14-15 weeks though. So everyone will face each of the previous years playoff or non-playoff teams respective of where they finished (playoff includes wildcard in this definition). So that's 13 weeks of matchups. Remaining 1-2 weeks will come from the opposite group, 6vs1, 7vs2, 8vs3, 9vs4, 10vs5. And 7vs1, 8vs2, 9vs3, 10vs4, 5vs6</t>
  </si>
  <si>
    <t>Median scoring?</t>
  </si>
  <si>
    <t>Highest scorers in a week get a win even if they lose their matchup if they are in the top half of the league in scoring</t>
  </si>
  <si>
    <t>Just an idea as it's now an option</t>
  </si>
  <si>
    <t>Minor league call-ups</t>
  </si>
  <si>
    <t>3 times during the year. 1/3rd of regular season, 2/3rds of regular season, then at playoffs</t>
  </si>
  <si>
    <t>Executive decision on call-ups this year, can be voted on for iterations in future year(s)</t>
  </si>
  <si>
    <t>Comp rounds go to those who are on the call</t>
  </si>
  <si>
    <t>Compensatory picks (including moving keepers to IR for FA pickups) are only for owners that show up to the zoom/group call. All others can access free agency as they normally would once all draft results are inputted</t>
  </si>
  <si>
    <t>I'll just be doing this, it's what my football league does. It's meant to be a quick kind of round so texting people for their "picks" or if they're making one becomes arduous</t>
  </si>
  <si>
    <t xml:space="preserve">Buy in </t>
  </si>
  <si>
    <t>Do people actually want to increase it or was that a joke? Lol</t>
  </si>
  <si>
    <t>Probably no</t>
  </si>
  <si>
    <t>Non-playoff team pickups during the playoffs</t>
  </si>
  <si>
    <t>Less free agency, do we want to now allow non-playoff teams to pick up players during the playoffs?</t>
  </si>
  <si>
    <t>Just an idea because it's an option, probably shouldn't happen, but lmk if people feel otherwise</t>
  </si>
  <si>
    <t>Problem</t>
  </si>
  <si>
    <t>Ideas people have</t>
  </si>
  <si>
    <t>Ansillary Piece</t>
  </si>
  <si>
    <t>Conclusion</t>
  </si>
  <si>
    <t>Order</t>
  </si>
  <si>
    <t>Consolidated Topics</t>
  </si>
  <si>
    <t>Discussion Results</t>
  </si>
  <si>
    <t>Roster size</t>
  </si>
  <si>
    <t>They feel too small, people can't keep their second round picks if they want to be competitive with add/drops throughout the season</t>
  </si>
  <si>
    <t>Trager wants it to get to 20 roster spots</t>
  </si>
  <si>
    <t>Increase # of centers to 5</t>
  </si>
  <si>
    <t>Executive order to increase spots from 18 to 20</t>
  </si>
  <si>
    <t>Trading policy</t>
  </si>
  <si>
    <t>Statement</t>
  </si>
  <si>
    <t>IR Slots</t>
  </si>
  <si>
    <t>People felt like they had a lot of injuries this year, is this due to weird COVID season? Has to be thought of in conjunction with roster size question</t>
  </si>
  <si>
    <t>Zujew: Unlimited IR
Max G: Designate one player as a long term IR that others cannot pick up, can only be used in the case of season-long injury, must be chosen as a keeper for said team</t>
  </si>
  <si>
    <t>How do people feel about Dynasty vs a 10 man keeper? (Moss)</t>
  </si>
  <si>
    <t>at least 5 want dynasty, we can vote in future if needed</t>
  </si>
  <si>
    <t>Draft lottery</t>
  </si>
  <si>
    <t>The NBA makes it so every team that misses the playoffs gets put in the lottery, why don't we do the same?</t>
  </si>
  <si>
    <t>5% odds for 4th and 5th to last</t>
  </si>
  <si>
    <t>Minor league slots (20 + 2) [G-League]</t>
  </si>
  <si>
    <t>Voted in</t>
  </si>
  <si>
    <t>People intentionaly leaving players out of their lineup</t>
  </si>
  <si>
    <t>Fine? 2nd rounder taken away? Warning system?</t>
  </si>
  <si>
    <t>What to do when people forget to set their lineup? Is there a warning system in place? etc</t>
  </si>
  <si>
    <t>Tanking policy? (may lead into auto-set lineups) (automation options - espn chrome estension, yahoo [full week], fantrax [daily])</t>
  </si>
  <si>
    <t>Vote in chat</t>
  </si>
  <si>
    <t>It's annoying receiving text from multiple people about things/things not being confirmed</t>
  </si>
  <si>
    <t>Text Trager and Max in a group chat with the people making the trade to announce it, include who you will be dropping (how it will work), WHEN you want trade to process</t>
  </si>
  <si>
    <t>IR slots (number needed per team, IR+ at Yahoo?, long term vs short term IR?)</t>
  </si>
  <si>
    <t>Scoring in general is different on different sites</t>
  </si>
  <si>
    <t>Majority 5 slots</t>
  </si>
  <si>
    <t>Position limits</t>
  </si>
  <si>
    <t>It sucks being capped at Centers (would move from 4 to 5 due to roster size increase)</t>
  </si>
  <si>
    <t>No limits on player positions</t>
  </si>
  <si>
    <t>Center position limit? (increasing to 5 automatically due to 20 roster spots)</t>
  </si>
  <si>
    <t>IR slots (again)</t>
  </si>
  <si>
    <t>DTD sucks to not be able to pick someone up and place them in somewhere</t>
  </si>
  <si>
    <t>Yahoo allows for an IR+ which seems to work for this well</t>
  </si>
  <si>
    <t>In person draft next yeat?</t>
  </si>
  <si>
    <t>Keep in mind</t>
  </si>
  <si>
    <t>G-League</t>
  </si>
  <si>
    <t>Most rookies don't get real playing time in the NBA, thus it is important to have a place to put those rookies so people can draft and stash them</t>
  </si>
  <si>
    <t>2-3 g-league spots, eligible only to rookies and sophomores, designated at beginning of the season, could be adjusted at all star break, cannot be used in starting lineup</t>
  </si>
  <si>
    <t>On ESPN this may just be "locked" players in Free Agency</t>
  </si>
  <si>
    <t>Weekly highest scorer? (Gold)</t>
  </si>
  <si>
    <t>Majority</t>
  </si>
  <si>
    <t>Passed</t>
  </si>
  <si>
    <t>$20 win per weekly highest scorer</t>
  </si>
  <si>
    <t>increases dues by $36 per person</t>
  </si>
  <si>
    <t>$136 charge if doing dues for next year</t>
  </si>
  <si>
    <t>Yahoo</t>
  </si>
  <si>
    <t>"Start active players" button</t>
  </si>
  <si>
    <t>In-person draft?</t>
  </si>
  <si>
    <t xml:space="preserve">Do we want to try and coordinate drafting in person next year? If so, where would we want to go? </t>
  </si>
  <si>
    <t>Should it be a dynasty?</t>
  </si>
  <si>
    <t>For competitiveness year to year, could 10 keepers work better? More roster turnover?</t>
  </si>
  <si>
    <t>2022 offseason</t>
  </si>
  <si>
    <t>20+ Scorers</t>
  </si>
  <si>
    <t>25+ Scorers</t>
  </si>
  <si>
    <t>30+ Scorers</t>
  </si>
  <si>
    <t>35+ Scorers</t>
  </si>
  <si>
    <t>40+ Scorers</t>
  </si>
  <si>
    <t>Round</t>
  </si>
  <si>
    <t>Pick</t>
  </si>
  <si>
    <t>Pick (Overall)</t>
  </si>
  <si>
    <t>Team Selecting</t>
  </si>
  <si>
    <t>Luka Doncic</t>
  </si>
  <si>
    <t>Giannis Antetokounmpo</t>
  </si>
  <si>
    <t>Sex Land</t>
  </si>
  <si>
    <t>Herro Ball</t>
  </si>
  <si>
    <t>NO.</t>
  </si>
  <si>
    <t>PLAYER</t>
  </si>
  <si>
    <t>ROUND</t>
  </si>
  <si>
    <t>Anthony Davis</t>
  </si>
  <si>
    <t>James Harden Bkn, SG</t>
  </si>
  <si>
    <t>Zion Williamson NO, PF</t>
  </si>
  <si>
    <t>Luka Doncic Dal, PG</t>
  </si>
  <si>
    <t>Nikola Jokic</t>
  </si>
  <si>
    <t>Joel Embiid Phi, C</t>
  </si>
  <si>
    <t>Damian Lillard Por, PG</t>
  </si>
  <si>
    <t>LeBron James LAL, SF</t>
  </si>
  <si>
    <t>Karl-Anthony Towns</t>
  </si>
  <si>
    <t>De'Aaron Fox Sac, PG</t>
  </si>
  <si>
    <t>Kyrie Irving Bkn, PG</t>
  </si>
  <si>
    <t>Kevin Durant Bkn, SF</t>
  </si>
  <si>
    <t>Zion Williamson</t>
  </si>
  <si>
    <t>John Collins Atl, PF</t>
  </si>
  <si>
    <t>Michael Porter Jr. Den, SF</t>
  </si>
  <si>
    <t>Nikola Vucevic Orl, C</t>
  </si>
  <si>
    <t>Trae Young</t>
  </si>
  <si>
    <t>Christian Wood Hou, C</t>
  </si>
  <si>
    <t>Buddy Hield Sac, SG</t>
  </si>
  <si>
    <t>Kelly Oubre Jr. GS, PF</t>
  </si>
  <si>
    <t>Devin Booker</t>
  </si>
  <si>
    <t>Lonzo Ball NO, PG</t>
  </si>
  <si>
    <t>Tyler Herro Mia, SG</t>
  </si>
  <si>
    <t>Dennis Schroder LAL, PG</t>
  </si>
  <si>
    <t>James Harden</t>
  </si>
  <si>
    <t>DeMar DeRozan SA, SG</t>
  </si>
  <si>
    <t>Lauri Markkanen Chi, PF</t>
  </si>
  <si>
    <t>Steven Adams NO, C</t>
  </si>
  <si>
    <t>Mitchell Robinson NY, C</t>
  </si>
  <si>
    <t>Aaron Gordon Orl, PF</t>
  </si>
  <si>
    <t>Jerami Grant Det, SF</t>
  </si>
  <si>
    <t>Marcus Smart Bos, SG</t>
  </si>
  <si>
    <t>Montrezl Harrell LAL, C</t>
  </si>
  <si>
    <t>Collin Sexton Cle, SG</t>
  </si>
  <si>
    <t>Bradley Beal</t>
  </si>
  <si>
    <t>Wendell Carter Jr. Chi, C</t>
  </si>
  <si>
    <t>Jordan Clarkson Utah, SG</t>
  </si>
  <si>
    <t>Eric Bledsoe NO, PG</t>
  </si>
  <si>
    <t>Miles Bridges Cha, SF</t>
  </si>
  <si>
    <t>Klay Thompson GS, SG</t>
  </si>
  <si>
    <t>Richaun Holmes Sac, C</t>
  </si>
  <si>
    <t>Stephen Curry</t>
  </si>
  <si>
    <t>Al Horford OKC, PF</t>
  </si>
  <si>
    <t>Seth Curry Phi, SG</t>
  </si>
  <si>
    <t>Lou Williams LAC, SG</t>
  </si>
  <si>
    <t>Deandre Ayton</t>
  </si>
  <si>
    <t>Donte DiVincenzo Mil, SG</t>
  </si>
  <si>
    <t>Mike Conley Utah, PG</t>
  </si>
  <si>
    <t>Serge Ibaka LAC, C</t>
  </si>
  <si>
    <t>Pascal Siakam</t>
  </si>
  <si>
    <t>Deni Avdija Wsh, SF</t>
  </si>
  <si>
    <t>DeMarcus Cousins Hou, C</t>
  </si>
  <si>
    <t>Tim Hardaway Jr. Dal, SG</t>
  </si>
  <si>
    <t>Darius Garland Cle, PG</t>
  </si>
  <si>
    <t>Joe Ingles Utah, SF</t>
  </si>
  <si>
    <t>Derrick Rose NY, PG</t>
  </si>
  <si>
    <t>Darius Bazley OKC, SF</t>
  </si>
  <si>
    <t>Rudy Gay SA, PF</t>
  </si>
  <si>
    <t>Jarrett Culver Min, SG</t>
  </si>
  <si>
    <t>LeBron James</t>
  </si>
  <si>
    <t>Aleksej Pokusevski OKC, PF</t>
  </si>
  <si>
    <t>Onyeka Okongwu Atl, C</t>
  </si>
  <si>
    <t>Dario Saric Phx, PF</t>
  </si>
  <si>
    <t>Kevin Durant</t>
  </si>
  <si>
    <t>Shai Gilgeous-Alexander</t>
  </si>
  <si>
    <t>Ice Trae ❄️</t>
  </si>
  <si>
    <t>Morey Ball</t>
  </si>
  <si>
    <t>Always Droppin Dimes</t>
  </si>
  <si>
    <t>Ja Morant</t>
  </si>
  <si>
    <t>Kawhi Leonard</t>
  </si>
  <si>
    <t>Trae Young Atl, PG</t>
  </si>
  <si>
    <t>Jayson Tatum Bos, PF</t>
  </si>
  <si>
    <t>Nikola Jokic Den, C</t>
  </si>
  <si>
    <t>Donovan Mitchell</t>
  </si>
  <si>
    <t>Bradley Beal Wsh, SG</t>
  </si>
  <si>
    <t>Bam Adebayo Mia, C</t>
  </si>
  <si>
    <t>Deandre Ayton Phx, C</t>
  </si>
  <si>
    <t>D'Angelo Russell</t>
  </si>
  <si>
    <t>Domantas Sabonis Ind, PF</t>
  </si>
  <si>
    <t>Ja Morant Mem, PG</t>
  </si>
  <si>
    <t>Donovan Mitchell Utah, SG</t>
  </si>
  <si>
    <t>Zach LaVine Chi, SG</t>
  </si>
  <si>
    <t>Rudy Gobert Utah, C</t>
  </si>
  <si>
    <t>Jimmy Butler Mia, SF</t>
  </si>
  <si>
    <t>Domantas Sabonis</t>
  </si>
  <si>
    <t>Jaren Jackson Jr. Mem, PF</t>
  </si>
  <si>
    <t>Khris Middleton Mil, SF</t>
  </si>
  <si>
    <t>CJ McCollum Por, SG</t>
  </si>
  <si>
    <t>Jamal Murray</t>
  </si>
  <si>
    <t>Jusuf Nurkic Por, C</t>
  </si>
  <si>
    <t>Malcolm Brogdon Ind, PG</t>
  </si>
  <si>
    <t>Victor Oladipo Hou, SG</t>
  </si>
  <si>
    <t>De'Aaron Fox</t>
  </si>
  <si>
    <t>RJ Barrett NY, SG</t>
  </si>
  <si>
    <t>Tobias Harris Phi, SF</t>
  </si>
  <si>
    <t>Myles Turner Ind, C</t>
  </si>
  <si>
    <t>John Collins</t>
  </si>
  <si>
    <t>Killian Hayes Det, PG</t>
  </si>
  <si>
    <t>Duncan Robinson Mia, SG</t>
  </si>
  <si>
    <t>Devonte' Graham Cha, PG</t>
  </si>
  <si>
    <t>Kristaps Porzingis</t>
  </si>
  <si>
    <t>Marvin Bagley III Sac, PF</t>
  </si>
  <si>
    <t>OG Anunoby Tor, SF</t>
  </si>
  <si>
    <t>Clint Capela Atl, C</t>
  </si>
  <si>
    <t>Zach LaVine</t>
  </si>
  <si>
    <t>Anthony Edwards Min, SG</t>
  </si>
  <si>
    <t>Jonas Valanciunas Mem, C</t>
  </si>
  <si>
    <t>Kemba Walker Bos, PG</t>
  </si>
  <si>
    <t>Michael Porter Jr.</t>
  </si>
  <si>
    <t>Mikal Bridges Phx, SF</t>
  </si>
  <si>
    <t>Dejounte Murray SA, PG</t>
  </si>
  <si>
    <t>LaMarcus Aldridge SA, PF</t>
  </si>
  <si>
    <t>Spencer Dinwiddie Bkn, PG</t>
  </si>
  <si>
    <t>Tyrese Haliburton Sac, PG</t>
  </si>
  <si>
    <t>Otto Porter Jr. Chi, SF</t>
  </si>
  <si>
    <t>Jimmy Butler</t>
  </si>
  <si>
    <t>Jonathan Isaac Orl, SF</t>
  </si>
  <si>
    <t>Patrick Williams Chi, SF</t>
  </si>
  <si>
    <t>Danilo Gallinari Atl, PF</t>
  </si>
  <si>
    <t>Thomas Bryant Wsh, C</t>
  </si>
  <si>
    <t>Ivica Zubac LAC, C</t>
  </si>
  <si>
    <t>Kendrick Nunn Mia, SG</t>
  </si>
  <si>
    <t>Rudy Gobert</t>
  </si>
  <si>
    <t>Norman Powell Tor, SG</t>
  </si>
  <si>
    <t>Matisse Thybulle Phi, SF</t>
  </si>
  <si>
    <t>Kevin Huerter Atl, SG</t>
  </si>
  <si>
    <t>Jrue Holiday</t>
  </si>
  <si>
    <t>Bol Bol Den, C</t>
  </si>
  <si>
    <t>Nemanja Bjelica Sac, PF</t>
  </si>
  <si>
    <t>Elfrid Payton NY, PG</t>
  </si>
  <si>
    <t>Kira Lewis Jr. NO, PG</t>
  </si>
  <si>
    <t>Tyrese Maxey Phi, SG</t>
  </si>
  <si>
    <t>Larry Nance Jr. Cle, PF</t>
  </si>
  <si>
    <t>Fred VanVleet</t>
  </si>
  <si>
    <t>Kelvin Got No Dimes</t>
  </si>
  <si>
    <t>Deepwater LaVert ✊</t>
  </si>
  <si>
    <t>Minnesota TimberWobs</t>
  </si>
  <si>
    <t>Khris Middleton</t>
  </si>
  <si>
    <t>Andre Drummond</t>
  </si>
  <si>
    <t>Giannis Antetokounmpo Mil, PF</t>
  </si>
  <si>
    <t>Devin Booker Phx, SG</t>
  </si>
  <si>
    <t>Karl-Anthony Towns Min, C</t>
  </si>
  <si>
    <t>CJ McCollum</t>
  </si>
  <si>
    <t>Brandon Ingram NO, SF</t>
  </si>
  <si>
    <t>Ben Simmons Phi, PG</t>
  </si>
  <si>
    <t>Stephen Curry GS, PG</t>
  </si>
  <si>
    <t>LaMelo Ball</t>
  </si>
  <si>
    <t>Shai Gilgeous-Alexander OKC, SG</t>
  </si>
  <si>
    <t>Jamal Murray Den, PG</t>
  </si>
  <si>
    <t>D'Angelo Russell Min, PG</t>
  </si>
  <si>
    <t>Buddy Hield</t>
  </si>
  <si>
    <t>Jrue Holiday Mil, PG</t>
  </si>
  <si>
    <t>Kristaps Porzingis Dal, PF</t>
  </si>
  <si>
    <t>Russell Westbrook Wsh, PG</t>
  </si>
  <si>
    <t>Jaren Jackson Jr.</t>
  </si>
  <si>
    <t>Fred VanVleet Tor, SG</t>
  </si>
  <si>
    <t>Jaylen Brown Bos, SG</t>
  </si>
  <si>
    <t>LaMelo Ball Cha, PG</t>
  </si>
  <si>
    <t>Jaylen Brown</t>
  </si>
  <si>
    <t>Chris Paul Phx, PG</t>
  </si>
  <si>
    <t>T.J. Warren Ind, SF</t>
  </si>
  <si>
    <t>Brandon Clarke Mem, PF</t>
  </si>
  <si>
    <t>Christian Wood</t>
  </si>
  <si>
    <t>Gordon Hayward Cha, SF</t>
  </si>
  <si>
    <t>James Wiseman GS, C</t>
  </si>
  <si>
    <t>Rui Hachimura Wsh, PF</t>
  </si>
  <si>
    <t>Kyle Lowry Tor, PG</t>
  </si>
  <si>
    <t>Caris LeVert Ind, SG</t>
  </si>
  <si>
    <t>Coby White Chi, PG</t>
  </si>
  <si>
    <t>T.J. Warren</t>
  </si>
  <si>
    <t>Hassan Whiteside Sac, C</t>
  </si>
  <si>
    <t>Davis Bertans Wsh, PF</t>
  </si>
  <si>
    <t>Obi Toppin NY, PF</t>
  </si>
  <si>
    <t>Jusuf Nurkic</t>
  </si>
  <si>
    <t>Andrew Wiggins GS, SF</t>
  </si>
  <si>
    <t>Bogdan Bogdanovic Atl, SG</t>
  </si>
  <si>
    <t>P.J. Washington Cha, PF</t>
  </si>
  <si>
    <t>Tyler Herro</t>
  </si>
  <si>
    <t>Julius Randle NY, PF</t>
  </si>
  <si>
    <t>Blake Griffin Det, PF</t>
  </si>
  <si>
    <t>Malik Beasley Min, SG</t>
  </si>
  <si>
    <t>Kevin Love Cle, PF</t>
  </si>
  <si>
    <t>Bojan Bogdanovic Utah, SF</t>
  </si>
  <si>
    <t>Delon Wright Det, SG</t>
  </si>
  <si>
    <t>Victor Oladipo</t>
  </si>
  <si>
    <t>Harrison Barnes Sac, SF</t>
  </si>
  <si>
    <t>Luke Kennard LAC, SG</t>
  </si>
  <si>
    <t>Devin Vassell SA, SG</t>
  </si>
  <si>
    <t>Joe Harris Bkn, SG</t>
  </si>
  <si>
    <t>Brook Lopez Mil, C</t>
  </si>
  <si>
    <t>Dillon Brooks Mem, SG</t>
  </si>
  <si>
    <t>Ricky Rubio Min, PG</t>
  </si>
  <si>
    <t>Harry Giles III Por, PF</t>
  </si>
  <si>
    <t>Daniel Theis Bos, C</t>
  </si>
  <si>
    <t>Chris Paul</t>
  </si>
  <si>
    <t>DeAndre Jordan Bkn, C</t>
  </si>
  <si>
    <t>Kyle Kuzma LAL, PF</t>
  </si>
  <si>
    <t>Isaac Okoro Cle, SF</t>
  </si>
  <si>
    <t>Nerlens Noel NY, C</t>
  </si>
  <si>
    <t>Cole Anthony Orl, PG</t>
  </si>
  <si>
    <t>Willie Cauley-Stein Dal, C</t>
  </si>
  <si>
    <t>Steven Adams</t>
  </si>
  <si>
    <t>Gordon Hayward</t>
  </si>
  <si>
    <t>Z Man The Juice</t>
  </si>
  <si>
    <t>Tobias Harris</t>
  </si>
  <si>
    <t>Robert Covington</t>
  </si>
  <si>
    <t>Anthony Davis LAL, PF</t>
  </si>
  <si>
    <t>Pascal Siakam Tor, PF</t>
  </si>
  <si>
    <t>Kawhi Leonard LAC, SF</t>
  </si>
  <si>
    <t>Lauri Markkanen</t>
  </si>
  <si>
    <t>Paul George LAC, SF</t>
  </si>
  <si>
    <t>RJ Barrett</t>
  </si>
  <si>
    <t>Andre Drummond Cle, C</t>
  </si>
  <si>
    <t>John Wall Hou, PG</t>
  </si>
  <si>
    <t>DeMar DeRozan</t>
  </si>
  <si>
    <t>Robert Covington Por, PF</t>
  </si>
  <si>
    <t>Draymond Green GS, PF</t>
  </si>
  <si>
    <t>Caris LeVert</t>
  </si>
  <si>
    <t>Josh Richardson Dal, SG</t>
  </si>
  <si>
    <t>Markelle Fultz Orl, PG</t>
  </si>
  <si>
    <t>Aaron Gordon</t>
  </si>
  <si>
    <t>Jarrett Allen Cle, C</t>
  </si>
  <si>
    <t>Coby White</t>
  </si>
  <si>
    <t>Evan Fournier Orl, SG</t>
  </si>
  <si>
    <t>Devonte' Graham</t>
  </si>
  <si>
    <t>Terry Rozier Cha, PG</t>
  </si>
  <si>
    <t>Draymond Green</t>
  </si>
  <si>
    <t>Goran Dragic Mia, PG</t>
  </si>
  <si>
    <t>Duncan Robinson</t>
  </si>
  <si>
    <t>Chris Boucher Tor, PF</t>
  </si>
  <si>
    <t>Aaron Nesmith Bos, SF</t>
  </si>
  <si>
    <t>Jerami Grant</t>
  </si>
  <si>
    <t>Josh Hart NO, SG</t>
  </si>
  <si>
    <t>Collin Sexton</t>
  </si>
  <si>
    <t>Hassan Whiteside</t>
  </si>
  <si>
    <t>OG Anunoby</t>
  </si>
  <si>
    <t>Clint Capela</t>
  </si>
  <si>
    <t>Montrezl Harrell</t>
  </si>
  <si>
    <t>Marvin Bagley III</t>
  </si>
  <si>
    <t>Davis Bertans</t>
  </si>
  <si>
    <t>Marcus Smart</t>
  </si>
  <si>
    <t>Wendell Carter Jr.</t>
  </si>
  <si>
    <t>Bogdan Bogdanovic</t>
  </si>
  <si>
    <t>Anthony Edwards</t>
  </si>
  <si>
    <t>PJ Washington</t>
  </si>
  <si>
    <t>Kemba Walker</t>
  </si>
  <si>
    <t>Jonas Valanciunas</t>
  </si>
  <si>
    <t>Andrew Wiggins</t>
  </si>
  <si>
    <t>Eric Bledsoe</t>
  </si>
  <si>
    <t>Julius Randle</t>
  </si>
  <si>
    <t>LaMarcus Aldridge</t>
  </si>
  <si>
    <t>Mikal Bridges</t>
  </si>
  <si>
    <t>Blake Griffin</t>
  </si>
  <si>
    <t>Miles Bridges</t>
  </si>
  <si>
    <t>Al Horford</t>
  </si>
  <si>
    <t>Bojan Bogdanovic</t>
  </si>
  <si>
    <t>Seth Curry</t>
  </si>
  <si>
    <t>Delon Wright</t>
  </si>
  <si>
    <t>Otto Porter Jr.</t>
  </si>
  <si>
    <t>Evan Fournier</t>
  </si>
  <si>
    <t>Kevin Love</t>
  </si>
  <si>
    <t>Lou Williams</t>
  </si>
  <si>
    <t>Serge Ibaka</t>
  </si>
  <si>
    <t>Terry Rozier</t>
  </si>
  <si>
    <t>Danilo Gallinari</t>
  </si>
  <si>
    <t>Devin Vassell</t>
  </si>
  <si>
    <t>Mike Conley</t>
  </si>
  <si>
    <t>Luke Kennard</t>
  </si>
  <si>
    <t>Donte DiVincenzo</t>
  </si>
  <si>
    <t>Deni Avdija</t>
  </si>
  <si>
    <t>Thomas Bryant</t>
  </si>
  <si>
    <t>DeMarcus Cousins</t>
  </si>
  <si>
    <t>Kendrick Nunn</t>
  </si>
  <si>
    <t>Goran Dragic</t>
  </si>
  <si>
    <t>Ivica Zubac</t>
  </si>
  <si>
    <t>Joe Harris</t>
  </si>
  <si>
    <t>Tim Hardaway Jr.</t>
  </si>
  <si>
    <t>Derrick Rose</t>
  </si>
  <si>
    <t>Ricky Rubio</t>
  </si>
  <si>
    <t>Matisse Thybulle</t>
  </si>
  <si>
    <t>Chris Boucher</t>
  </si>
  <si>
    <t>Daniel Theis</t>
  </si>
  <si>
    <t>Joe Ingles</t>
  </si>
  <si>
    <t>Harry Giles III</t>
  </si>
  <si>
    <t>Kyle Kuzma</t>
  </si>
  <si>
    <t>Rudy Gay</t>
  </si>
  <si>
    <t>Elfrid Payton</t>
  </si>
  <si>
    <t>Nemanja Bjelica</t>
  </si>
  <si>
    <t>DeAndre Jordan</t>
  </si>
  <si>
    <t>Jarrett Culver</t>
  </si>
  <si>
    <t>Dario Saric</t>
  </si>
  <si>
    <t>Nerlens Noel</t>
  </si>
  <si>
    <t>Tyrese Maxey</t>
  </si>
  <si>
    <t>Larry Nance Jr.</t>
  </si>
  <si>
    <t>Willie Cauley-Stein</t>
  </si>
  <si>
    <t>Kira Lewis Jr.</t>
  </si>
  <si>
    <t>Cole Anthony</t>
  </si>
  <si>
    <t>Aleksej Pokusevski</t>
  </si>
  <si>
    <t>2026 Redistribution Draft</t>
  </si>
  <si>
    <t>#</t>
  </si>
  <si>
    <t>Players available (From Teams)</t>
  </si>
  <si>
    <t>Dynasty Rank (Lawson)</t>
  </si>
  <si>
    <t>Players available (FA)</t>
  </si>
  <si>
    <t>Draft - __/__/26</t>
  </si>
  <si>
    <t>Team 1 (Logan's)</t>
  </si>
  <si>
    <t>Team 2 (Moss's)</t>
  </si>
  <si>
    <t>Picks available</t>
  </si>
  <si>
    <t>Goga Bitadze</t>
  </si>
  <si>
    <t>Must select:</t>
  </si>
  <si>
    <t>Green 2029 1st round</t>
  </si>
  <si>
    <t>Josh Minott</t>
  </si>
  <si>
    <t>22 players (maybe 20?)</t>
  </si>
  <si>
    <t>Jaylen Wells</t>
  </si>
  <si>
    <t>Team 1 (Logan) pick situation:</t>
  </si>
  <si>
    <t>Brandon Miller</t>
  </si>
  <si>
    <t>Keon Ellis</t>
  </si>
  <si>
    <t>Team 1 enters with only their 2030 1st round pick, all of their firsts are owned by other teams</t>
  </si>
  <si>
    <t>For the years 2026-29 drafts they will get the pick just below their 1st round pick unless their pick is top 3 in which case it will be above their pick. 
(could also consider always below the 1st but a top 3 pick is an extra high 2nd rounder, or nothing)</t>
  </si>
  <si>
    <t>2026, 2027, 2028, and 2029 draft. Team 1 cannot move their 2030/31 1sts as a result</t>
  </si>
  <si>
    <t>Jase Richardson</t>
  </si>
  <si>
    <t>Team 1 does not own any of their 2nds in 26-30, if their pick falls top 3 could consider giving them a high 2nd back instead of the higher of the top picks</t>
  </si>
  <si>
    <t>Quinten Post</t>
  </si>
  <si>
    <t>Jamal Shead</t>
  </si>
  <si>
    <t>Team 2 (Moss) pick situation</t>
  </si>
  <si>
    <t>Team 2 enters with their 29&amp;30 1st &amp; 2nd round picks along with a 2027 1st with lesser swap rights between it and a bottom half team</t>
  </si>
  <si>
    <t>Jalen Green</t>
  </si>
  <si>
    <t>Alex Caruso</t>
  </si>
  <si>
    <t>In 2026 &amp; 2028 team 2 would get to pick adjacent to their own pick, if it's top 3 then could do higher pick or provide an extra 2nd as compensation or nothing</t>
  </si>
  <si>
    <t xml:space="preserve">Team 2's 2029/30 1st round picks are frozen unelss they get another 1st round pick </t>
  </si>
  <si>
    <t>Mouhamed Gueye</t>
  </si>
  <si>
    <t>Evening out?:</t>
  </si>
  <si>
    <t>Consider giving Team 1 compensatory 2nds (mid-round?) in 29/30 to match with what Team 2 enters the redistribution draft with</t>
  </si>
  <si>
    <t>Jimmy Butler III</t>
  </si>
  <si>
    <t>Jakob Poeltl</t>
  </si>
  <si>
    <t>Note:</t>
  </si>
  <si>
    <t>Jaylin Williams</t>
  </si>
  <si>
    <t>This feels needed because there can be such a difference between the top level guys and ones below them, so some compensation when their pick lands in lottery or top 3 makes some sense</t>
  </si>
  <si>
    <t>Ronald Holland II</t>
  </si>
  <si>
    <t>What to do with the awkward Green 2029 FRP? Lol</t>
  </si>
  <si>
    <t>Nikola Vučević</t>
  </si>
  <si>
    <t>Draft Outcome:</t>
  </si>
  <si>
    <t>Aaron Wiggins</t>
  </si>
  <si>
    <t>Either way, that will create 12 1st round picks as the redistribution teams will get a first to use those years no matter what.</t>
  </si>
  <si>
    <t>Trendon Watford</t>
  </si>
  <si>
    <t>Tyler Kolek</t>
  </si>
  <si>
    <t>Scotty Pippen Jr.</t>
  </si>
  <si>
    <t>Johnny Furphy</t>
  </si>
  <si>
    <t>Dru Smith</t>
  </si>
  <si>
    <t>Johni Broome</t>
  </si>
  <si>
    <t>Luguentz Dort</t>
  </si>
  <si>
    <t>Pelle Larsson</t>
  </si>
  <si>
    <t>Kris Dunn</t>
  </si>
  <si>
    <t>Dennis Schröder</t>
  </si>
  <si>
    <t>Brooks Barnhizer</t>
  </si>
  <si>
    <t>Dominick Barlow</t>
  </si>
  <si>
    <t>Adou Thiero</t>
  </si>
  <si>
    <t>Sam Merrill</t>
  </si>
  <si>
    <t>Jordan Walsh</t>
  </si>
  <si>
    <t>Moritz Wagner</t>
  </si>
  <si>
    <t>Ryan Nembhard</t>
  </si>
  <si>
    <t>Brandon Williams</t>
  </si>
  <si>
    <t>Jusuf Nurkić</t>
  </si>
  <si>
    <t>Vince Williams Jr.</t>
  </si>
  <si>
    <t>Noah Penda</t>
  </si>
  <si>
    <t>Jonathan Mogbo</t>
  </si>
  <si>
    <t>Jose Alvarado</t>
  </si>
  <si>
    <t>Ben Saraf</t>
  </si>
  <si>
    <t>Daniss Jenkins</t>
  </si>
  <si>
    <t>Will Richard</t>
  </si>
  <si>
    <t>Tyrese Proctor</t>
  </si>
  <si>
    <t>Guerschon Yabusele</t>
  </si>
  <si>
    <t>Micah Peavy</t>
  </si>
  <si>
    <t>Julian Strawther</t>
  </si>
  <si>
    <t>AJ Green</t>
  </si>
  <si>
    <t>Drake Powell</t>
  </si>
  <si>
    <t>Kevon Looney</t>
  </si>
  <si>
    <t>Terance Mann</t>
  </si>
  <si>
    <t>Chaz Lanier</t>
  </si>
  <si>
    <t>Spencer Jones</t>
  </si>
  <si>
    <t>Jabari Walker</t>
  </si>
  <si>
    <t>Josh Okogie</t>
  </si>
  <si>
    <t>Ben Sheppard</t>
  </si>
  <si>
    <t>Luka Garza</t>
  </si>
  <si>
    <t>Jaxson Hayes</t>
  </si>
  <si>
    <t>Kentavious Caldwell-Pope</t>
  </si>
  <si>
    <t>Pat Spencer</t>
  </si>
  <si>
    <t>Simone Fontecchio</t>
  </si>
  <si>
    <t>Jaylen Clark</t>
  </si>
  <si>
    <t>Kris Murray</t>
  </si>
  <si>
    <t>Dean Wade</t>
  </si>
  <si>
    <t>Baylor Scheierman</t>
  </si>
  <si>
    <t>Jalen Pickett</t>
  </si>
  <si>
    <t>Gary Payton II</t>
  </si>
  <si>
    <t>Grant Williams</t>
  </si>
  <si>
    <t>Ariel Hukporti</t>
  </si>
  <si>
    <t>Javon Small</t>
  </si>
  <si>
    <t>Josh Green</t>
  </si>
  <si>
    <t>Dalton Knecht</t>
  </si>
  <si>
    <t>AJ Johnson</t>
  </si>
  <si>
    <t>Kobe Sanders</t>
  </si>
  <si>
    <t>Jalen Wilson</t>
  </si>
  <si>
    <t>Svi Mykhailiuk</t>
  </si>
  <si>
    <t>Jordan Goodwin</t>
  </si>
  <si>
    <t>Sidy Cissoko</t>
  </si>
  <si>
    <t>Quenton Jackson</t>
  </si>
  <si>
    <t>Tony Bradley</t>
  </si>
  <si>
    <t>Dylan Cardwell</t>
  </si>
  <si>
    <t>Kenrich Williams</t>
  </si>
  <si>
    <t>Jamir Watkins</t>
  </si>
  <si>
    <t>Landry Shamet</t>
  </si>
  <si>
    <t>NaeQwan Tomlin</t>
  </si>
  <si>
    <t>DeAnthony Melton</t>
  </si>
  <si>
    <t>Javonte Green</t>
  </si>
  <si>
    <t>Myron Gardner</t>
  </si>
  <si>
    <t>Craig Porter</t>
  </si>
  <si>
    <t>Pete Nance</t>
  </si>
  <si>
    <t>Zeke Nnaji</t>
  </si>
  <si>
    <t>Dwight Powell</t>
  </si>
  <si>
    <t>Nolan Traore</t>
  </si>
  <si>
    <t>Gui Santos</t>
  </si>
  <si>
    <t>Moussa Cisse</t>
  </si>
  <si>
    <t>Micah Potter</t>
  </si>
  <si>
    <t>Isaiah Livers</t>
  </si>
  <si>
    <t>Nicolas Batum</t>
  </si>
  <si>
    <t>Karlo Matkovic</t>
  </si>
  <si>
    <t>Jamison Battle</t>
  </si>
  <si>
    <t>Gary Harris</t>
  </si>
  <si>
    <t>Drew Timme</t>
  </si>
  <si>
    <t>Cam Christie</t>
  </si>
  <si>
    <t>Tyrese Martin</t>
  </si>
  <si>
    <t>TyTy Washington</t>
  </si>
  <si>
    <t>Kyle Anderson</t>
  </si>
  <si>
    <t>Branden Carlson</t>
  </si>
  <si>
    <t>Amari Williams</t>
  </si>
  <si>
    <t>Gabe Vincent</t>
  </si>
  <si>
    <t>Yanic Konan Niederhauser</t>
  </si>
  <si>
    <t>Kobe Brown</t>
  </si>
  <si>
    <t>Mohamed Diawara</t>
  </si>
  <si>
    <t>Marvin Bagley</t>
  </si>
  <si>
    <t>Patrick Baldwin</t>
  </si>
  <si>
    <t>Vit Krejci</t>
  </si>
  <si>
    <t>Anthony Gill</t>
  </si>
  <si>
    <t>Chris Youngblood</t>
  </si>
  <si>
    <t>Curtis Jones</t>
  </si>
  <si>
    <t>Javonte Cooke</t>
  </si>
  <si>
    <t>Hunter Tyson</t>
  </si>
  <si>
    <t>E.J. Liddell</t>
  </si>
  <si>
    <t>Jordan McLaughlin</t>
  </si>
  <si>
    <t>Sharife Cooper</t>
  </si>
  <si>
    <t>Bryce McGowens</t>
  </si>
  <si>
    <t>L.J. Cryer</t>
  </si>
  <si>
    <t>A.J. Lawson</t>
  </si>
  <si>
    <t>Rayan Rupert</t>
  </si>
  <si>
    <t>Jeremiah Robinson-Earl</t>
  </si>
  <si>
    <t>Keshad Johnson</t>
  </si>
  <si>
    <t>Pacome Dadiet</t>
  </si>
  <si>
    <t>Amir Coffey</t>
  </si>
  <si>
    <t>Ron Harper</t>
  </si>
  <si>
    <t>Lachlan Olbrich</t>
  </si>
  <si>
    <t>Miles Kelly</t>
  </si>
  <si>
    <t>Nigel Hayes-Davis</t>
  </si>
  <si>
    <t>Alijah Martin</t>
  </si>
  <si>
    <t>JaeSean Tate</t>
  </si>
  <si>
    <t>Garrett Temple</t>
  </si>
  <si>
    <t>Pat Connaughton</t>
  </si>
  <si>
    <t>Terrence Shannon</t>
  </si>
  <si>
    <t>Derrick Jones</t>
  </si>
  <si>
    <t>Taurean Prince</t>
  </si>
  <si>
    <t>Nick Smith</t>
  </si>
  <si>
    <t>Rocco Zikarsky</t>
  </si>
  <si>
    <t>Koby Brea</t>
  </si>
  <si>
    <t>2020-2021 All Stars on Each Roster</t>
  </si>
  <si>
    <t>Total All Stars on Roster</t>
  </si>
  <si>
    <t>East Starters</t>
  </si>
  <si>
    <t>West Starters</t>
  </si>
  <si>
    <t>--&gt;Zujewski</t>
  </si>
  <si>
    <t>Steph Curry</t>
  </si>
  <si>
    <t>---&gt; Kelvin</t>
  </si>
  <si>
    <t>Giannis Atetokounmpo</t>
  </si>
  <si>
    <t>Lebron James</t>
  </si>
  <si>
    <t>--&gt; Jowkar</t>
  </si>
  <si>
    <t>East Reserves</t>
  </si>
  <si>
    <t>West Reserves</t>
  </si>
  <si>
    <t>--&gt;Logan</t>
  </si>
  <si>
    <t>Zach Lavine</t>
  </si>
  <si>
    <t>---&gt; Spencer</t>
  </si>
  <si>
    <t>Damontas Sabonis</t>
  </si>
  <si>
    <t>Jan 1, 2026 ranks</t>
  </si>
  <si>
    <t>October 2024 rnaks 2.0</t>
  </si>
  <si>
    <t>October 2024 ranks</t>
  </si>
  <si>
    <t>July Ranks</t>
  </si>
  <si>
    <t>June Ranks</t>
  </si>
  <si>
    <t>April Ranks (w/Rookies)</t>
  </si>
  <si>
    <t>March Ranks (w/Rookies)</t>
  </si>
  <si>
    <t>Trade Deadline Rank (w/Rookies)</t>
  </si>
  <si>
    <t>February Player Rank (w/Rookies)</t>
  </si>
  <si>
    <t>January Player Rank (w/Rookies)</t>
  </si>
  <si>
    <r>
      <rPr>
        <rFont val="Arial"/>
        <b/>
        <color theme="1"/>
      </rPr>
      <t>December (2)</t>
    </r>
    <r>
      <rPr>
        <rFont val="Arial"/>
        <color theme="1"/>
      </rPr>
      <t xml:space="preserve"> Player Rank</t>
    </r>
  </si>
  <si>
    <r>
      <rPr>
        <rFont val="Arial"/>
        <b/>
        <color theme="1"/>
      </rPr>
      <t>December</t>
    </r>
    <r>
      <rPr>
        <rFont val="Arial"/>
        <color theme="1"/>
      </rPr>
      <t xml:space="preserve"> Player Rank</t>
    </r>
  </si>
  <si>
    <r>
      <rPr>
        <rFont val="Arial"/>
        <b/>
        <color theme="1"/>
      </rPr>
      <t>November</t>
    </r>
    <r>
      <rPr>
        <rFont val="Arial"/>
        <color theme="1"/>
      </rPr>
      <t xml:space="preserve"> Player Rank</t>
    </r>
  </si>
  <si>
    <r>
      <rPr>
        <rFont val="Arial"/>
        <b/>
        <color theme="1"/>
      </rPr>
      <t>October</t>
    </r>
    <r>
      <rPr>
        <rFont val="Arial"/>
        <color theme="1"/>
      </rPr>
      <t xml:space="preserve"> Player Rank</t>
    </r>
  </si>
  <si>
    <t>Victor Wembanyama</t>
  </si>
  <si>
    <t>Luka Dončić</t>
  </si>
  <si>
    <t>Nikola Jokić</t>
  </si>
  <si>
    <t>Cade Cunningham</t>
  </si>
  <si>
    <t>Cooper Flagg</t>
  </si>
  <si>
    <t>Alperen Şengün</t>
  </si>
  <si>
    <t>Scottie Barnes</t>
  </si>
  <si>
    <t>Amen Thompson</t>
  </si>
  <si>
    <t>Chet Holmgren</t>
  </si>
  <si>
    <t>Paolo Banchero</t>
  </si>
  <si>
    <t>Evan Mobley</t>
  </si>
  <si>
    <t>Scoot Henderson</t>
  </si>
  <si>
    <t>Darryn Peterson</t>
  </si>
  <si>
    <t>Cameron Boozer</t>
  </si>
  <si>
    <t>Jalen Williams</t>
  </si>
  <si>
    <t>Jalen Brunson</t>
  </si>
  <si>
    <t>Josh Giddey</t>
  </si>
  <si>
    <t>Franz Wagner</t>
  </si>
  <si>
    <t>Dylan Harper</t>
  </si>
  <si>
    <t>Ausar Thompson</t>
  </si>
  <si>
    <t>Austin Reaves</t>
  </si>
  <si>
    <t>Trey Murphy III</t>
  </si>
  <si>
    <t>AJ Dybantsa</t>
  </si>
  <si>
    <t>Desmond Bane</t>
  </si>
  <si>
    <t>Kingston Flemings</t>
  </si>
  <si>
    <t>Caleb Wilson</t>
  </si>
  <si>
    <t>Shaedon Sharpe</t>
  </si>
  <si>
    <t>VJ Edgecombe</t>
  </si>
  <si>
    <t>Alex Sarr</t>
  </si>
  <si>
    <t>Nic Claxton</t>
  </si>
  <si>
    <t>Immanuel Quickley</t>
  </si>
  <si>
    <t>Nikola Topić (1.01)</t>
  </si>
  <si>
    <t>Jonathan Kuminga</t>
  </si>
  <si>
    <t>Jabari Smith Jr.</t>
  </si>
  <si>
    <t>Kristaps Porziņģis</t>
  </si>
  <si>
    <t>Kon Knueppel II</t>
  </si>
  <si>
    <t>Jordan Poole</t>
  </si>
  <si>
    <t>Zach Edey</t>
  </si>
  <si>
    <t>Alex Sarr (1.02)</t>
  </si>
  <si>
    <t>Dereck Lively II</t>
  </si>
  <si>
    <t>Stephon Castle</t>
  </si>
  <si>
    <t>Kasparas Jakučionis</t>
  </si>
  <si>
    <t>Ace Bailey</t>
  </si>
  <si>
    <t>Keegan Murray</t>
  </si>
  <si>
    <t>Jaden Ivey</t>
  </si>
  <si>
    <t>Reed Sheppard (1.03)</t>
  </si>
  <si>
    <t>Tari Eason</t>
  </si>
  <si>
    <t>Anfernee Simons</t>
  </si>
  <si>
    <t>Alexandre Sarr (1.02)</t>
  </si>
  <si>
    <t>Jakob Pöltl</t>
  </si>
  <si>
    <t>Alexandre Sarr</t>
  </si>
  <si>
    <t>Bilal Coulibaly</t>
  </si>
  <si>
    <t>Cody Williams (1.03)</t>
  </si>
  <si>
    <t>Derrick White</t>
  </si>
  <si>
    <t>Mikel Brown Jr.</t>
  </si>
  <si>
    <t>Ron Holland II (1.04)</t>
  </si>
  <si>
    <t>Koa Peat</t>
  </si>
  <si>
    <t>Matas Buzelis</t>
  </si>
  <si>
    <t>Malik Monk</t>
  </si>
  <si>
    <t>Jalen Suggs</t>
  </si>
  <si>
    <t>Cam Thomas</t>
  </si>
  <si>
    <t>Stephon Castle (1.05)</t>
  </si>
  <si>
    <t>Jeremy Sochan</t>
  </si>
  <si>
    <t>Collin Murray-Boyles</t>
  </si>
  <si>
    <t>Donovan Clingan (1.06)</t>
  </si>
  <si>
    <t>Bennedict Mathurin</t>
  </si>
  <si>
    <t>Naz Reid</t>
  </si>
  <si>
    <t>Cedric Coward</t>
  </si>
  <si>
    <t>O.G. Anunoby</t>
  </si>
  <si>
    <t>Khaman Maluach</t>
  </si>
  <si>
    <t>Zaccharie Risacher (1.04)</t>
  </si>
  <si>
    <t>Jayden Quaintance</t>
  </si>
  <si>
    <t>Egor Demin</t>
  </si>
  <si>
    <t>Ja'Kobe Walter (1.03)</t>
  </si>
  <si>
    <t>Rob Dillingham (1.07)</t>
  </si>
  <si>
    <t>Matas Buzelis (1.05)</t>
  </si>
  <si>
    <t>Tre Johnson</t>
  </si>
  <si>
    <t>Ryan Rollins</t>
  </si>
  <si>
    <t>P.J. Washington</t>
  </si>
  <si>
    <t>Jaden McDaniels</t>
  </si>
  <si>
    <t>Cameron Johnson</t>
  </si>
  <si>
    <t>Nikola Topić</t>
  </si>
  <si>
    <t>Cody Williams (1.08)</t>
  </si>
  <si>
    <t>Herbert Jones</t>
  </si>
  <si>
    <t>Matas Buzelis (1.09)</t>
  </si>
  <si>
    <t>Andrew Nembhard</t>
  </si>
  <si>
    <t>Payton Pritchard</t>
  </si>
  <si>
    <t>Daniel Gafford</t>
  </si>
  <si>
    <t>Cody Williams (1.05)</t>
  </si>
  <si>
    <t>Christian Braun</t>
  </si>
  <si>
    <t>Ron Holland II</t>
  </si>
  <si>
    <t>Kyle Filipowski</t>
  </si>
  <si>
    <t>Zaccharie Risacher (1.10)</t>
  </si>
  <si>
    <t>De'Anthony Melton</t>
  </si>
  <si>
    <t>Robert Williams III</t>
  </si>
  <si>
    <t>Egor Dëmin</t>
  </si>
  <si>
    <t>Jonas Valančiūnas</t>
  </si>
  <si>
    <t>Kevin Porter Jr.</t>
  </si>
  <si>
    <t>Bruce Brown Jr.</t>
  </si>
  <si>
    <t>Yves Missi</t>
  </si>
  <si>
    <t>Jaime Jaquez Jr.</t>
  </si>
  <si>
    <t>Ajay Mitchell</t>
  </si>
  <si>
    <t>Nikola Jović</t>
  </si>
  <si>
    <t>Ryan Kalkbrenner</t>
  </si>
  <si>
    <t>Jaylon Tyson</t>
  </si>
  <si>
    <t xml:space="preserve">Bobby Portis Jr. </t>
  </si>
  <si>
    <t>Zaccharie Risacher</t>
  </si>
  <si>
    <t>Bogdan Bogdanović</t>
  </si>
  <si>
    <t>Tidjane Salaün</t>
  </si>
  <si>
    <t>Moses Moody</t>
  </si>
  <si>
    <t xml:space="preserve">Kevin Porter Jr. </t>
  </si>
  <si>
    <t>Gary Trent Jr.</t>
  </si>
  <si>
    <t>Bobby Portis Jr.</t>
  </si>
  <si>
    <t>Walter Clayton Jr.</t>
  </si>
  <si>
    <t>AJ Griffin</t>
  </si>
  <si>
    <t>Ty Jerome</t>
  </si>
  <si>
    <t>Nique Clifford</t>
  </si>
  <si>
    <t>Danny Wolf</t>
  </si>
  <si>
    <t xml:space="preserve">Yang Hansen </t>
  </si>
  <si>
    <t>Neemias Queta</t>
  </si>
  <si>
    <t>Xavier Tillman Sr.</t>
  </si>
  <si>
    <t>Collin Gillespie</t>
  </si>
  <si>
    <t>Maxime Raynaud</t>
  </si>
  <si>
    <t>Grayson Allen</t>
  </si>
  <si>
    <t>Cody Williams</t>
  </si>
  <si>
    <t>Precious Achiuwa</t>
  </si>
  <si>
    <t>Jay Huff</t>
  </si>
  <si>
    <t>Karlo Matković</t>
  </si>
  <si>
    <t>Aleksej Pokuševski</t>
  </si>
  <si>
    <t>Max Christie</t>
  </si>
  <si>
    <t>Bojan Bogdanović</t>
  </si>
  <si>
    <t>Kenyon Martin Jr.</t>
  </si>
  <si>
    <t>Cam Spencer</t>
  </si>
  <si>
    <t>Orlando Robinson</t>
  </si>
  <si>
    <t>Dillon Jones</t>
  </si>
  <si>
    <t>Asa Newell</t>
  </si>
  <si>
    <t>T.J. McConnell</t>
  </si>
  <si>
    <t>Moussa Diabaté</t>
  </si>
  <si>
    <t>Royce O'Neale</t>
  </si>
  <si>
    <t>Nolan Traoré</t>
  </si>
  <si>
    <t>Naji Marshall</t>
  </si>
  <si>
    <t>Charles Bassey</t>
  </si>
  <si>
    <t>Terrence Shannon Jr.</t>
  </si>
  <si>
    <t>Sandro Mamukelashvili</t>
  </si>
  <si>
    <t>Dario Šarić</t>
  </si>
  <si>
    <t>Monte Morris</t>
  </si>
  <si>
    <t>Nick Smith Jr.</t>
  </si>
  <si>
    <t>Craig Porter Jr.</t>
  </si>
  <si>
    <t>Derrick Jones Jr.</t>
  </si>
  <si>
    <t>Tyler Smith</t>
  </si>
  <si>
    <t>Vít Krejčí</t>
  </si>
  <si>
    <t>David Roddy</t>
  </si>
  <si>
    <t>Cameron Payne</t>
  </si>
  <si>
    <t>Aleksandar Vezenkov</t>
  </si>
  <si>
    <t>Cody Martin</t>
  </si>
  <si>
    <t>Hugo González</t>
  </si>
  <si>
    <t>Luke Kornet</t>
  </si>
  <si>
    <t xml:space="preserve">Larry Nance Jr. </t>
  </si>
  <si>
    <t>Lonnie Walker IV</t>
  </si>
  <si>
    <t>Tristan Vukčević</t>
  </si>
  <si>
    <t>Andre Jackson Jr.</t>
  </si>
  <si>
    <t>Dennis Smith Jr.</t>
  </si>
  <si>
    <t>Bobi Klintman</t>
  </si>
  <si>
    <t>Duop Reath</t>
  </si>
  <si>
    <t>Mason Plumlee</t>
  </si>
  <si>
    <t>Jock Landale</t>
  </si>
  <si>
    <t>Yanic Konan Niederhäuser</t>
  </si>
  <si>
    <t>Pacôme Dadiet</t>
  </si>
  <si>
    <t>Malachi Flynn</t>
  </si>
  <si>
    <t>Vasilije Micić</t>
  </si>
  <si>
    <t>Max Christie Jr.</t>
  </si>
  <si>
    <t>Jalen Hood-Schifino</t>
  </si>
  <si>
    <t>Keita Bates-Diop</t>
  </si>
  <si>
    <t>Mo Bamba</t>
  </si>
  <si>
    <t>Alec Burks</t>
  </si>
  <si>
    <t>Dante Exum</t>
  </si>
  <si>
    <t>Jae Crowder</t>
  </si>
  <si>
    <t>Jordan Miller</t>
  </si>
  <si>
    <t>Shake Milton</t>
  </si>
  <si>
    <t>Ricky Council IV</t>
  </si>
  <si>
    <t>Reggie Jackson</t>
  </si>
  <si>
    <t>Bismack Biyombo</t>
  </si>
  <si>
    <t>Torrey Craig</t>
  </si>
  <si>
    <t>Kenneth Lofton Jr.</t>
  </si>
  <si>
    <t>Colby Jones</t>
  </si>
  <si>
    <t>Dariq Whitehead</t>
  </si>
  <si>
    <t>Adama Sanogo</t>
  </si>
  <si>
    <t>Eric Gordon</t>
  </si>
  <si>
    <t>KJ Martin</t>
  </si>
  <si>
    <t>Cedi Osman</t>
  </si>
  <si>
    <t>Jae'Sean Tate</t>
  </si>
  <si>
    <t>Ömer Yurtseven</t>
  </si>
  <si>
    <t>Georges Niang</t>
  </si>
  <si>
    <t>Nassir Little</t>
  </si>
  <si>
    <t>Colin Castleton</t>
  </si>
  <si>
    <t>Haywood Highsmith</t>
  </si>
  <si>
    <t>EJ Liddell</t>
  </si>
  <si>
    <t>Troy Brown Jr.</t>
  </si>
  <si>
    <t>Sasha Vezenkov</t>
  </si>
  <si>
    <t>Julian Phillips</t>
  </si>
  <si>
    <t>Usman Garuba</t>
  </si>
  <si>
    <t>Isaiah Mobley</t>
  </si>
  <si>
    <t>Chimezie Metu</t>
  </si>
  <si>
    <t>Jared Butler</t>
  </si>
  <si>
    <t>Maxi Kleber</t>
  </si>
  <si>
    <t>Kai Jones</t>
  </si>
  <si>
    <t>Maxwell Lewis</t>
  </si>
  <si>
    <t>Jericho Sims</t>
  </si>
  <si>
    <t>Jordan Nwora</t>
  </si>
  <si>
    <t>Enrique Freeman</t>
  </si>
  <si>
    <t>Antonio Reeves</t>
  </si>
  <si>
    <t>David Jones</t>
  </si>
  <si>
    <t>Terence Davis II</t>
  </si>
  <si>
    <t>Trey Alexander</t>
  </si>
  <si>
    <t>Jontay Porter</t>
  </si>
  <si>
    <t>Patrick Baldwin Jr.</t>
  </si>
  <si>
    <t>PJ Hall</t>
  </si>
  <si>
    <t>Tristen Newton</t>
  </si>
  <si>
    <t>TyTy Washington Jr.</t>
  </si>
  <si>
    <t>Bruno Fernando</t>
  </si>
  <si>
    <t>Wendell Moore Jr.</t>
  </si>
  <si>
    <t>Jamal Cain</t>
  </si>
  <si>
    <t>Patrick Beverley</t>
  </si>
  <si>
    <t>Lindy Waters III</t>
  </si>
  <si>
    <t>Kevin Knox II</t>
  </si>
  <si>
    <t>Reggie Bullock</t>
  </si>
  <si>
    <t>Brandon Boston Jr.</t>
  </si>
  <si>
    <t>Vlatko Čančar</t>
  </si>
  <si>
    <t>Isaiah Crawford</t>
  </si>
  <si>
    <t>Justise Winslow</t>
  </si>
  <si>
    <t>N'Faly Dante</t>
  </si>
  <si>
    <t>Anton Watson</t>
  </si>
  <si>
    <t>KJ Simpson</t>
  </si>
  <si>
    <t>Kessler Edwards</t>
  </si>
  <si>
    <t>Reece Beekman</t>
  </si>
  <si>
    <t>Caleb Houstan</t>
  </si>
  <si>
    <t>Skylar Mays</t>
  </si>
  <si>
    <t>Jacky Cui</t>
  </si>
  <si>
    <t>Amari Bailey</t>
  </si>
  <si>
    <t>Juan Núñez</t>
  </si>
  <si>
    <t>Reggie Bullock Jr.</t>
  </si>
  <si>
    <t>Cui Yongxi</t>
  </si>
  <si>
    <t>Isaac Jones</t>
  </si>
  <si>
    <t>JT Thor</t>
  </si>
  <si>
    <t>Chris Mañon</t>
  </si>
  <si>
    <t>Tosan Evbuomwan</t>
  </si>
  <si>
    <t>Marcus Morris Sr.</t>
  </si>
  <si>
    <t>Jesse Edwards</t>
  </si>
  <si>
    <t>JaVale McGee</t>
  </si>
  <si>
    <t>Aaron Holiday</t>
  </si>
  <si>
    <t>Ulrich Chomche</t>
  </si>
  <si>
    <t>Oshae Brissett</t>
  </si>
  <si>
    <t>Nikola Đurišić</t>
  </si>
  <si>
    <t>Chris Livingston</t>
  </si>
  <si>
    <t>Théo Maledon</t>
  </si>
  <si>
    <t>Alex Ducas</t>
  </si>
  <si>
    <t>Hunter Dickinson</t>
  </si>
  <si>
    <t>Ąžuolas Tubelis</t>
  </si>
  <si>
    <t>J.D. Davison</t>
  </si>
  <si>
    <t>Damion Lee</t>
  </si>
  <si>
    <t>Keaton Wallace</t>
  </si>
  <si>
    <t>Jalen Bridges</t>
  </si>
  <si>
    <t>Max Shulga</t>
  </si>
  <si>
    <t>D'Moi Hodge</t>
  </si>
  <si>
    <t>Damian Jones</t>
  </si>
  <si>
    <t>Kevin McCullar Jr.</t>
  </si>
  <si>
    <t>Jalen Slawson</t>
  </si>
  <si>
    <t>Josh Christopher</t>
  </si>
  <si>
    <t>Ish Wainright</t>
  </si>
  <si>
    <t>Jacob Gilyard</t>
  </si>
  <si>
    <t>Taelon Peter</t>
  </si>
  <si>
    <t>Mike Muscala</t>
  </si>
  <si>
    <t>Isaiah Roby</t>
  </si>
  <si>
    <t>Olivier Sarr</t>
  </si>
  <si>
    <t>Wenyen Gabriel</t>
  </si>
  <si>
    <t>Yuta Watanabe</t>
  </si>
  <si>
    <t>R.J. Hampton</t>
  </si>
  <si>
    <t>Darius Days</t>
  </si>
  <si>
    <t>Markquis Nowell</t>
  </si>
  <si>
    <t>Oscar Tshiebwe</t>
  </si>
  <si>
    <t>Ibou Badji</t>
  </si>
  <si>
    <t>Joshua Primo</t>
  </si>
  <si>
    <t>Alex Len</t>
  </si>
  <si>
    <t>Thaddeus Young</t>
  </si>
  <si>
    <t>Saben Lee</t>
  </si>
  <si>
    <t>Armel Traoré</t>
  </si>
  <si>
    <t>Ron Harper Jr.</t>
  </si>
  <si>
    <t>Cory Joseph</t>
  </si>
  <si>
    <t>Jaylen Martin</t>
  </si>
  <si>
    <t>Garrison Mathews</t>
  </si>
  <si>
    <t>Isaiah Wong</t>
  </si>
  <si>
    <t>Javon Freeman-Liberty</t>
  </si>
  <si>
    <t>Eugene Omoruyi</t>
  </si>
  <si>
    <t>P.J. Tucker</t>
  </si>
  <si>
    <t>Terquavion Smith</t>
  </si>
  <si>
    <t>Harrison Ingram</t>
  </si>
  <si>
    <t>Moses Brown</t>
  </si>
  <si>
    <t>Armoni Brooks</t>
  </si>
  <si>
    <t>Seth Lundy</t>
  </si>
  <si>
    <t>Edmond Sumner</t>
  </si>
  <si>
    <t>Trentyn Flowers</t>
  </si>
  <si>
    <t>Jeff Green</t>
  </si>
  <si>
    <t>Jay Scrubb</t>
  </si>
  <si>
    <t>Stanley Umude</t>
  </si>
  <si>
    <t>Jason Preston</t>
  </si>
  <si>
    <t>P.J. Dozier</t>
  </si>
  <si>
    <t>Dāvis Bertāns</t>
  </si>
  <si>
    <t>Frank Ntilikina</t>
  </si>
  <si>
    <t>Furkan Korkmaz</t>
  </si>
  <si>
    <t>Tristan Thompson</t>
  </si>
  <si>
    <t>Trent Forrest</t>
  </si>
  <si>
    <t>Danuel House Jr.</t>
  </si>
  <si>
    <t>Justin Holiday</t>
  </si>
  <si>
    <t>Melvin Ajinça</t>
  </si>
  <si>
    <t>Sir'Jabari Rice</t>
  </si>
  <si>
    <t>Lamar Stevens</t>
  </si>
  <si>
    <t>Cody Zeller</t>
  </si>
  <si>
    <t>Keyontae Johnson</t>
  </si>
  <si>
    <t>Robin Lopez</t>
  </si>
  <si>
    <t>Onuralp Bitim</t>
  </si>
  <si>
    <t>Justin Lewis</t>
  </si>
  <si>
    <t>DaQuan Jeffries</t>
  </si>
  <si>
    <t>Miles Norris</t>
  </si>
  <si>
    <t>Omari Moore</t>
  </si>
  <si>
    <t>Luke Travers</t>
  </si>
  <si>
    <t>Alex Fudge</t>
  </si>
  <si>
    <t>Riley Minix</t>
  </si>
  <si>
    <t>Kendall Brown</t>
  </si>
  <si>
    <t>Lester Quiñones</t>
  </si>
  <si>
    <t>Malcolm Cazalon</t>
  </si>
  <si>
    <t>Yuki Kawamura</t>
  </si>
  <si>
    <t>Thanasis Antetokounmpo</t>
  </si>
  <si>
    <t>Daishen Nix</t>
  </si>
  <si>
    <t>Luka Samanic</t>
  </si>
  <si>
    <t>Trevor Hudgins</t>
  </si>
  <si>
    <t>Kevon Harris</t>
  </si>
  <si>
    <t>Dylan Windler</t>
  </si>
  <si>
    <t>Patty Mills</t>
  </si>
  <si>
    <t>Khem Birch</t>
  </si>
  <si>
    <t>Quincy Olivari</t>
  </si>
  <si>
    <t>Braxton Key</t>
  </si>
  <si>
    <t>DJ Steward</t>
  </si>
  <si>
    <t>Marques Bolden</t>
  </si>
  <si>
    <t>Jordan Ford</t>
  </si>
  <si>
    <t>Markieff Morris</t>
  </si>
  <si>
    <t>Jacob Toppin</t>
  </si>
  <si>
    <t>Dexter Dennis</t>
  </si>
  <si>
    <t>Adam Flagler</t>
  </si>
  <si>
    <t>David Duke Jr.</t>
  </si>
  <si>
    <t>Nathan Knight</t>
  </si>
  <si>
    <t>DJ Carton</t>
  </si>
  <si>
    <t>Dmytro Skapintsev</t>
  </si>
  <si>
    <t>Drew Peterson</t>
  </si>
  <si>
    <t>John Butler Jr.</t>
  </si>
  <si>
    <t>Henri Drell</t>
  </si>
  <si>
    <t>Xavier Cooks</t>
  </si>
  <si>
    <t>Filip Petrusev</t>
  </si>
  <si>
    <t>Juan Toscano-Anderson</t>
  </si>
  <si>
    <t>Jared Rhoden</t>
  </si>
  <si>
    <t>Jules Bernard</t>
  </si>
  <si>
    <t>Alex Reese</t>
  </si>
  <si>
    <t>Greg Brown III</t>
  </si>
  <si>
    <t>Charles Bediako</t>
  </si>
  <si>
    <t>Kaiser Gates</t>
  </si>
  <si>
    <t>Cole Swider</t>
  </si>
  <si>
    <t>RJ Hunter</t>
  </si>
  <si>
    <t>Alondes Williams</t>
  </si>
  <si>
    <t>Justin Minaya</t>
  </si>
  <si>
    <t>Joey Hauser</t>
  </si>
  <si>
    <t>Boban Marjanović</t>
  </si>
  <si>
    <t>Xavier Moon</t>
  </si>
  <si>
    <t>Jeremy Lamb</t>
  </si>
  <si>
    <t>Trevelin Queen</t>
  </si>
  <si>
    <t>Jermaine Samuels Jr.</t>
  </si>
  <si>
    <t>Charlie Brown Jr.</t>
  </si>
  <si>
    <t>Jerome Robinson</t>
  </si>
  <si>
    <t>Nate Hinton</t>
  </si>
  <si>
    <t>JaMychal Green</t>
  </si>
  <si>
    <t>Terry Taylor</t>
  </si>
  <si>
    <t>Isaiah Todd</t>
  </si>
  <si>
    <t>Javonte Smart</t>
  </si>
  <si>
    <t xml:space="preserve">Wesley Matthews </t>
  </si>
  <si>
    <t>Leaky Black</t>
  </si>
  <si>
    <t>Dereon Seabron</t>
  </si>
  <si>
    <t>Carlik Jones</t>
  </si>
  <si>
    <t>Mike Miles Jr.</t>
  </si>
  <si>
    <t>Lindell Wigginton</t>
  </si>
  <si>
    <t>A.J. Green</t>
  </si>
  <si>
    <t>Jeenathan Williams Jr.</t>
  </si>
  <si>
    <t>Matt Ryan</t>
  </si>
  <si>
    <t>Udoka Azubuike</t>
  </si>
  <si>
    <t>Mojave King</t>
  </si>
  <si>
    <t>Jack White</t>
  </si>
  <si>
    <t>Ryan Arcidiacono</t>
  </si>
  <si>
    <t>Admiral Schofield</t>
  </si>
  <si>
    <t>Taj Gibson</t>
  </si>
  <si>
    <t>Ish Smith</t>
  </si>
  <si>
    <t>Danny Green</t>
  </si>
  <si>
    <t>Isaiah Thomas</t>
  </si>
  <si>
    <t>Lance Stephenson</t>
  </si>
  <si>
    <t>Devin Cannady</t>
  </si>
  <si>
    <t>Mason Jones</t>
  </si>
  <si>
    <t>Markus Howard</t>
  </si>
  <si>
    <t>Moses Wright</t>
  </si>
  <si>
    <t>Trey Burke</t>
  </si>
  <si>
    <t>Paris Bass</t>
  </si>
  <si>
    <t>Josh Jackson</t>
  </si>
  <si>
    <t>Trevion Williams</t>
  </si>
  <si>
    <t>Jake Layman</t>
  </si>
  <si>
    <t>Isaac Bonga</t>
  </si>
  <si>
    <t>Joel Ayayi</t>
  </si>
  <si>
    <t>Jared Harper</t>
  </si>
  <si>
    <t>Chima Moneke</t>
  </si>
  <si>
    <t>Alize Johnson</t>
  </si>
  <si>
    <t xml:space="preserve">Kostas Antetokounmpo </t>
  </si>
  <si>
    <t>Michael Foster Jr.</t>
  </si>
  <si>
    <t>Tyler Dorsey</t>
  </si>
  <si>
    <t>Marquese Chriss</t>
  </si>
  <si>
    <t>Eric Paschall</t>
  </si>
  <si>
    <t>Stanley Johnson</t>
  </si>
  <si>
    <t>Feron Hunt</t>
  </si>
  <si>
    <t>Gabe Brown</t>
  </si>
  <si>
    <t>Derrick Favors</t>
  </si>
  <si>
    <t>Dwight Howard</t>
  </si>
  <si>
    <t>R.J. Nembhard Jr.</t>
  </si>
  <si>
    <t>Simisola Shittu</t>
  </si>
  <si>
    <t>Kent Bazemore</t>
  </si>
  <si>
    <t>Carmelo Anthony</t>
  </si>
  <si>
    <t>Brandon Goodwin</t>
  </si>
  <si>
    <t>Isaiah Miller Jr.</t>
  </si>
  <si>
    <t>Rajon Rondo</t>
  </si>
  <si>
    <t>Vernon Carey Jr.</t>
  </si>
  <si>
    <t>Chris Silva</t>
  </si>
  <si>
    <t>Tony Snell</t>
  </si>
  <si>
    <t>KZ Okpala</t>
  </si>
  <si>
    <t>Juancho Hernangomez</t>
  </si>
  <si>
    <t>Wayne Ellington</t>
  </si>
  <si>
    <t>Myles Powell</t>
  </si>
  <si>
    <t>Malik Fitts</t>
  </si>
  <si>
    <t>Jordan Hall</t>
  </si>
  <si>
    <t>Noah Vonleh</t>
  </si>
  <si>
    <t>Timothe Luwawu-Cabarrot</t>
  </si>
  <si>
    <t>Juwan Morgan</t>
  </si>
  <si>
    <t>Arnoldas Kulboka</t>
  </si>
  <si>
    <t>Maurice Harkless</t>
  </si>
  <si>
    <t>Jamaree Bouyea</t>
  </si>
  <si>
    <t>Nate Williams</t>
  </si>
  <si>
    <t>Rodney Hood</t>
  </si>
  <si>
    <t>Malcolm Hill</t>
  </si>
  <si>
    <t>Chris Chiozza</t>
  </si>
  <si>
    <t>D.J. Wilson</t>
  </si>
  <si>
    <t>Sterling Brown</t>
  </si>
  <si>
    <t>Gary Clark</t>
  </si>
  <si>
    <t>David Nwaba</t>
  </si>
  <si>
    <t>Gabe York</t>
  </si>
  <si>
    <t>Nik Stauskas</t>
  </si>
  <si>
    <t>Yves Pons</t>
  </si>
  <si>
    <t>Tyler Cook</t>
  </si>
  <si>
    <t>Gabriel Lundberg</t>
  </si>
  <si>
    <t>Mac McClung</t>
  </si>
  <si>
    <t>Dewayne Dedmon</t>
  </si>
  <si>
    <t>Joe Wieskamp</t>
  </si>
  <si>
    <t>Hamidou Diallo</t>
  </si>
  <si>
    <t>Louis King</t>
  </si>
  <si>
    <t>Jazian Gortman</t>
  </si>
  <si>
    <t>Xavier Sneed</t>
  </si>
  <si>
    <t>Kobi Simmons</t>
  </si>
  <si>
    <t>McKinley Wright IV</t>
  </si>
  <si>
    <t>Michael Carter-Williams</t>
  </si>
  <si>
    <t>Matthew Dellavedova</t>
  </si>
  <si>
    <t>George Hill</t>
  </si>
  <si>
    <t>Udonis Haslem</t>
  </si>
  <si>
    <t>Anthony Lamb</t>
  </si>
  <si>
    <t>Willy Hernangomez</t>
  </si>
  <si>
    <t>Leandro Bolmaro</t>
  </si>
  <si>
    <t>Mfiondu Kabengele</t>
  </si>
  <si>
    <t>Bryn Forbes</t>
  </si>
  <si>
    <t>Austin Rivers</t>
  </si>
  <si>
    <t>Frank Kaminsky</t>
  </si>
  <si>
    <t>Trevor Keels</t>
  </si>
  <si>
    <t>Duane Washington Jr.</t>
  </si>
  <si>
    <t>Goran Dragić</t>
  </si>
  <si>
    <t>Buddy Boeheim</t>
  </si>
  <si>
    <t>Meyers Leonard</t>
  </si>
  <si>
    <t>Devon Dotson</t>
  </si>
  <si>
    <t>D.J. Augustin</t>
  </si>
  <si>
    <t>Davon Reed</t>
  </si>
  <si>
    <t>Andre Iguodala</t>
  </si>
  <si>
    <t>Justin Jackson</t>
  </si>
  <si>
    <t>Rodney McGruder</t>
  </si>
  <si>
    <t>Theo Pinson</t>
  </si>
  <si>
    <t>James Johnson</t>
  </si>
  <si>
    <t>Romeo Langford</t>
  </si>
  <si>
    <t>Will Barton</t>
  </si>
  <si>
    <t>Terrence Ross</t>
  </si>
  <si>
    <t>Mamadi Diakite</t>
  </si>
  <si>
    <t>Raul Neto</t>
  </si>
  <si>
    <t>Marko Simonović</t>
  </si>
  <si>
    <t>Jeff Dowtin Jr.</t>
  </si>
  <si>
    <t>Gorgui Dieng</t>
  </si>
  <si>
    <t>Kennedy Chandler</t>
  </si>
  <si>
    <t>Quinn Cook</t>
  </si>
  <si>
    <t>Facundo Campazzo</t>
  </si>
  <si>
    <t>Matt Thomas</t>
  </si>
  <si>
    <t>Killian Tillie</t>
  </si>
  <si>
    <t>Ignas Brazdeikis</t>
  </si>
  <si>
    <t>Greg Monroe</t>
  </si>
  <si>
    <t>Tyson Etienne</t>
  </si>
  <si>
    <t>Keljin Blevins</t>
  </si>
  <si>
    <t>Ed Davis</t>
  </si>
  <si>
    <t>Freddie Gillespie</t>
  </si>
  <si>
    <t>Marcus Garrett</t>
  </si>
  <si>
    <t>Sacha Killeya-Jones</t>
  </si>
  <si>
    <t>Jordan Schakel</t>
  </si>
  <si>
    <t>Makur Maker</t>
  </si>
  <si>
    <t>Sean McDermott</t>
  </si>
  <si>
    <t>Elijah Bryant</t>
  </si>
  <si>
    <t>Elijah Hughes</t>
  </si>
  <si>
    <t>Jamorko Pickett</t>
  </si>
  <si>
    <t>Cassius Stanley</t>
  </si>
  <si>
    <t>Bruno Caboclo</t>
  </si>
  <si>
    <t>Keifer Sykes</t>
  </si>
  <si>
    <t>Tommy Kuhse</t>
  </si>
  <si>
    <t>Juhann Bégarin</t>
  </si>
  <si>
    <t>Deividas Sirvydis</t>
  </si>
  <si>
    <t>Justin Robinson</t>
  </si>
  <si>
    <t>Anthony Tolliver</t>
  </si>
  <si>
    <t>C.J. Elleby</t>
  </si>
  <si>
    <t>Daniel Oturu</t>
  </si>
  <si>
    <t>Scottie Lewis</t>
  </si>
  <si>
    <t>Devontae Cacok</t>
  </si>
  <si>
    <t>Mychal Mulder</t>
  </si>
  <si>
    <t>Chaundee Brown Jr.</t>
  </si>
  <si>
    <t xml:space="preserve">Brodric Thomas </t>
  </si>
  <si>
    <t>Kellan Grady</t>
  </si>
  <si>
    <t>Quinndary Weatherspoon</t>
  </si>
  <si>
    <t>Javante McCoy</t>
  </si>
  <si>
    <t>Cassius Winston</t>
  </si>
  <si>
    <t xml:space="preserve">Fabian White Jr. </t>
  </si>
  <si>
    <t>D.J. Stewart Jr.</t>
  </si>
  <si>
    <t>Justin Tillman</t>
  </si>
  <si>
    <t>Robert Woodard II</t>
  </si>
  <si>
    <t>Kyle Guy</t>
  </si>
  <si>
    <t>Drake Jeffries</t>
  </si>
  <si>
    <t>Adonis Arms</t>
  </si>
  <si>
    <t>Trevor Ariza</t>
  </si>
  <si>
    <t>Kevin Pangos</t>
  </si>
  <si>
    <t>Zavier Simpson</t>
  </si>
  <si>
    <t>Alfonzo McKinnie</t>
  </si>
  <si>
    <t>Mouhamadou Gueye</t>
  </si>
  <si>
    <t>Tyler Hall</t>
  </si>
  <si>
    <t>Frank Jackson</t>
  </si>
  <si>
    <t>Jaylen Hoard</t>
  </si>
  <si>
    <t>Melvin Frazier Jr.</t>
  </si>
  <si>
    <t>Paul Millsap</t>
  </si>
  <si>
    <t>Tomas Satoransky</t>
  </si>
  <si>
    <t>Rayjon Tucker</t>
  </si>
  <si>
    <t>Tyrell Terry</t>
  </si>
  <si>
    <t>Luca Vildoza</t>
  </si>
  <si>
    <t>Carsen Edwards</t>
  </si>
  <si>
    <t>Sekou Doumbouya</t>
  </si>
  <si>
    <t>Patrick Patterson</t>
  </si>
  <si>
    <t>JJ Redick</t>
  </si>
  <si>
    <t>Sam Dekker</t>
  </si>
  <si>
    <t>James Ennis III</t>
  </si>
  <si>
    <t>Al-Farouq Aminu</t>
  </si>
  <si>
    <t>Donovan Williams</t>
  </si>
  <si>
    <t>Jahlil Okafor</t>
  </si>
  <si>
    <t>Matthew Hurt</t>
  </si>
  <si>
    <t>Chris Smith</t>
  </si>
  <si>
    <t>Semi Ojeleye</t>
  </si>
  <si>
    <t>DeJon Jarreau</t>
  </si>
  <si>
    <t>Wesley Iwundu</t>
  </si>
  <si>
    <t>John Petty Jr.</t>
  </si>
  <si>
    <t>Mike James</t>
  </si>
  <si>
    <t>Khyri Thomas</t>
  </si>
  <si>
    <t>Dwayne Bacon</t>
  </si>
  <si>
    <t>Norvel Pelle</t>
  </si>
  <si>
    <t>Shaq Harrison</t>
  </si>
  <si>
    <t>Langston Galloway</t>
  </si>
  <si>
    <t>Jeff Teague</t>
  </si>
  <si>
    <t>Justinian Jessup</t>
  </si>
  <si>
    <t>Yam Madar</t>
  </si>
  <si>
    <t>Tyler Johnson</t>
  </si>
  <si>
    <t>Ben McLemore</t>
  </si>
  <si>
    <t>Avery Bradley</t>
  </si>
  <si>
    <t>Didi Louzada</t>
  </si>
  <si>
    <t>Aaron Henry</t>
  </si>
  <si>
    <t>DeAndre' Bembry</t>
  </si>
  <si>
    <t>Grant Riller</t>
  </si>
  <si>
    <t>Brad Wanamaker</t>
  </si>
  <si>
    <t>Damyean Dotson</t>
  </si>
  <si>
    <t>Mike Scott</t>
  </si>
  <si>
    <t>Yogi Ferrell</t>
  </si>
  <si>
    <t>Daulton Hommes</t>
  </si>
  <si>
    <t>Solomon Hill</t>
  </si>
  <si>
    <t>Abdel Nader</t>
  </si>
  <si>
    <t>Paul Watson</t>
  </si>
  <si>
    <t>Enes Freedom</t>
  </si>
  <si>
    <t>Jahmi'us Ramsey</t>
  </si>
  <si>
    <t>E'Twaun Moore</t>
  </si>
  <si>
    <t>Kelan Martin</t>
  </si>
  <si>
    <t>Wayne Selden Jr.</t>
  </si>
  <si>
    <t>Chandler Hutchison</t>
  </si>
  <si>
    <t>Aamir Simms</t>
  </si>
  <si>
    <t>Georgios Kalaitzakis</t>
  </si>
  <si>
    <t>Nico Mannion</t>
  </si>
  <si>
    <t>Adam Mokoka</t>
  </si>
  <si>
    <t>Petr Cornelie</t>
  </si>
  <si>
    <t>Tacko Fall</t>
  </si>
  <si>
    <t>JaQuori McLaughlin</t>
  </si>
  <si>
    <t>Miye Oni</t>
  </si>
  <si>
    <t>Gabriel Deck</t>
  </si>
  <si>
    <t>Denzel Valentine</t>
  </si>
  <si>
    <t>JaKarr Sampson</t>
  </si>
  <si>
    <t>Aron Baynes</t>
  </si>
  <si>
    <t>Josh Hall</t>
  </si>
  <si>
    <t>Matt Coleman III</t>
  </si>
  <si>
    <t>Thon Maker</t>
  </si>
  <si>
    <t>Derrick Alston Jr.</t>
  </si>
  <si>
    <t>Rondae Hollis-Jefferson</t>
  </si>
  <si>
    <t>Zhaire Smith</t>
  </si>
  <si>
    <t>Marc Gasol</t>
  </si>
  <si>
    <t>Emmanuel Mudiay</t>
  </si>
  <si>
    <t>Romeo Weems</t>
  </si>
  <si>
    <t>Omari Spellman</t>
  </si>
  <si>
    <t>Sindarius Thornwell</t>
  </si>
  <si>
    <t>Ante Zizic</t>
  </si>
  <si>
    <t>Cheick Diallo</t>
  </si>
  <si>
    <t>Jordan Bell</t>
  </si>
  <si>
    <t>Matt Mitchell</t>
  </si>
  <si>
    <t>EJ Onu</t>
  </si>
  <si>
    <t>Chasson Randle</t>
  </si>
  <si>
    <t>MJ Walker</t>
  </si>
  <si>
    <t>Amar Sylla</t>
  </si>
  <si>
    <t>Axel Toupane</t>
  </si>
  <si>
    <t>Jared Dudley</t>
  </si>
  <si>
    <t>Mitch Ballock</t>
  </si>
  <si>
    <t>Tim Frazier</t>
  </si>
  <si>
    <t>Alen Smailagic</t>
  </si>
  <si>
    <t xml:space="preserve">Ersan Illyasova </t>
  </si>
  <si>
    <t>Jeremiah Martin</t>
  </si>
  <si>
    <t xml:space="preserve">Cristiano Felicio </t>
  </si>
  <si>
    <t>Tyler Bey</t>
  </si>
  <si>
    <t>Nate Darling</t>
  </si>
  <si>
    <t>TJ Leaf</t>
  </si>
  <si>
    <t>Jabari Parker</t>
  </si>
  <si>
    <t>Justin James</t>
  </si>
  <si>
    <t>Amida Brimah</t>
  </si>
  <si>
    <t>Ty-Shon Alexander</t>
  </si>
  <si>
    <t>Reggie Perry</t>
  </si>
  <si>
    <t>Marcus Zegarowski</t>
  </si>
  <si>
    <t>Tremont Waters</t>
  </si>
  <si>
    <t xml:space="preserve">Jarrell Brantley </t>
  </si>
  <si>
    <t>RaiQuan Gray</t>
  </si>
  <si>
    <t>David Johnson</t>
  </si>
  <si>
    <t>Aleem Ford</t>
  </si>
  <si>
    <t>Grant Golden</t>
  </si>
  <si>
    <t>Malik Ellison</t>
  </si>
  <si>
    <t>Michael Devoe</t>
  </si>
  <si>
    <t>Lucas Williamson</t>
  </si>
  <si>
    <t>Marcus Bingham Jr.</t>
  </si>
  <si>
    <t>Brandon Rachal</t>
  </si>
  <si>
    <t>Justin Bean</t>
  </si>
  <si>
    <t>Jaylen Sims</t>
  </si>
  <si>
    <t>LiAngelo Ball</t>
  </si>
  <si>
    <t>Anthony Duruji</t>
  </si>
  <si>
    <t>Jalen Crutcher</t>
  </si>
  <si>
    <t>Zylan Cheatham</t>
  </si>
  <si>
    <t>Daeqwon Plowden</t>
  </si>
  <si>
    <t>Jalen Harris</t>
  </si>
  <si>
    <t>Isaiah Whaley</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</si>
</sst>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
    <numFmt numFmtId="165" formatCode="mmm d, yyyy"/>
    <numFmt numFmtId="166" formatCode="mmmm d, yyyy"/>
    <numFmt numFmtId="167" formatCode="m/d/yyyy"/>
    <numFmt numFmtId="168" formatCode="&quot;$&quot;#,##0.00"/>
    <numFmt numFmtId="169" formatCode="mmmm yyyy"/>
  </numFmts>
  <fonts count="127">
    <font>
      <sz val="10.0"/>
      <color rgb="FF000000"/>
      <name val="Arial"/>
      <scheme val="minor"/>
    </font>
    <font>
      <b/>
      <sz val="11.0"/>
      <color rgb="FFFFFFFF"/>
      <name val="Arial"/>
      <scheme val="minor"/>
    </font>
    <font/>
    <font>
      <b/>
      <sz val="30.0"/>
      <color theme="1"/>
      <name val="Ultra"/>
    </font>
    <font>
      <b/>
      <sz val="11.0"/>
      <color rgb="FFD9D9D9"/>
      <name val="Arial"/>
      <scheme val="minor"/>
    </font>
    <font>
      <b/>
      <sz val="11.0"/>
      <color rgb="FFD9D9D9"/>
      <name val="Arial"/>
    </font>
    <font>
      <b/>
      <sz val="11.0"/>
      <color rgb="FF000000"/>
      <name val="Arial"/>
      <scheme val="minor"/>
    </font>
    <font>
      <b/>
      <sz val="11.0"/>
      <color rgb="FF000000"/>
      <name val="Arial"/>
    </font>
    <font>
      <sz val="11.0"/>
      <color theme="1"/>
      <name val="Arial"/>
      <scheme val="minor"/>
    </font>
    <font>
      <sz val="11.0"/>
      <color theme="1"/>
      <name val="Arial"/>
    </font>
    <font>
      <sz val="11.0"/>
      <color theme="1"/>
      <name val="Impact"/>
    </font>
    <font>
      <sz val="10.0"/>
      <color theme="1"/>
      <name val="Arial"/>
    </font>
    <font>
      <color rgb="FFFFFFFF"/>
      <name val="Arial"/>
      <scheme val="minor"/>
    </font>
    <font>
      <color theme="1"/>
      <name val="Arial"/>
      <scheme val="minor"/>
    </font>
    <font>
      <b/>
      <i/>
      <sz val="12.0"/>
      <color theme="1"/>
      <name val="Arial"/>
      <scheme val="minor"/>
    </font>
    <font>
      <b/>
      <sz val="11.0"/>
      <color rgb="FFFFFFFF"/>
      <name val="Arial"/>
    </font>
    <font>
      <sz val="11.0"/>
      <color rgb="FF000000"/>
      <name val="Arial"/>
      <scheme val="minor"/>
    </font>
    <font>
      <u/>
      <color rgb="FF0000FF"/>
    </font>
    <font>
      <sz val="11.0"/>
      <color rgb="FF0000FF"/>
      <name val="Arial"/>
      <scheme val="minor"/>
    </font>
    <font>
      <sz val="11.0"/>
      <color rgb="FFFF0000"/>
      <name val="Arial"/>
      <scheme val="minor"/>
    </font>
    <font>
      <sz val="11.0"/>
      <color rgb="FF6AA84F"/>
      <name val="Arial"/>
      <scheme val="minor"/>
    </font>
    <font>
      <i/>
      <sz val="11.0"/>
      <color theme="1"/>
      <name val="Arial"/>
      <scheme val="minor"/>
    </font>
    <font>
      <b/>
      <sz val="60.0"/>
      <color rgb="FF000000"/>
      <name val="Mr Dafoe"/>
    </font>
    <font>
      <b/>
      <i/>
      <u/>
      <color rgb="FF9900FF"/>
      <name val="Arial"/>
      <scheme val="minor"/>
    </font>
    <font>
      <u/>
      <color rgb="FF1155CC"/>
      <name val="Arial"/>
      <scheme val="minor"/>
    </font>
    <font>
      <b/>
      <color theme="1"/>
      <name val="Arial"/>
      <scheme val="minor"/>
    </font>
    <font>
      <color theme="1"/>
      <name val="Arial"/>
    </font>
    <font>
      <b/>
      <sz val="64.0"/>
      <color theme="1"/>
      <name val="Ultra"/>
    </font>
    <font>
      <sz val="12.0"/>
      <color theme="1"/>
      <name val="Impact"/>
    </font>
    <font>
      <sz val="12.0"/>
      <color theme="1"/>
      <name val="Arial"/>
      <scheme val="minor"/>
    </font>
    <font>
      <b/>
      <sz val="15.0"/>
      <color rgb="FF38761D"/>
      <name val="Lobster"/>
    </font>
    <font>
      <u/>
      <color rgb="FF0000FF"/>
    </font>
    <font>
      <b/>
      <i/>
      <sz val="16.0"/>
      <color theme="1"/>
      <name val="Arial"/>
    </font>
    <font>
      <i/>
      <u/>
      <sz val="12.0"/>
      <color theme="1"/>
      <name val="&quot;Bree Serif&quot;"/>
    </font>
    <font>
      <i/>
      <u/>
      <sz val="12.0"/>
      <color theme="1"/>
      <name val="&quot;Bree Serif&quot;"/>
    </font>
    <font>
      <b/>
      <sz val="12.0"/>
      <color rgb="FFCC0000"/>
      <name val="Permanent Marker"/>
    </font>
    <font>
      <sz val="14.0"/>
      <color theme="1"/>
      <name val="Permanent Marker"/>
    </font>
    <font>
      <color theme="1"/>
      <name val="Permanent Marker"/>
    </font>
    <font>
      <b/>
      <sz val="12.0"/>
      <color rgb="FF0000FF"/>
      <name val="Permanent Marker"/>
    </font>
    <font>
      <b/>
      <sz val="12.0"/>
      <color rgb="FF000000"/>
      <name val="Permanent Marker"/>
    </font>
    <font>
      <color rgb="FFFF0000"/>
      <name val="Arial"/>
      <scheme val="minor"/>
    </font>
    <font>
      <color rgb="FF000000"/>
      <name val="&quot;Arial&quot;"/>
    </font>
    <font>
      <b/>
      <color theme="1"/>
      <name val="Arial"/>
    </font>
    <font>
      <b/>
      <color rgb="FF000000"/>
      <name val="Calibri"/>
    </font>
    <font>
      <b/>
      <strike/>
      <color rgb="FF000000"/>
      <name val="Calibri"/>
    </font>
    <font>
      <b/>
      <sz val="12.0"/>
      <color rgb="FFFFFFFF"/>
      <name val="Arial"/>
    </font>
    <font>
      <b/>
      <sz val="12.0"/>
      <color rgb="FF000000"/>
      <name val="Calibri"/>
    </font>
    <font>
      <b/>
      <sz val="12.0"/>
      <color theme="1"/>
      <name val="Calibri"/>
    </font>
    <font>
      <u/>
      <color rgb="FF0000FF"/>
    </font>
    <font>
      <sz val="11.0"/>
      <color rgb="FFFBBC04"/>
      <name val="Arial"/>
      <scheme val="minor"/>
    </font>
    <font>
      <b/>
      <sz val="12.0"/>
      <color theme="1"/>
      <name val="Arial"/>
      <scheme val="minor"/>
    </font>
    <font>
      <b/>
      <sz val="14.0"/>
      <color theme="1"/>
      <name val="Arial"/>
      <scheme val="minor"/>
    </font>
    <font>
      <sz val="10.0"/>
      <color theme="1"/>
      <name val="Arial"/>
      <scheme val="minor"/>
    </font>
    <font>
      <b/>
      <sz val="14.0"/>
      <color rgb="FFFFFFFF"/>
      <name val="Arial"/>
      <scheme val="minor"/>
    </font>
    <font>
      <b/>
      <sz val="14.0"/>
      <color rgb="FF000000"/>
      <name val="Arial"/>
      <scheme val="minor"/>
    </font>
    <font>
      <b/>
      <u/>
      <color theme="1"/>
      <name val="Arial"/>
      <scheme val="minor"/>
    </font>
    <font>
      <b/>
      <u/>
      <color theme="1"/>
      <name val="Arial"/>
      <scheme val="minor"/>
    </font>
    <font>
      <sz val="9.0"/>
      <color rgb="FF000000"/>
      <name val="&quot;Google Sans Mono&quot;"/>
    </font>
    <font>
      <color rgb="FF000000"/>
      <name val="Arial"/>
    </font>
    <font>
      <b/>
      <i/>
      <u/>
      <color rgb="FFFF0000"/>
      <name val="Arial"/>
      <scheme val="minor"/>
    </font>
    <font>
      <b/>
      <sz val="12.0"/>
      <color rgb="FFCC0000"/>
      <name val="Alfa Slab One"/>
    </font>
    <font>
      <sz val="14.0"/>
      <color theme="1"/>
      <name val="&quot;Permanent Marker&quot;"/>
    </font>
    <font>
      <b/>
      <sz val="12.0"/>
      <color rgb="FF1C4587"/>
      <name val="Alfa Slab One"/>
    </font>
    <font>
      <b/>
      <sz val="12.0"/>
      <color rgb="FF000000"/>
      <name val="Alfa Slab One"/>
    </font>
    <font>
      <b/>
      <color theme="1"/>
      <name val="Calibri"/>
    </font>
    <font>
      <b/>
      <sz val="15.0"/>
      <color theme="1"/>
      <name val="Arial"/>
    </font>
    <font>
      <sz val="10.0"/>
      <color theme="1"/>
      <name val="'UICTFontTextStyleBody'"/>
    </font>
    <font>
      <i/>
      <u/>
      <sz val="12.0"/>
      <color theme="1"/>
      <name val="&quot;Bree Serif&quot;"/>
    </font>
    <font>
      <sz val="11.0"/>
      <color rgb="FF4A86E8"/>
      <name val="Arial"/>
      <scheme val="minor"/>
    </font>
    <font>
      <sz val="11.0"/>
      <color rgb="FF0000FF"/>
      <name val="Arial"/>
    </font>
    <font>
      <sz val="11.0"/>
      <color rgb="FFFF0000"/>
      <name val="Arial"/>
    </font>
    <font>
      <sz val="11.0"/>
      <color rgb="FF6AA84F"/>
      <name val="Arial"/>
    </font>
    <font>
      <color rgb="FF34A853"/>
      <name val="Arial"/>
      <scheme val="minor"/>
    </font>
    <font>
      <color rgb="FF4285F4"/>
      <name val="Arial"/>
      <scheme val="minor"/>
    </font>
    <font>
      <color theme="4"/>
      <name val="Arial"/>
      <scheme val="minor"/>
    </font>
    <font>
      <b/>
      <sz val="12.0"/>
      <color theme="1"/>
      <name val="Alfa Slab One"/>
    </font>
    <font>
      <color rgb="FFFBBC04"/>
      <name val="Arial"/>
      <scheme val="minor"/>
    </font>
    <font>
      <color rgb="FFB45F06"/>
      <name val="Arial"/>
      <scheme val="minor"/>
    </font>
    <font>
      <b/>
      <sz val="10.0"/>
      <color rgb="FFD9D9D9"/>
      <name val="Arial"/>
    </font>
    <font>
      <sz val="11.0"/>
      <color rgb="FF46BDC6"/>
      <name val="Arial"/>
    </font>
    <font>
      <sz val="11.0"/>
      <color theme="9"/>
      <name val="Arial"/>
      <scheme val="minor"/>
    </font>
    <font>
      <sz val="11.0"/>
      <color rgb="FFFF9900"/>
      <name val="Arial"/>
      <scheme val="minor"/>
    </font>
    <font>
      <sz val="11.0"/>
      <color rgb="FF4285F4"/>
      <name val="Arial"/>
    </font>
    <font>
      <sz val="11.0"/>
      <color theme="7"/>
      <name val="Arial"/>
    </font>
    <font>
      <sz val="11.0"/>
      <color rgb="FFEA4335"/>
      <name val="Arial"/>
    </font>
    <font>
      <sz val="11.0"/>
      <color theme="7"/>
      <name val="Arial"/>
      <scheme val="minor"/>
    </font>
    <font>
      <b/>
      <sz val="10.0"/>
      <color rgb="FF000000"/>
      <name val="Mr Dafoe"/>
    </font>
    <font>
      <color rgb="FF46BDC6"/>
      <name val="Arial"/>
      <scheme val="minor"/>
    </font>
    <font>
      <color theme="9"/>
      <name val="Arial"/>
      <scheme val="minor"/>
    </font>
    <font>
      <sz val="10.0"/>
      <color theme="7"/>
      <name val="Arial"/>
    </font>
    <font>
      <sz val="10.0"/>
      <color theme="1"/>
      <name val="Impact"/>
    </font>
    <font>
      <sz val="10.0"/>
      <color theme="5"/>
      <name val="Arial"/>
    </font>
    <font>
      <sz val="10.0"/>
      <color rgb="FFFF0000"/>
      <name val="Arial"/>
    </font>
    <font>
      <sz val="10.0"/>
      <color theme="5"/>
      <name val="Arial"/>
      <scheme val="minor"/>
    </font>
    <font>
      <sz val="10.0"/>
      <color theme="7"/>
      <name val="Arial"/>
      <scheme val="minor"/>
    </font>
    <font>
      <sz val="10.0"/>
      <color theme="4"/>
      <name val="Arial"/>
      <scheme val="minor"/>
    </font>
    <font>
      <sz val="10.0"/>
      <color theme="4"/>
      <name val="Arial"/>
    </font>
    <font>
      <sz val="10.0"/>
      <color rgb="FFEA4335"/>
      <name val="Arial"/>
    </font>
    <font>
      <color theme="7"/>
      <name val="Arial"/>
      <scheme val="minor"/>
    </font>
    <font>
      <color theme="5"/>
      <name val="Arial"/>
      <scheme val="minor"/>
    </font>
    <font>
      <sz val="10.0"/>
      <color rgb="FFEA4335"/>
      <name val="Arial"/>
      <scheme val="minor"/>
    </font>
    <font>
      <sz val="11.0"/>
      <color rgb="FF274E13"/>
      <name val="Arial"/>
    </font>
    <font>
      <u/>
      <color rgb="FF1155CC"/>
      <name val="Arial"/>
      <scheme val="minor"/>
    </font>
    <font>
      <b/>
      <sz val="12.0"/>
      <color rgb="FF000000"/>
      <name val="&quot;Alfa Slab One&quot;"/>
    </font>
    <font>
      <b/>
      <sz val="16.0"/>
      <color theme="1"/>
      <name val="Arial"/>
      <scheme val="minor"/>
    </font>
    <font>
      <u/>
      <color rgb="FF0000FF"/>
    </font>
    <font>
      <b/>
      <sz val="12.0"/>
      <color rgb="FF2B2C2D"/>
      <name val="-apple-system"/>
    </font>
    <font>
      <sz val="8.0"/>
      <color rgb="FF151617"/>
      <name val="-apple-system"/>
    </font>
    <font>
      <b/>
      <sz val="9.0"/>
      <color rgb="FF797B7D"/>
      <name val="-apple-system"/>
    </font>
    <font>
      <b/>
      <sz val="9.0"/>
      <color rgb="FF0066CC"/>
      <name val="-apple-system"/>
    </font>
    <font>
      <color rgb="FF000000"/>
      <name val="Arial"/>
      <scheme val="minor"/>
    </font>
    <font>
      <sz val="9.0"/>
      <color rgb="FF000000"/>
      <name val="Arial"/>
      <scheme val="minor"/>
    </font>
    <font>
      <sz val="9.0"/>
      <color rgb="FF0066CC"/>
      <name val="-apple-system"/>
    </font>
    <font>
      <b/>
      <sz val="9.0"/>
      <color rgb="FF000000"/>
      <name val="Arial"/>
      <scheme val="minor"/>
    </font>
    <font>
      <b/>
      <sz val="18.0"/>
      <color theme="1"/>
      <name val="Arial"/>
      <scheme val="minor"/>
    </font>
    <font>
      <u/>
      <color theme="1"/>
      <name val="Arial"/>
      <scheme val="minor"/>
    </font>
    <font>
      <u/>
      <color theme="1"/>
      <name val="Arial"/>
      <scheme val="minor"/>
    </font>
    <font>
      <color rgb="FF000000"/>
      <name val="Roboto"/>
    </font>
    <font>
      <b/>
      <u/>
      <color rgb="FF000000"/>
      <name val="Roboto"/>
    </font>
    <font>
      <b/>
      <color rgb="FF000000"/>
      <name val="Roboto"/>
    </font>
    <font>
      <sz val="11.0"/>
      <color rgb="FFFFFFFF"/>
      <name val="Roboto Mono"/>
    </font>
    <font>
      <sz val="12.0"/>
      <color rgb="FFFFFFFF"/>
      <name val="Roboto Mono"/>
    </font>
    <font>
      <sz val="12.0"/>
      <color rgb="FFFFFFFF"/>
      <name val="&quot;Roboto Mono&quot;"/>
    </font>
    <font>
      <sz val="11.0"/>
      <color rgb="FFFFFFFF"/>
      <name val="&quot;Roboto Mono&quot;"/>
    </font>
    <font>
      <color rgb="FFFFFFFF"/>
      <name val="&quot;Roboto Mono&quot;"/>
    </font>
    <font>
      <sz val="13.0"/>
      <color rgb="FFFFFFFF"/>
      <name val="&quot;Roboto Mono&quot;"/>
    </font>
    <font>
      <sz val="13.0"/>
      <color rgb="FFFFFFFF"/>
      <name val="Roboto Mono"/>
    </font>
  </fonts>
  <fills count="24">
    <fill>
      <patternFill patternType="none"/>
    </fill>
    <fill>
      <patternFill patternType="lightGray"/>
    </fill>
    <fill>
      <patternFill patternType="solid">
        <fgColor rgb="FF666666"/>
        <bgColor rgb="FF666666"/>
      </patternFill>
    </fill>
    <fill>
      <patternFill patternType="solid">
        <fgColor rgb="FF000000"/>
        <bgColor rgb="FF000000"/>
      </patternFill>
    </fill>
    <fill>
      <patternFill patternType="solid">
        <fgColor rgb="FFF1C232"/>
        <bgColor rgb="FFF1C232"/>
      </patternFill>
    </fill>
    <fill>
      <patternFill patternType="solid">
        <fgColor rgb="FF00FFFF"/>
        <bgColor rgb="FF00FFFF"/>
      </patternFill>
    </fill>
    <fill>
      <patternFill patternType="solid">
        <fgColor rgb="FFD9D9D9"/>
        <bgColor rgb="FFD9D9D9"/>
      </patternFill>
    </fill>
    <fill>
      <patternFill patternType="solid">
        <fgColor rgb="FFFFFF00"/>
        <bgColor rgb="FFFFFF00"/>
      </patternFill>
    </fill>
    <fill>
      <patternFill patternType="solid">
        <fgColor rgb="FFFFF2CC"/>
        <bgColor rgb="FFFFF2CC"/>
      </patternFill>
    </fill>
    <fill>
      <patternFill patternType="solid">
        <fgColor rgb="FFCCCCCC"/>
        <bgColor rgb="FFCCCCCC"/>
      </patternFill>
    </fill>
    <fill>
      <patternFill patternType="solid">
        <fgColor rgb="FFBFBFBF"/>
        <bgColor rgb="FFBFBFBF"/>
      </patternFill>
    </fill>
    <fill>
      <patternFill patternType="solid">
        <fgColor rgb="FFFF0000"/>
        <bgColor rgb="FFFF0000"/>
      </patternFill>
    </fill>
    <fill>
      <patternFill patternType="solid">
        <fgColor rgb="FF0000FF"/>
        <bgColor rgb="FF0000FF"/>
      </patternFill>
    </fill>
    <fill>
      <patternFill patternType="solid">
        <fgColor rgb="FFFF00FF"/>
        <bgColor rgb="FFFF00FF"/>
      </patternFill>
    </fill>
    <fill>
      <patternFill patternType="solid">
        <fgColor rgb="FF00FF00"/>
        <bgColor rgb="FF00FF00"/>
      </patternFill>
    </fill>
    <fill>
      <patternFill patternType="solid">
        <fgColor rgb="FFFFFFFF"/>
        <bgColor rgb="FFFFFFFF"/>
      </patternFill>
    </fill>
    <fill>
      <patternFill patternType="solid">
        <fgColor rgb="FFFF9900"/>
        <bgColor rgb="FFFF9900"/>
      </patternFill>
    </fill>
    <fill>
      <patternFill patternType="solid">
        <fgColor rgb="FF9900FF"/>
        <bgColor rgb="FF9900FF"/>
      </patternFill>
    </fill>
    <fill>
      <patternFill patternType="solid">
        <fgColor theme="0"/>
        <bgColor theme="0"/>
      </patternFill>
    </fill>
    <fill>
      <patternFill patternType="solid">
        <fgColor rgb="FF4A86E8"/>
        <bgColor rgb="FF4A86E8"/>
      </patternFill>
    </fill>
    <fill>
      <patternFill patternType="solid">
        <fgColor rgb="FFD9EAD3"/>
        <bgColor rgb="FFD9EAD3"/>
      </patternFill>
    </fill>
    <fill>
      <patternFill patternType="solid">
        <fgColor rgb="FFFFE599"/>
        <bgColor rgb="FFFFE599"/>
      </patternFill>
    </fill>
    <fill>
      <patternFill patternType="solid">
        <fgColor rgb="FFFFD966"/>
        <bgColor rgb="FFFFD966"/>
      </patternFill>
    </fill>
    <fill>
      <patternFill patternType="solid">
        <fgColor rgb="FF434343"/>
        <bgColor rgb="FF434343"/>
      </patternFill>
    </fill>
  </fills>
  <borders count="129">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thick">
        <color rgb="FFCCCCCC"/>
      </right>
      <top style="thick">
        <color rgb="FF000000"/>
      </top>
      <bottom style="thick">
        <color rgb="FF000000"/>
      </bottom>
    </border>
    <border>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FBBC04"/>
      </left>
      <top style="thick">
        <color rgb="FFFBBC04"/>
      </top>
      <bottom style="thick">
        <color rgb="FFFBBC04"/>
      </bottom>
    </border>
    <border>
      <top style="thick">
        <color rgb="FFFBBC04"/>
      </top>
      <bottom style="thick">
        <color rgb="FFFBBC04"/>
      </bottom>
    </border>
    <border>
      <right style="thick">
        <color rgb="FFFBBC04"/>
      </right>
      <top style="thick">
        <color rgb="FFFBBC04"/>
      </top>
      <bottom style="thick">
        <color rgb="FFFBBC04"/>
      </bottom>
    </border>
    <border>
      <left style="thick">
        <color rgb="FF000000"/>
      </left>
      <right style="thick">
        <color rgb="FF000000"/>
      </right>
      <top style="thick">
        <color rgb="FF000000"/>
      </top>
    </border>
    <border>
      <left style="thick">
        <color rgb="FF000000"/>
      </left>
    </border>
    <border>
      <right style="thick">
        <color rgb="FF000000"/>
      </right>
    </border>
    <border>
      <left style="thick">
        <color rgb="FF000000"/>
      </left>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ck">
        <color rgb="FF000000"/>
      </right>
      <top style="thick">
        <color rgb="FFCCCCCC"/>
      </top>
    </border>
    <border>
      <right style="medium">
        <color rgb="FF000000"/>
      </right>
    </border>
    <border>
      <bottom style="medium">
        <color rgb="FF000000"/>
      </bottom>
    </border>
    <border>
      <left style="thick">
        <color rgb="FF000000"/>
      </left>
      <right style="thick">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border>
    <border>
      <left style="thin">
        <color rgb="FF000000"/>
      </left>
      <bottom style="thin">
        <color rgb="FF000000"/>
      </bottom>
    </border>
    <border>
      <left style="thick">
        <color rgb="FFF1C232"/>
      </left>
      <top style="thick">
        <color rgb="FFF1C232"/>
      </top>
      <bottom style="thick">
        <color rgb="FFF1C232"/>
      </bottom>
    </border>
    <border>
      <top style="thick">
        <color rgb="FFF1C232"/>
      </top>
      <bottom style="thick">
        <color rgb="FFF1C232"/>
      </bottom>
    </border>
    <border>
      <right style="thick">
        <color rgb="FFF1C232"/>
      </right>
      <top style="thick">
        <color rgb="FFF1C232"/>
      </top>
      <bottom style="thick">
        <color rgb="FFF1C232"/>
      </bottom>
    </border>
    <border>
      <right style="thin">
        <color rgb="FF000000"/>
      </right>
    </border>
    <border>
      <left style="thin">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top style="thin">
        <color rgb="FF000000"/>
      </top>
    </border>
    <border>
      <right style="medium">
        <color rgb="FF000000"/>
      </right>
      <top style="thin">
        <color rgb="FF000000"/>
      </top>
    </border>
    <border>
      <right style="thin">
        <color rgb="FF000000"/>
      </right>
      <top style="thin">
        <color rgb="FF000000"/>
      </top>
    </border>
    <border>
      <left style="thin">
        <color rgb="FF000000"/>
      </left>
      <top style="thick">
        <color rgb="FF000000"/>
      </top>
    </border>
    <border>
      <right style="medium">
        <color rgb="FF000000"/>
      </right>
      <top style="thick">
        <color rgb="FF000000"/>
      </top>
    </border>
    <border>
      <right style="thin">
        <color rgb="FF000000"/>
      </right>
      <top style="thick">
        <color rgb="FF000000"/>
      </top>
    </border>
    <border>
      <left style="thin">
        <color rgb="FF000000"/>
      </left>
      <right style="thin">
        <color rgb="FF000000"/>
      </right>
      <top style="thick">
        <color rgb="FF000000"/>
      </top>
    </border>
    <border>
      <right style="thin">
        <color rgb="FF000000"/>
      </right>
      <bottom style="thin">
        <color rgb="FF000000"/>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top style="medium">
        <color rgb="FF000000"/>
      </top>
      <bottom style="thin">
        <color rgb="FF000000"/>
      </bottom>
    </border>
    <border>
      <left style="thin">
        <color rgb="FF000000"/>
      </left>
      <right style="thick">
        <color rgb="FF000000"/>
      </right>
    </border>
    <border>
      <left style="thick">
        <color rgb="FF000000"/>
      </left>
      <bottom style="medium">
        <color rgb="FF000000"/>
      </bottom>
    </border>
    <border>
      <left style="thin">
        <color rgb="FF000000"/>
      </left>
      <right style="thick">
        <color rgb="FF000000"/>
      </right>
      <bottom style="medium">
        <color rgb="FF000000"/>
      </bottom>
    </border>
    <border>
      <top style="thin">
        <color rgb="FF000000"/>
      </top>
      <bottom style="medium">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n">
        <color rgb="FF000000"/>
      </left>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right style="medium">
        <color rgb="FF000000"/>
      </right>
      <bottom style="thin">
        <color rgb="FF000000"/>
      </bottom>
    </border>
    <border>
      <left style="medium">
        <color rgb="FF000000"/>
      </left>
      <right style="medium">
        <color rgb="FF000000"/>
      </right>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ck">
        <color rgb="FF000000"/>
      </right>
      <bottom style="medium">
        <color rgb="FF000000"/>
      </bottom>
    </border>
    <border>
      <left style="thick">
        <color rgb="FF000000"/>
      </left>
      <bottom style="thin">
        <color rgb="FF000000"/>
      </bottom>
    </border>
    <border>
      <right style="thick">
        <color rgb="FF000000"/>
      </right>
      <bottom style="thin">
        <color rgb="FF000000"/>
      </bottom>
    </border>
    <border>
      <left style="medium">
        <color rgb="FF000000"/>
      </left>
      <top style="thin">
        <color rgb="FF000000"/>
      </top>
      <bottom style="thin">
        <color rgb="FF000000"/>
      </bottom>
    </border>
    <border>
      <left style="thick">
        <color rgb="FF000000"/>
      </left>
      <right style="thin">
        <color rgb="FF000000"/>
      </right>
    </border>
    <border>
      <left style="medium">
        <color rgb="FF000000"/>
      </left>
      <right style="thick">
        <color rgb="FF000000"/>
      </right>
      <top style="thin">
        <color rgb="FF000000"/>
      </top>
      <bottom style="thin">
        <color rgb="FF000000"/>
      </bottom>
    </border>
    <border>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ck">
        <color rgb="FFF1C232"/>
      </left>
      <top style="thick">
        <color rgb="FFF1C232"/>
      </top>
    </border>
    <border>
      <top style="thick">
        <color rgb="FFF1C232"/>
      </top>
    </border>
    <border>
      <right style="thick">
        <color rgb="FFF1C232"/>
      </right>
      <top style="thick">
        <color rgb="FFF1C232"/>
      </top>
    </border>
    <border>
      <left style="thin">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bottom style="thick">
        <color rgb="FF000000"/>
      </bottom>
    </border>
    <border>
      <left style="thick">
        <color rgb="FFFF0000"/>
      </left>
      <right style="thick">
        <color rgb="FFFF0000"/>
      </right>
      <top style="thick">
        <color rgb="FFFF0000"/>
      </top>
      <bottom style="thick">
        <color rgb="FFFF0000"/>
      </bottom>
    </border>
    <border>
      <top style="thick">
        <color rgb="FF34A853"/>
      </top>
    </border>
    <border>
      <left style="thick">
        <color rgb="FF34A853"/>
      </left>
      <right style="thick">
        <color rgb="FF34A853"/>
      </right>
      <top style="thick">
        <color rgb="FF34A853"/>
      </top>
      <bottom style="thick">
        <color rgb="FF34A853"/>
      </bottom>
    </border>
    <border>
      <left style="thick">
        <color rgb="FF4A86E8"/>
      </left>
      <right style="thick">
        <color rgb="FF4A86E8"/>
      </right>
      <top style="thick">
        <color rgb="FF4A86E8"/>
      </top>
    </border>
    <border>
      <left style="thick">
        <color rgb="FF4A86E8"/>
      </left>
      <right style="thick">
        <color rgb="FF4A86E8"/>
      </right>
      <bottom style="thick">
        <color rgb="FF4A86E8"/>
      </bottom>
    </border>
    <border>
      <left style="thick">
        <color rgb="FF4285F4"/>
      </left>
      <right style="thick">
        <color rgb="FF4285F4"/>
      </right>
      <top style="thick">
        <color rgb="FF4285F4"/>
      </top>
    </border>
    <border>
      <left style="thick">
        <color rgb="FFFBBC04"/>
      </left>
      <right style="thick">
        <color rgb="FFFBBC04"/>
      </right>
      <top style="thick">
        <color rgb="FFFBBC04"/>
      </top>
    </border>
    <border>
      <left style="thick">
        <color rgb="FF34A853"/>
      </left>
      <right style="thick">
        <color rgb="FF34A853"/>
      </right>
      <top style="thick">
        <color rgb="FF34A853"/>
      </top>
    </border>
    <border>
      <left style="thick">
        <color rgb="FFB45F06"/>
      </left>
      <right style="thick">
        <color rgb="FFB45F06"/>
      </right>
      <top style="thick">
        <color rgb="FFB45F06"/>
      </top>
    </border>
    <border>
      <left style="thick">
        <color rgb="FF4285F4"/>
      </left>
      <right style="thick">
        <color rgb="FF4285F4"/>
      </right>
    </border>
    <border>
      <left style="thick">
        <color rgb="FFFBBC04"/>
      </left>
      <right style="thick">
        <color rgb="FFFBBC04"/>
      </right>
    </border>
    <border>
      <left style="thick">
        <color rgb="FF34A853"/>
      </left>
      <right style="thick">
        <color rgb="FF34A853"/>
      </right>
    </border>
    <border>
      <left style="thick">
        <color rgb="FFB45F06"/>
      </left>
      <right style="thick">
        <color rgb="FFB45F06"/>
      </right>
    </border>
    <border>
      <left style="thick">
        <color rgb="FFB45F06"/>
      </left>
      <right style="thick">
        <color rgb="FFB45F06"/>
      </right>
      <bottom style="thick">
        <color rgb="FFB45F06"/>
      </bottom>
    </border>
    <border>
      <left style="thick">
        <color rgb="FFFBBC04"/>
      </left>
      <right style="thick">
        <color rgb="FFFBBC04"/>
      </right>
      <bottom style="thick">
        <color rgb="FFFBBC04"/>
      </bottom>
    </border>
    <border>
      <left style="thick">
        <color rgb="FF34A853"/>
      </left>
      <right style="thick">
        <color rgb="FF34A853"/>
      </right>
      <bottom style="thick">
        <color rgb="FF34A853"/>
      </bottom>
    </border>
    <border>
      <left style="thick">
        <color rgb="FF4285F4"/>
      </left>
      <right style="thick">
        <color rgb="FF4285F4"/>
      </right>
      <bottom style="thick">
        <color rgb="FF4285F4"/>
      </bottom>
    </border>
    <border>
      <left style="thick">
        <color rgb="FFEA4335"/>
      </left>
      <right style="thick">
        <color rgb="FFEA4335"/>
      </right>
      <top style="thick">
        <color rgb="FFEA4335"/>
      </top>
    </border>
    <border>
      <top style="medium">
        <color rgb="FF000000"/>
      </top>
    </border>
    <border>
      <left style="thick">
        <color rgb="FF38761D"/>
      </left>
      <right style="thick">
        <color rgb="FF38761D"/>
      </right>
      <top style="thick">
        <color rgb="FF38761D"/>
      </top>
    </border>
    <border>
      <left style="thick">
        <color rgb="FFEA4335"/>
      </left>
      <right style="thick">
        <color rgb="FFEA4335"/>
      </right>
    </border>
    <border>
      <left style="thick">
        <color rgb="FF38761D"/>
      </left>
      <right style="thick">
        <color rgb="FF38761D"/>
      </right>
    </border>
    <border>
      <left style="thick">
        <color rgb="FF38761D"/>
      </left>
      <right style="thick">
        <color rgb="FF38761D"/>
      </right>
      <bottom style="thick">
        <color rgb="FF38761D"/>
      </bottom>
    </border>
    <border>
      <left style="thick">
        <color rgb="FFEA4335"/>
      </left>
      <right style="thick">
        <color rgb="FFEA4335"/>
      </right>
      <bottom style="thick">
        <color rgb="FFEA4335"/>
      </bottom>
    </border>
    <border>
      <left style="thick">
        <color rgb="FF4285F4"/>
      </left>
      <right style="thick">
        <color rgb="FF4285F4"/>
      </right>
      <top style="thick">
        <color rgb="FF4285F4"/>
      </top>
      <bottom style="thick">
        <color rgb="FF4285F4"/>
      </bottom>
    </border>
    <border>
      <left style="thick">
        <color rgb="FFFF0000"/>
      </left>
      <right style="thick">
        <color rgb="FFFF0000"/>
      </right>
      <top style="thick">
        <color rgb="FFFF0000"/>
      </top>
    </border>
    <border>
      <left style="thick">
        <color rgb="FFFF0000"/>
      </left>
      <right style="thick">
        <color rgb="FFFF0000"/>
      </right>
    </border>
    <border>
      <left style="thick">
        <color rgb="FFFF0000"/>
      </left>
      <right style="thick">
        <color rgb="FFFF0000"/>
      </right>
      <bottom style="thick">
        <color rgb="FFFF0000"/>
      </bottom>
    </border>
    <border>
      <left style="medium">
        <color rgb="FF000000"/>
      </left>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right style="thin">
        <color rgb="FFFFFFFF"/>
      </right>
      <bottom style="thin">
        <color rgb="FFFFFFFF"/>
      </bottom>
    </border>
  </borders>
  <cellStyleXfs count="1">
    <xf borderId="0" fillId="0" fontId="0" numFmtId="0" applyAlignment="1" applyFont="1"/>
  </cellStyleXfs>
  <cellXfs count="719">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3" fillId="0" fontId="2" numFmtId="0" xfId="0" applyBorder="1" applyFont="1"/>
    <xf borderId="4" fillId="2" fontId="1" numFmtId="0" xfId="0" applyAlignment="1" applyBorder="1" applyFont="1">
      <alignment readingOrder="0"/>
    </xf>
    <xf borderId="2" fillId="2" fontId="1" numFmtId="0" xfId="0" applyAlignment="1" applyBorder="1" applyFont="1">
      <alignment readingOrder="0"/>
    </xf>
    <xf borderId="5" fillId="0" fontId="3" numFmtId="0" xfId="0" applyAlignment="1" applyBorder="1" applyFont="1">
      <alignment readingOrder="0" textRotation="255" vertical="center"/>
    </xf>
    <xf borderId="6" fillId="0" fontId="2" numFmtId="0" xfId="0" applyBorder="1" applyFont="1"/>
    <xf borderId="7" fillId="0" fontId="2" numFmtId="0" xfId="0" applyBorder="1" applyFont="1"/>
    <xf borderId="0" fillId="3" fontId="4" numFmtId="0" xfId="0" applyAlignment="1" applyFill="1" applyFont="1">
      <alignment horizontal="center" readingOrder="0"/>
    </xf>
    <xf borderId="8" fillId="3" fontId="4" numFmtId="0" xfId="0" applyAlignment="1" applyBorder="1" applyFont="1">
      <alignment horizontal="center" readingOrder="0"/>
    </xf>
    <xf borderId="9" fillId="0" fontId="2" numFmtId="0" xfId="0" applyBorder="1" applyFont="1"/>
    <xf borderId="10" fillId="3" fontId="5" numFmtId="0" xfId="0" applyAlignment="1" applyBorder="1" applyFont="1">
      <alignment horizontal="center" readingOrder="0"/>
    </xf>
    <xf borderId="0" fillId="0" fontId="5" numFmtId="0" xfId="0" applyAlignment="1" applyFont="1">
      <alignment horizontal="center" readingOrder="0"/>
    </xf>
    <xf borderId="4" fillId="4" fontId="6" numFmtId="0" xfId="0" applyAlignment="1" applyBorder="1" applyFill="1" applyFont="1">
      <alignment horizontal="center" readingOrder="0"/>
    </xf>
    <xf borderId="4" fillId="0" fontId="2" numFmtId="0" xfId="0" applyBorder="1" applyFont="1"/>
    <xf borderId="4" fillId="4" fontId="7" numFmtId="0" xfId="0" applyAlignment="1" applyBorder="1" applyFont="1">
      <alignment horizontal="center" readingOrder="0"/>
    </xf>
    <xf borderId="11" fillId="5" fontId="8" numFmtId="0" xfId="0" applyBorder="1" applyFill="1" applyFont="1"/>
    <xf borderId="0" fillId="0" fontId="8" numFmtId="0" xfId="0" applyAlignment="1" applyFont="1">
      <alignment readingOrder="0"/>
    </xf>
    <xf borderId="12" fillId="0" fontId="2" numFmtId="0" xfId="0" applyBorder="1" applyFont="1"/>
    <xf borderId="13" fillId="0" fontId="2" numFmtId="0" xfId="0" applyBorder="1" applyFont="1"/>
    <xf borderId="12" fillId="0" fontId="9" numFmtId="0" xfId="0" applyAlignment="1" applyBorder="1" applyFont="1">
      <alignment horizontal="left" readingOrder="0"/>
    </xf>
    <xf borderId="0" fillId="0" fontId="10" numFmtId="0" xfId="0" applyAlignment="1" applyFont="1">
      <alignment horizontal="center" readingOrder="0"/>
    </xf>
    <xf borderId="13" fillId="0" fontId="9" numFmtId="0" xfId="0" applyAlignment="1" applyBorder="1" applyFont="1">
      <alignment horizontal="left" readingOrder="0"/>
    </xf>
    <xf borderId="0" fillId="0" fontId="8" numFmtId="0" xfId="0" applyFont="1"/>
    <xf borderId="14" fillId="2" fontId="8" numFmtId="0" xfId="0" applyBorder="1" applyFont="1"/>
    <xf borderId="0" fillId="0" fontId="8" numFmtId="0" xfId="0" applyAlignment="1" applyFont="1">
      <alignment readingOrder="0" shrinkToFit="0" wrapText="1"/>
    </xf>
    <xf borderId="15" fillId="0" fontId="9" numFmtId="0" xfId="0" applyAlignment="1" applyBorder="1" applyFont="1">
      <alignment horizontal="center" readingOrder="0"/>
    </xf>
    <xf borderId="16" fillId="0" fontId="11" numFmtId="164" xfId="0" applyAlignment="1" applyBorder="1" applyFont="1" applyNumberFormat="1">
      <alignment horizontal="center" readingOrder="0"/>
    </xf>
    <xf borderId="17" fillId="0" fontId="9" numFmtId="0" xfId="0" applyAlignment="1" applyBorder="1" applyFont="1">
      <alignment horizontal="center" readingOrder="0"/>
    </xf>
    <xf borderId="14" fillId="0" fontId="2" numFmtId="0" xfId="0" applyBorder="1" applyFont="1"/>
    <xf borderId="0" fillId="0" fontId="9" numFmtId="0" xfId="0" applyAlignment="1" applyFont="1">
      <alignment readingOrder="0" vertical="bottom"/>
    </xf>
    <xf borderId="0" fillId="0" fontId="12" numFmtId="0" xfId="0" applyFont="1"/>
    <xf borderId="5" fillId="0" fontId="13" numFmtId="0" xfId="0" applyAlignment="1" applyBorder="1" applyFont="1">
      <alignment readingOrder="0"/>
    </xf>
    <xf borderId="6" fillId="0" fontId="10" numFmtId="0" xfId="0" applyAlignment="1" applyBorder="1" applyFont="1">
      <alignment horizontal="center" readingOrder="0"/>
    </xf>
    <xf borderId="7" fillId="0" fontId="13" numFmtId="0" xfId="0" applyAlignment="1" applyBorder="1" applyFont="1">
      <alignment readingOrder="0"/>
    </xf>
    <xf borderId="15" fillId="0" fontId="13" numFmtId="0" xfId="0" applyBorder="1" applyFont="1"/>
    <xf borderId="16" fillId="0" fontId="13" numFmtId="164" xfId="0" applyAlignment="1" applyBorder="1" applyFont="1" applyNumberFormat="1">
      <alignment readingOrder="0"/>
    </xf>
    <xf borderId="17" fillId="0" fontId="13" numFmtId="0" xfId="0" applyBorder="1" applyFont="1"/>
    <xf borderId="0" fillId="0" fontId="14" numFmtId="0" xfId="0" applyAlignment="1" applyFont="1">
      <alignment horizontal="center" readingOrder="0"/>
    </xf>
    <xf borderId="18" fillId="0" fontId="2" numFmtId="0" xfId="0" applyBorder="1" applyFont="1"/>
    <xf borderId="0" fillId="0" fontId="13" numFmtId="0" xfId="0" applyFont="1"/>
    <xf borderId="19" fillId="6" fontId="14" numFmtId="0" xfId="0" applyAlignment="1" applyBorder="1" applyFill="1" applyFont="1">
      <alignment horizontal="center" readingOrder="0"/>
    </xf>
    <xf borderId="20" fillId="0" fontId="2" numFmtId="0" xfId="0" applyBorder="1" applyFont="1"/>
    <xf borderId="21" fillId="0" fontId="2" numFmtId="0" xfId="0" applyBorder="1" applyFont="1"/>
    <xf borderId="15" fillId="2" fontId="1" numFmtId="0" xfId="0" applyAlignment="1" applyBorder="1" applyFont="1">
      <alignment readingOrder="0"/>
    </xf>
    <xf borderId="17" fillId="0" fontId="2" numFmtId="0" xfId="0" applyBorder="1" applyFont="1"/>
    <xf borderId="16" fillId="2" fontId="1" numFmtId="0" xfId="0" applyAlignment="1" applyBorder="1" applyFont="1">
      <alignment readingOrder="0"/>
    </xf>
    <xf borderId="0" fillId="2" fontId="15" numFmtId="0" xfId="0" applyAlignment="1" applyFont="1">
      <alignment horizontal="left" readingOrder="0"/>
    </xf>
    <xf borderId="17" fillId="2" fontId="1" numFmtId="0" xfId="0" applyAlignment="1" applyBorder="1" applyFont="1">
      <alignment readingOrder="0"/>
    </xf>
    <xf borderId="18" fillId="2" fontId="1" numFmtId="0" xfId="0" applyAlignment="1" applyBorder="1" applyFont="1">
      <alignment readingOrder="0"/>
    </xf>
    <xf borderId="12" fillId="0" fontId="13" numFmtId="0" xfId="0" applyAlignment="1" applyBorder="1" applyFont="1">
      <alignment readingOrder="0"/>
    </xf>
    <xf borderId="0" fillId="0" fontId="13" numFmtId="164" xfId="0" applyAlignment="1" applyFont="1" applyNumberFormat="1">
      <alignment readingOrder="0"/>
    </xf>
    <xf borderId="13" fillId="0" fontId="13" numFmtId="0" xfId="0" applyAlignment="1" applyBorder="1" applyFont="1">
      <alignment readingOrder="0"/>
    </xf>
    <xf borderId="22" fillId="5" fontId="8" numFmtId="0" xfId="0" applyBorder="1" applyFont="1"/>
    <xf borderId="14" fillId="5" fontId="8" numFmtId="0" xfId="0" applyBorder="1" applyFont="1"/>
    <xf borderId="12" fillId="0" fontId="13" numFmtId="0" xfId="0" applyBorder="1" applyFont="1"/>
    <xf borderId="23" fillId="0" fontId="16" numFmtId="0" xfId="0" applyAlignment="1" applyBorder="1" applyFont="1">
      <alignment readingOrder="0"/>
    </xf>
    <xf borderId="12" fillId="0" fontId="13" numFmtId="0" xfId="0" applyBorder="1" applyFont="1"/>
    <xf borderId="23" fillId="0" fontId="16" numFmtId="0" xfId="0" applyAlignment="1" applyBorder="1" applyFont="1">
      <alignment readingOrder="0" shrinkToFit="0" wrapText="1"/>
    </xf>
    <xf borderId="23" fillId="0" fontId="13" numFmtId="0" xfId="0" applyBorder="1" applyFont="1"/>
    <xf borderId="16" fillId="0" fontId="13" numFmtId="0" xfId="0" applyBorder="1" applyFont="1"/>
    <xf borderId="17" fillId="0" fontId="13" numFmtId="0" xfId="0" applyAlignment="1" applyBorder="1" applyFont="1">
      <alignment readingOrder="0"/>
    </xf>
    <xf borderId="15" fillId="0" fontId="2" numFmtId="0" xfId="0" applyBorder="1" applyFont="1"/>
    <xf borderId="16" fillId="0" fontId="2" numFmtId="0" xfId="0" applyBorder="1" applyFont="1"/>
    <xf borderId="24" fillId="0" fontId="13" numFmtId="0" xfId="0" applyBorder="1" applyFont="1"/>
    <xf borderId="25" fillId="0" fontId="2" numFmtId="0" xfId="0" applyBorder="1" applyFont="1"/>
    <xf borderId="24" fillId="0" fontId="8" numFmtId="0" xfId="0" applyBorder="1" applyFont="1"/>
    <xf borderId="24" fillId="0" fontId="8" numFmtId="0" xfId="0" applyAlignment="1" applyBorder="1" applyFont="1">
      <alignment readingOrder="0"/>
    </xf>
    <xf borderId="26" fillId="0" fontId="17" numFmtId="0" xfId="0" applyAlignment="1" applyBorder="1" applyFont="1">
      <alignment horizontal="center" readingOrder="0"/>
    </xf>
    <xf borderId="27" fillId="0" fontId="2" numFmtId="0" xfId="0" applyBorder="1" applyFont="1"/>
    <xf borderId="28" fillId="0" fontId="2" numFmtId="0" xfId="0" applyBorder="1" applyFont="1"/>
    <xf borderId="0" fillId="0" fontId="8" numFmtId="0" xfId="0" applyAlignment="1" applyFont="1">
      <alignment horizontal="center" readingOrder="0"/>
    </xf>
    <xf borderId="29" fillId="0" fontId="18" numFmtId="0" xfId="0" applyAlignment="1" applyBorder="1" applyFont="1">
      <alignment horizontal="center" readingOrder="0"/>
    </xf>
    <xf borderId="30" fillId="0" fontId="2" numFmtId="0" xfId="0" applyBorder="1" applyFont="1"/>
    <xf borderId="31" fillId="0" fontId="19" numFmtId="0" xfId="0" applyAlignment="1" applyBorder="1" applyFont="1">
      <alignment horizontal="center" readingOrder="0" shrinkToFit="0" wrapText="1"/>
    </xf>
    <xf borderId="23" fillId="0" fontId="2" numFmtId="0" xfId="0" applyBorder="1" applyFont="1"/>
    <xf borderId="32" fillId="0" fontId="20" numFmtId="0" xfId="0" applyAlignment="1" applyBorder="1" applyFont="1">
      <alignment horizontal="center" readingOrder="0" shrinkToFit="0" wrapText="1"/>
    </xf>
    <xf borderId="33" fillId="0" fontId="2" numFmtId="0" xfId="0" applyBorder="1" applyFont="1"/>
    <xf borderId="0" fillId="0" fontId="13" numFmtId="0" xfId="0" applyAlignment="1" applyFont="1">
      <alignment readingOrder="0"/>
    </xf>
    <xf borderId="0" fillId="0" fontId="21" numFmtId="0" xfId="0" applyAlignment="1" applyFont="1">
      <alignment readingOrder="0"/>
    </xf>
    <xf borderId="0" fillId="0" fontId="21" numFmtId="0" xfId="0" applyFont="1"/>
    <xf borderId="0" fillId="0" fontId="21" numFmtId="0" xfId="0" applyAlignment="1" applyFont="1">
      <alignment horizontal="center" readingOrder="0"/>
    </xf>
    <xf borderId="0" fillId="0" fontId="22" numFmtId="0" xfId="0" applyAlignment="1" applyFont="1">
      <alignment horizontal="center" readingOrder="0" textRotation="135"/>
    </xf>
    <xf borderId="0" fillId="0" fontId="23" numFmtId="0" xfId="0" applyAlignment="1" applyFont="1">
      <alignment readingOrder="0"/>
    </xf>
    <xf borderId="0" fillId="0" fontId="24" numFmtId="0" xfId="0" applyAlignment="1" applyFont="1">
      <alignment horizontal="center" readingOrder="0"/>
    </xf>
    <xf borderId="0" fillId="0" fontId="13" numFmtId="0" xfId="0" applyAlignment="1" applyFont="1">
      <alignment horizontal="center"/>
    </xf>
    <xf borderId="34" fillId="0" fontId="25" numFmtId="0" xfId="0" applyAlignment="1" applyBorder="1" applyFont="1">
      <alignment readingOrder="0"/>
    </xf>
    <xf borderId="20" fillId="0" fontId="25" numFmtId="0" xfId="0" applyBorder="1" applyFont="1"/>
    <xf borderId="20" fillId="0" fontId="25" numFmtId="0" xfId="0" applyAlignment="1" applyBorder="1" applyFont="1">
      <alignment readingOrder="0"/>
    </xf>
    <xf borderId="21" fillId="0" fontId="25" numFmtId="0" xfId="0" applyAlignment="1" applyBorder="1" applyFont="1">
      <alignment readingOrder="0"/>
    </xf>
    <xf borderId="35" fillId="0" fontId="13" numFmtId="0" xfId="0" applyAlignment="1" applyBorder="1" applyFont="1">
      <alignment horizontal="center" readingOrder="0" vertical="center"/>
    </xf>
    <xf borderId="35" fillId="0" fontId="13" numFmtId="0" xfId="0" applyAlignment="1" applyBorder="1" applyFont="1">
      <alignment readingOrder="0"/>
    </xf>
    <xf borderId="36" fillId="0" fontId="13" numFmtId="0" xfId="0" applyBorder="1" applyFont="1"/>
    <xf borderId="36" fillId="0" fontId="13" numFmtId="0" xfId="0" applyBorder="1" applyFont="1"/>
    <xf borderId="37" fillId="0" fontId="2" numFmtId="0" xfId="0" applyBorder="1" applyFont="1"/>
    <xf borderId="37" fillId="0" fontId="13" numFmtId="0" xfId="0" applyAlignment="1" applyBorder="1" applyFont="1">
      <alignment readingOrder="0"/>
    </xf>
    <xf borderId="38" fillId="0" fontId="13" numFmtId="0" xfId="0" applyBorder="1" applyFont="1"/>
    <xf borderId="34" fillId="0" fontId="13" numFmtId="0" xfId="0" applyAlignment="1" applyBorder="1" applyFont="1">
      <alignment readingOrder="0"/>
    </xf>
    <xf borderId="35" fillId="0" fontId="26" numFmtId="0" xfId="0" applyAlignment="1" applyBorder="1" applyFont="1">
      <alignment vertical="bottom"/>
    </xf>
    <xf borderId="35" fillId="0" fontId="13" numFmtId="0" xfId="0" applyBorder="1" applyFont="1"/>
    <xf borderId="35" fillId="0" fontId="26" numFmtId="0" xfId="0" applyAlignment="1" applyBorder="1" applyFont="1">
      <alignment readingOrder="0" vertical="bottom"/>
    </xf>
    <xf borderId="37" fillId="0" fontId="26" numFmtId="0" xfId="0" applyAlignment="1" applyBorder="1" applyFont="1">
      <alignment readingOrder="0" vertical="bottom"/>
    </xf>
    <xf borderId="37" fillId="0" fontId="13" numFmtId="0" xfId="0" applyBorder="1" applyFont="1"/>
    <xf borderId="39" fillId="0" fontId="13" numFmtId="0" xfId="0" applyAlignment="1" applyBorder="1" applyFont="1">
      <alignment horizontal="center" readingOrder="0" vertical="center"/>
    </xf>
    <xf borderId="39" fillId="0" fontId="2" numFmtId="0" xfId="0" applyBorder="1" applyFont="1"/>
    <xf borderId="40" fillId="0" fontId="13" numFmtId="0" xfId="0" applyBorder="1" applyFont="1"/>
    <xf borderId="5" fillId="0" fontId="27" numFmtId="0" xfId="0" applyAlignment="1" applyBorder="1" applyFont="1">
      <alignment readingOrder="0" textRotation="255" vertical="center"/>
    </xf>
    <xf borderId="41" fillId="3" fontId="4" numFmtId="0" xfId="0" applyAlignment="1" applyBorder="1" applyFont="1">
      <alignment horizontal="center" readingOrder="0"/>
    </xf>
    <xf borderId="42" fillId="0" fontId="2" numFmtId="0" xfId="0" applyBorder="1" applyFont="1"/>
    <xf borderId="43" fillId="3" fontId="5" numFmtId="0" xfId="0" applyAlignment="1" applyBorder="1" applyFont="1">
      <alignment horizontal="center" readingOrder="0"/>
    </xf>
    <xf borderId="11" fillId="7" fontId="8" numFmtId="0" xfId="0" applyBorder="1" applyFill="1" applyFont="1"/>
    <xf borderId="12" fillId="0" fontId="11" numFmtId="0" xfId="0" applyAlignment="1" applyBorder="1" applyFont="1">
      <alignment horizontal="left" readingOrder="0"/>
    </xf>
    <xf borderId="0" fillId="0" fontId="28" numFmtId="0" xfId="0" applyAlignment="1" applyFont="1">
      <alignment horizontal="center" readingOrder="0"/>
    </xf>
    <xf borderId="13" fillId="0" fontId="11" numFmtId="0" xfId="0" applyAlignment="1" applyBorder="1" applyFont="1">
      <alignment horizontal="left" readingOrder="0"/>
    </xf>
    <xf borderId="5" fillId="0" fontId="8" numFmtId="0" xfId="0" applyAlignment="1" applyBorder="1" applyFont="1">
      <alignment readingOrder="0"/>
    </xf>
    <xf borderId="6" fillId="0" fontId="28" numFmtId="0" xfId="0" applyAlignment="1" applyBorder="1" applyFont="1">
      <alignment horizontal="center" readingOrder="0"/>
    </xf>
    <xf borderId="7" fillId="0" fontId="8" numFmtId="0" xfId="0" applyAlignment="1" applyBorder="1" applyFont="1">
      <alignment readingOrder="0"/>
    </xf>
    <xf borderId="0" fillId="0" fontId="9" numFmtId="0" xfId="0" applyAlignment="1" applyFont="1">
      <alignment readingOrder="0" shrinkToFit="0" vertical="bottom" wrapText="1"/>
    </xf>
    <xf borderId="15" fillId="0" fontId="11" numFmtId="0" xfId="0" applyAlignment="1" applyBorder="1" applyFont="1">
      <alignment horizontal="center" readingOrder="0"/>
    </xf>
    <xf borderId="17" fillId="0" fontId="11" numFmtId="0" xfId="0" applyAlignment="1" applyBorder="1" applyFont="1">
      <alignment horizontal="left" readingOrder="0"/>
    </xf>
    <xf borderId="15" fillId="0" fontId="8" numFmtId="0" xfId="0" applyBorder="1" applyFont="1"/>
    <xf borderId="16" fillId="0" fontId="8" numFmtId="164" xfId="0" applyAlignment="1" applyBorder="1" applyFont="1" applyNumberFormat="1">
      <alignment readingOrder="0"/>
    </xf>
    <xf borderId="17" fillId="0" fontId="8" numFmtId="0" xfId="0" applyAlignment="1" applyBorder="1" applyFont="1">
      <alignment readingOrder="0"/>
    </xf>
    <xf borderId="0" fillId="0" fontId="16" numFmtId="0" xfId="0" applyAlignment="1" applyFont="1">
      <alignment readingOrder="0" shrinkToFit="0" wrapText="1"/>
    </xf>
    <xf borderId="16" fillId="0" fontId="13" numFmtId="164" xfId="0" applyAlignment="1" applyBorder="1" applyFont="1" applyNumberFormat="1">
      <alignment horizontal="center" readingOrder="0"/>
    </xf>
    <xf borderId="15" fillId="0" fontId="13" numFmtId="0" xfId="0" applyAlignment="1" applyBorder="1" applyFont="1">
      <alignment readingOrder="0"/>
    </xf>
    <xf borderId="0" fillId="0" fontId="13" numFmtId="0" xfId="0" applyAlignment="1" applyFont="1">
      <alignment horizontal="center"/>
    </xf>
    <xf borderId="5" fillId="0" fontId="29" numFmtId="0" xfId="0" applyAlignment="1" applyBorder="1" applyFont="1">
      <alignment horizontal="center" readingOrder="0"/>
    </xf>
    <xf borderId="1" fillId="0" fontId="30" numFmtId="0" xfId="0" applyAlignment="1" applyBorder="1" applyFont="1">
      <alignment horizontal="center" readingOrder="0" vertical="center"/>
    </xf>
    <xf borderId="22" fillId="7" fontId="8" numFmtId="0" xfId="0" applyBorder="1" applyFont="1"/>
    <xf borderId="14" fillId="7" fontId="8" numFmtId="0" xfId="0" applyBorder="1" applyFont="1"/>
    <xf borderId="15" fillId="0" fontId="13" numFmtId="0" xfId="0" applyBorder="1" applyFont="1"/>
    <xf borderId="16" fillId="0" fontId="13" numFmtId="164" xfId="0" applyAlignment="1" applyBorder="1" applyFont="1" applyNumberFormat="1">
      <alignment horizontal="center" readingOrder="0" vertical="center"/>
    </xf>
    <xf borderId="0" fillId="0" fontId="16" numFmtId="0" xfId="0" applyAlignment="1" applyFont="1">
      <alignment readingOrder="0"/>
    </xf>
    <xf borderId="36" fillId="0" fontId="8" numFmtId="0" xfId="0" applyAlignment="1" applyBorder="1" applyFont="1">
      <alignment readingOrder="0"/>
    </xf>
    <xf borderId="36" fillId="0" fontId="8" numFmtId="0" xfId="0" applyAlignment="1" applyBorder="1" applyFont="1">
      <alignment horizontal="center" readingOrder="0"/>
    </xf>
    <xf borderId="36" fillId="0" fontId="8" numFmtId="0" xfId="0" applyBorder="1" applyFont="1"/>
    <xf borderId="38" fillId="0" fontId="31" numFmtId="0" xfId="0" applyAlignment="1" applyBorder="1" applyFont="1">
      <alignment horizontal="center" readingOrder="0"/>
    </xf>
    <xf borderId="38" fillId="0" fontId="2" numFmtId="0" xfId="0" applyBorder="1" applyFont="1"/>
    <xf borderId="31" fillId="0" fontId="19" numFmtId="0" xfId="0" applyAlignment="1" applyBorder="1" applyFont="1">
      <alignment horizontal="left" readingOrder="0"/>
    </xf>
    <xf borderId="32" fillId="0" fontId="20" numFmtId="0" xfId="0" applyAlignment="1" applyBorder="1" applyFont="1">
      <alignment horizontal="left" readingOrder="0"/>
    </xf>
    <xf borderId="17" fillId="0" fontId="13" numFmtId="0" xfId="0" applyBorder="1" applyFont="1"/>
    <xf borderId="0" fillId="8" fontId="13" numFmtId="0" xfId="0" applyFill="1" applyFont="1"/>
    <xf borderId="0" fillId="8" fontId="13" numFmtId="0" xfId="0" applyFont="1"/>
    <xf borderId="34" fillId="0" fontId="13" numFmtId="0" xfId="0" applyAlignment="1" applyBorder="1" applyFont="1">
      <alignment horizontal="center" readingOrder="0"/>
    </xf>
    <xf borderId="20" fillId="0" fontId="13" numFmtId="0" xfId="0" applyAlignment="1" applyBorder="1" applyFont="1">
      <alignment readingOrder="0"/>
    </xf>
    <xf borderId="21" fillId="0" fontId="13" numFmtId="0" xfId="0" applyAlignment="1" applyBorder="1" applyFont="1">
      <alignment horizontal="left" readingOrder="0"/>
    </xf>
    <xf borderId="34" fillId="0" fontId="13" numFmtId="0" xfId="0" applyAlignment="1" applyBorder="1" applyFont="1">
      <alignment horizontal="left" readingOrder="0"/>
    </xf>
    <xf borderId="39" fillId="0" fontId="13" numFmtId="0" xfId="0" applyAlignment="1" applyBorder="1" applyFont="1">
      <alignment horizontal="center" readingOrder="0"/>
    </xf>
    <xf borderId="44" fillId="0" fontId="13" numFmtId="0" xfId="0" applyAlignment="1" applyBorder="1" applyFont="1">
      <alignment horizontal="left" readingOrder="0"/>
    </xf>
    <xf borderId="39" fillId="0" fontId="13" numFmtId="0" xfId="0" applyAlignment="1" applyBorder="1" applyFont="1">
      <alignment horizontal="left" readingOrder="0"/>
    </xf>
    <xf borderId="0" fillId="8" fontId="13" numFmtId="0" xfId="0" applyAlignment="1" applyFont="1">
      <alignment readingOrder="0"/>
    </xf>
    <xf borderId="44" fillId="8" fontId="13" numFmtId="0" xfId="0" applyAlignment="1" applyBorder="1" applyFont="1">
      <alignment horizontal="left" readingOrder="0"/>
    </xf>
    <xf borderId="34" fillId="0" fontId="32" numFmtId="0" xfId="0" applyAlignment="1" applyBorder="1" applyFont="1">
      <alignment readingOrder="0" shrinkToFit="0" vertical="bottom" wrapText="0"/>
    </xf>
    <xf borderId="45" fillId="0" fontId="26" numFmtId="0" xfId="0" applyAlignment="1" applyBorder="1" applyFont="1">
      <alignment vertical="bottom"/>
    </xf>
    <xf borderId="21" fillId="0" fontId="33" numFmtId="0" xfId="0" applyAlignment="1" applyBorder="1" applyFont="1">
      <alignment horizontal="center" readingOrder="0" vertical="bottom"/>
    </xf>
    <xf borderId="34" fillId="0" fontId="26" numFmtId="0" xfId="0" applyAlignment="1" applyBorder="1" applyFont="1">
      <alignment vertical="bottom"/>
    </xf>
    <xf borderId="34" fillId="0" fontId="34" numFmtId="0" xfId="0" applyAlignment="1" applyBorder="1" applyFont="1">
      <alignment horizontal="center" readingOrder="0" vertical="bottom"/>
    </xf>
    <xf borderId="19" fillId="9" fontId="35" numFmtId="0" xfId="0" applyAlignment="1" applyBorder="1" applyFill="1" applyFont="1">
      <alignment readingOrder="0" shrinkToFit="0" vertical="bottom" wrapText="1"/>
    </xf>
    <xf borderId="46" fillId="0" fontId="2" numFmtId="0" xfId="0" applyBorder="1" applyFont="1"/>
    <xf borderId="21" fillId="0" fontId="36" numFmtId="0" xfId="0" applyAlignment="1" applyBorder="1" applyFont="1">
      <alignment horizontal="center" readingOrder="0" vertical="bottom"/>
    </xf>
    <xf borderId="34" fillId="0" fontId="37" numFmtId="0" xfId="0" applyAlignment="1" applyBorder="1" applyFont="1">
      <alignment vertical="bottom"/>
    </xf>
    <xf borderId="34" fillId="0" fontId="36" numFmtId="0" xfId="0" applyAlignment="1" applyBorder="1" applyFont="1">
      <alignment horizontal="center" readingOrder="0" vertical="bottom"/>
    </xf>
    <xf borderId="13" fillId="0" fontId="13" numFmtId="0" xfId="0" applyBorder="1" applyFont="1"/>
    <xf borderId="34" fillId="0" fontId="37" numFmtId="0" xfId="0" applyAlignment="1" applyBorder="1" applyFont="1">
      <alignment vertical="bottom"/>
    </xf>
    <xf borderId="13" fillId="0" fontId="13" numFmtId="0" xfId="0" applyBorder="1" applyFont="1"/>
    <xf borderId="47" fillId="9" fontId="35" numFmtId="0" xfId="0" applyAlignment="1" applyBorder="1" applyFont="1">
      <alignment readingOrder="0" shrinkToFit="0" vertical="bottom" wrapText="1"/>
    </xf>
    <xf borderId="48" fillId="0" fontId="2" numFmtId="0" xfId="0" applyBorder="1" applyFont="1"/>
    <xf borderId="49" fillId="0" fontId="36" numFmtId="0" xfId="0" applyAlignment="1" applyBorder="1" applyFont="1">
      <alignment horizontal="center" readingOrder="0" vertical="bottom"/>
    </xf>
    <xf borderId="35" fillId="0" fontId="37" numFmtId="0" xfId="0" applyAlignment="1" applyBorder="1" applyFont="1">
      <alignment vertical="bottom"/>
    </xf>
    <xf borderId="35" fillId="0" fontId="36" numFmtId="0" xfId="0" applyAlignment="1" applyBorder="1" applyFont="1">
      <alignment horizontal="center" readingOrder="0" vertical="bottom"/>
    </xf>
    <xf borderId="50" fillId="9" fontId="38" numFmtId="0" xfId="0" applyAlignment="1" applyBorder="1" applyFont="1">
      <alignment readingOrder="0" vertical="bottom"/>
    </xf>
    <xf borderId="51" fillId="0" fontId="2" numFmtId="0" xfId="0" applyBorder="1" applyFont="1"/>
    <xf borderId="52" fillId="0" fontId="36" numFmtId="0" xfId="0" applyAlignment="1" applyBorder="1" applyFont="1">
      <alignment horizontal="center" readingOrder="0" vertical="bottom"/>
    </xf>
    <xf borderId="53" fillId="0" fontId="37" numFmtId="0" xfId="0" applyAlignment="1" applyBorder="1" applyFont="1">
      <alignment vertical="bottom"/>
    </xf>
    <xf borderId="53" fillId="0" fontId="36" numFmtId="0" xfId="0" applyAlignment="1" applyBorder="1" applyFont="1">
      <alignment horizontal="center" readingOrder="0" vertical="bottom"/>
    </xf>
    <xf borderId="19" fillId="9" fontId="38" numFmtId="0" xfId="0" applyAlignment="1" applyBorder="1" applyFont="1">
      <alignment readingOrder="0" vertical="bottom"/>
    </xf>
    <xf borderId="19" fillId="9" fontId="39" numFmtId="0" xfId="0" applyAlignment="1" applyBorder="1" applyFont="1">
      <alignment readingOrder="0" vertical="bottom"/>
    </xf>
    <xf borderId="39" fillId="8" fontId="13" numFmtId="0" xfId="0" applyAlignment="1" applyBorder="1" applyFont="1">
      <alignment horizontal="left" readingOrder="0"/>
    </xf>
    <xf borderId="37" fillId="0" fontId="13" numFmtId="0" xfId="0" applyAlignment="1" applyBorder="1" applyFont="1">
      <alignment horizontal="center" readingOrder="0"/>
    </xf>
    <xf borderId="38" fillId="0" fontId="13" numFmtId="0" xfId="0" applyAlignment="1" applyBorder="1" applyFont="1">
      <alignment readingOrder="0"/>
    </xf>
    <xf borderId="54" fillId="0" fontId="13" numFmtId="0" xfId="0" applyAlignment="1" applyBorder="1" applyFont="1">
      <alignment horizontal="left" readingOrder="0"/>
    </xf>
    <xf borderId="37" fillId="0" fontId="13" numFmtId="0" xfId="0" applyAlignment="1" applyBorder="1" applyFont="1">
      <alignment horizontal="left" readingOrder="0"/>
    </xf>
    <xf borderId="0" fillId="0" fontId="25" numFmtId="0" xfId="0" applyAlignment="1" applyFont="1">
      <alignment horizontal="right" readingOrder="0"/>
    </xf>
    <xf borderId="55" fillId="0" fontId="13" numFmtId="0" xfId="0" applyAlignment="1" applyBorder="1" applyFont="1">
      <alignment readingOrder="0"/>
    </xf>
    <xf borderId="56" fillId="0" fontId="13" numFmtId="0" xfId="0" applyBorder="1" applyFont="1"/>
    <xf borderId="57" fillId="0" fontId="13" numFmtId="0" xfId="0" applyAlignment="1" applyBorder="1" applyFont="1">
      <alignment readingOrder="0"/>
    </xf>
    <xf borderId="0" fillId="0" fontId="13" numFmtId="0" xfId="0" applyAlignment="1" applyFont="1">
      <alignment horizontal="right" readingOrder="0"/>
    </xf>
    <xf borderId="0" fillId="0" fontId="40" numFmtId="0" xfId="0" applyAlignment="1" applyFont="1">
      <alignment horizontal="right" readingOrder="0"/>
    </xf>
    <xf borderId="0" fillId="0" fontId="41" numFmtId="0" xfId="0" applyAlignment="1" applyFont="1">
      <alignment readingOrder="0"/>
    </xf>
    <xf borderId="58" fillId="0" fontId="13" numFmtId="0" xfId="0" applyBorder="1" applyFont="1"/>
    <xf borderId="20" fillId="0" fontId="13" numFmtId="0" xfId="0" applyBorder="1" applyFont="1"/>
    <xf borderId="0" fillId="0" fontId="41" numFmtId="0" xfId="0" applyAlignment="1" applyFont="1">
      <alignment readingOrder="0" shrinkToFit="0" wrapText="1"/>
    </xf>
    <xf borderId="6" fillId="0" fontId="13" numFmtId="0" xfId="0" applyAlignment="1" applyBorder="1" applyFont="1">
      <alignment horizontal="center"/>
    </xf>
    <xf borderId="6" fillId="0" fontId="13" numFmtId="0" xfId="0" applyBorder="1" applyFont="1"/>
    <xf borderId="6" fillId="0" fontId="13" numFmtId="0" xfId="0" applyBorder="1" applyFont="1"/>
    <xf borderId="7" fillId="0" fontId="13" numFmtId="0" xfId="0" applyBorder="1" applyFont="1"/>
    <xf borderId="12" fillId="0" fontId="13" numFmtId="0" xfId="0" applyAlignment="1" applyBorder="1" applyFont="1">
      <alignment horizontal="left" readingOrder="0"/>
    </xf>
    <xf borderId="59" fillId="0" fontId="13" numFmtId="0" xfId="0" applyAlignment="1" applyBorder="1" applyFont="1">
      <alignment readingOrder="0"/>
    </xf>
    <xf borderId="60" fillId="0" fontId="13" numFmtId="0" xfId="0" applyBorder="1" applyFont="1"/>
    <xf borderId="61" fillId="0" fontId="13" numFmtId="0" xfId="0" applyBorder="1" applyFont="1"/>
    <xf borderId="13" fillId="0" fontId="13" numFmtId="0" xfId="0" applyAlignment="1" applyBorder="1" applyFont="1">
      <alignment horizontal="left" readingOrder="0"/>
    </xf>
    <xf borderId="0" fillId="0" fontId="13" numFmtId="0" xfId="0" applyAlignment="1" applyFont="1">
      <alignment horizontal="left" readingOrder="0"/>
    </xf>
    <xf borderId="15" fillId="0" fontId="13" numFmtId="0" xfId="0" applyAlignment="1" applyBorder="1" applyFont="1">
      <alignment horizontal="left" readingOrder="0"/>
    </xf>
    <xf borderId="16" fillId="0" fontId="13" numFmtId="0" xfId="0" applyAlignment="1" applyBorder="1" applyFont="1">
      <alignment horizontal="center"/>
    </xf>
    <xf borderId="39" fillId="0" fontId="13" numFmtId="0" xfId="0" applyAlignment="1" applyBorder="1" applyFont="1">
      <alignment readingOrder="0"/>
    </xf>
    <xf borderId="0" fillId="6" fontId="42" numFmtId="0" xfId="0" applyAlignment="1" applyFont="1">
      <alignment horizontal="center" readingOrder="0" vertical="bottom"/>
    </xf>
    <xf borderId="0" fillId="0" fontId="13" numFmtId="0" xfId="0" applyAlignment="1" applyFont="1">
      <alignment horizontal="left" readingOrder="0" shrinkToFit="0" vertical="center" wrapText="1"/>
    </xf>
    <xf borderId="5" fillId="0" fontId="13" numFmtId="0" xfId="0" applyAlignment="1" applyBorder="1" applyFont="1">
      <alignment horizontal="center" readingOrder="0"/>
    </xf>
    <xf borderId="19" fillId="10" fontId="43" numFmtId="0" xfId="0" applyAlignment="1" applyBorder="1" applyFill="1" applyFont="1">
      <alignment horizontal="center" readingOrder="0" vertical="bottom"/>
    </xf>
    <xf borderId="62" fillId="0" fontId="13" numFmtId="0" xfId="0" applyAlignment="1" applyBorder="1" applyFont="1">
      <alignment horizontal="center" readingOrder="0"/>
    </xf>
    <xf borderId="20" fillId="0" fontId="13" numFmtId="0" xfId="0" applyAlignment="1" applyBorder="1" applyFont="1">
      <alignment horizontal="center" readingOrder="0"/>
    </xf>
    <xf borderId="63" fillId="0" fontId="2" numFmtId="0" xfId="0" applyBorder="1" applyFont="1"/>
    <xf borderId="19" fillId="0" fontId="43" numFmtId="0" xfId="0" applyAlignment="1" applyBorder="1" applyFont="1">
      <alignment readingOrder="0" vertical="bottom"/>
    </xf>
    <xf borderId="12" fillId="0" fontId="13" numFmtId="0" xfId="0" applyAlignment="1" applyBorder="1" applyFont="1">
      <alignment horizontal="center" readingOrder="0"/>
    </xf>
    <xf borderId="0" fillId="0" fontId="13" numFmtId="0" xfId="0" applyAlignment="1" applyFont="1">
      <alignment horizontal="center" readingOrder="0"/>
    </xf>
    <xf borderId="19" fillId="0" fontId="44" numFmtId="0" xfId="0" applyAlignment="1" applyBorder="1" applyFont="1">
      <alignment readingOrder="0" vertical="bottom"/>
    </xf>
    <xf borderId="16" fillId="0" fontId="13" numFmtId="0" xfId="0" applyAlignment="1" applyBorder="1" applyFont="1">
      <alignment horizontal="center" readingOrder="0"/>
    </xf>
    <xf borderId="16" fillId="0" fontId="13" numFmtId="0" xfId="0" applyAlignment="1" applyBorder="1" applyFont="1">
      <alignment readingOrder="0"/>
    </xf>
    <xf borderId="19" fillId="3" fontId="45" numFmtId="0" xfId="0" applyAlignment="1" applyBorder="1" applyFont="1">
      <alignment horizontal="center" readingOrder="0" vertical="bottom"/>
    </xf>
    <xf borderId="40" fillId="10" fontId="43" numFmtId="0" xfId="0" applyAlignment="1" applyBorder="1" applyFont="1">
      <alignment horizontal="center" vertical="bottom"/>
    </xf>
    <xf borderId="54" fillId="0" fontId="2" numFmtId="0" xfId="0" applyBorder="1" applyFont="1"/>
    <xf borderId="38" fillId="10" fontId="43" numFmtId="0" xfId="0" applyAlignment="1" applyBorder="1" applyFont="1">
      <alignment horizontal="center" vertical="bottom"/>
    </xf>
    <xf borderId="64" fillId="0" fontId="46" numFmtId="0" xfId="0" applyAlignment="1" applyBorder="1" applyFont="1">
      <alignment readingOrder="0" vertical="bottom"/>
    </xf>
    <xf borderId="44" fillId="0" fontId="2" numFmtId="0" xfId="0" applyBorder="1" applyFont="1"/>
    <xf borderId="64" fillId="0" fontId="47" numFmtId="0" xfId="0" applyAlignment="1" applyBorder="1" applyFont="1">
      <alignment readingOrder="0" vertical="bottom"/>
    </xf>
    <xf borderId="40" fillId="0" fontId="46" numFmtId="0" xfId="0" applyAlignment="1" applyBorder="1" applyFont="1">
      <alignment readingOrder="0" vertical="bottom"/>
    </xf>
    <xf borderId="40" fillId="0" fontId="47" numFmtId="0" xfId="0" applyAlignment="1" applyBorder="1" applyFont="1">
      <alignment readingOrder="0" vertical="bottom"/>
    </xf>
    <xf borderId="11" fillId="11" fontId="8" numFmtId="0" xfId="0" applyAlignment="1" applyBorder="1" applyFill="1" applyFont="1">
      <alignment readingOrder="0"/>
    </xf>
    <xf borderId="11" fillId="11" fontId="8" numFmtId="0" xfId="0" applyBorder="1" applyFont="1"/>
    <xf borderId="12" fillId="0" fontId="9" numFmtId="0" xfId="0" applyAlignment="1" applyBorder="1" applyFont="1">
      <alignment horizontal="center" readingOrder="0"/>
    </xf>
    <xf borderId="13" fillId="0" fontId="9" numFmtId="0" xfId="0" applyAlignment="1" applyBorder="1" applyFont="1">
      <alignment horizontal="center" readingOrder="0"/>
    </xf>
    <xf borderId="16" fillId="0" fontId="9" numFmtId="0" xfId="0" applyAlignment="1" applyBorder="1" applyFont="1">
      <alignment horizontal="center"/>
    </xf>
    <xf borderId="22" fillId="11" fontId="8" numFmtId="0" xfId="0" applyBorder="1" applyFont="1"/>
    <xf borderId="14" fillId="11" fontId="8" numFmtId="0" xfId="0" applyBorder="1" applyFont="1"/>
    <xf borderId="23" fillId="0" fontId="8" numFmtId="0" xfId="0" applyBorder="1" applyFont="1"/>
    <xf borderId="23" fillId="0" fontId="13" numFmtId="0" xfId="0" applyBorder="1" applyFont="1"/>
    <xf borderId="33" fillId="0" fontId="8" numFmtId="0" xfId="0" applyBorder="1" applyFont="1"/>
    <xf borderId="0" fillId="0" fontId="48" numFmtId="0" xfId="0" applyAlignment="1" applyFont="1">
      <alignment horizontal="center" readingOrder="0"/>
    </xf>
    <xf borderId="65" fillId="0" fontId="8" numFmtId="0" xfId="0" applyBorder="1" applyFont="1"/>
    <xf borderId="31" fillId="0" fontId="18" numFmtId="0" xfId="0" applyAlignment="1" applyBorder="1" applyFont="1">
      <alignment horizontal="center" readingOrder="0"/>
    </xf>
    <xf borderId="66" fillId="0" fontId="8" numFmtId="0" xfId="0" applyAlignment="1" applyBorder="1" applyFont="1">
      <alignment readingOrder="0"/>
    </xf>
    <xf borderId="32" fillId="0" fontId="49" numFmtId="0" xfId="0" applyAlignment="1" applyBorder="1" applyFont="1">
      <alignment horizontal="center" readingOrder="0" shrinkToFit="0" wrapText="1"/>
    </xf>
    <xf borderId="11" fillId="12" fontId="8" numFmtId="0" xfId="0" applyBorder="1" applyFill="1" applyFont="1"/>
    <xf borderId="22" fillId="12" fontId="8" numFmtId="0" xfId="0" applyBorder="1" applyFont="1"/>
    <xf borderId="0" fillId="0" fontId="19" numFmtId="0" xfId="0" applyAlignment="1" applyFont="1">
      <alignment readingOrder="0"/>
    </xf>
    <xf borderId="14" fillId="12" fontId="8" numFmtId="0" xfId="0" applyBorder="1" applyFont="1"/>
    <xf borderId="23" fillId="0" fontId="8" numFmtId="0" xfId="0" applyAlignment="1" applyBorder="1" applyFont="1">
      <alignment readingOrder="0"/>
    </xf>
    <xf borderId="11" fillId="13" fontId="8" numFmtId="0" xfId="0" applyBorder="1" applyFill="1" applyFont="1"/>
    <xf borderId="22" fillId="13" fontId="8" numFmtId="0" xfId="0" applyBorder="1" applyFont="1"/>
    <xf borderId="14" fillId="13" fontId="8" numFmtId="0" xfId="0" applyBorder="1" applyFont="1"/>
    <xf borderId="11" fillId="14" fontId="8" numFmtId="0" xfId="0" applyAlignment="1" applyBorder="1" applyFill="1" applyFont="1">
      <alignment readingOrder="0"/>
    </xf>
    <xf borderId="11" fillId="14" fontId="8" numFmtId="0" xfId="0" applyBorder="1" applyFont="1"/>
    <xf borderId="22" fillId="14" fontId="8" numFmtId="0" xfId="0" applyBorder="1" applyFont="1"/>
    <xf borderId="14" fillId="14" fontId="8" numFmtId="0" xfId="0" applyBorder="1" applyFont="1"/>
    <xf borderId="67" fillId="0" fontId="50" numFmtId="0" xfId="0" applyAlignment="1" applyBorder="1" applyFont="1">
      <alignment horizontal="center" readingOrder="0"/>
    </xf>
    <xf borderId="68" fillId="5" fontId="51" numFmtId="0" xfId="0" applyAlignment="1" applyBorder="1" applyFont="1">
      <alignment horizontal="center" readingOrder="0" vertical="center"/>
    </xf>
    <xf borderId="30" fillId="0" fontId="52" numFmtId="0" xfId="0" applyBorder="1" applyFont="1"/>
    <xf borderId="68" fillId="0" fontId="52" numFmtId="0" xfId="0" applyBorder="1" applyFont="1"/>
    <xf borderId="65" fillId="15" fontId="0" numFmtId="0" xfId="0" applyBorder="1" applyFill="1" applyFont="1"/>
    <xf borderId="65" fillId="0" fontId="2" numFmtId="0" xfId="0" applyBorder="1" applyFont="1"/>
    <xf borderId="23" fillId="0" fontId="52" numFmtId="0" xfId="0" applyBorder="1" applyFont="1"/>
    <xf borderId="65" fillId="0" fontId="52" numFmtId="0" xfId="0" applyBorder="1" applyFont="1"/>
    <xf borderId="65" fillId="15" fontId="0" numFmtId="0" xfId="0" applyAlignment="1" applyBorder="1" applyFont="1">
      <alignment horizontal="center"/>
    </xf>
    <xf borderId="31" fillId="15" fontId="0" numFmtId="0" xfId="0" applyBorder="1" applyFont="1"/>
    <xf borderId="66" fillId="0" fontId="2" numFmtId="0" xfId="0" applyBorder="1" applyFont="1"/>
    <xf borderId="65" fillId="11" fontId="53" numFmtId="0" xfId="0" applyAlignment="1" applyBorder="1" applyFont="1">
      <alignment horizontal="center" readingOrder="0" vertical="center"/>
    </xf>
    <xf borderId="68" fillId="15" fontId="0" numFmtId="0" xfId="0" applyBorder="1" applyFont="1"/>
    <xf borderId="68" fillId="15" fontId="0" numFmtId="0" xfId="0" applyAlignment="1" applyBorder="1" applyFont="1">
      <alignment horizontal="left"/>
    </xf>
    <xf borderId="66" fillId="0" fontId="52" numFmtId="0" xfId="0" applyBorder="1" applyFont="1"/>
    <xf borderId="66" fillId="15" fontId="0" numFmtId="0" xfId="0" applyBorder="1" applyFont="1"/>
    <xf borderId="65" fillId="12" fontId="53" numFmtId="0" xfId="0" applyAlignment="1" applyBorder="1" applyFont="1">
      <alignment horizontal="center" readingOrder="0" vertical="center"/>
    </xf>
    <xf borderId="65" fillId="13" fontId="53" numFmtId="0" xfId="0" applyAlignment="1" applyBorder="1" applyFont="1">
      <alignment horizontal="center" readingOrder="0" vertical="center"/>
    </xf>
    <xf borderId="65" fillId="14" fontId="54" numFmtId="0" xfId="0" applyAlignment="1" applyBorder="1" applyFont="1">
      <alignment horizontal="center" readingOrder="0" vertical="center"/>
    </xf>
    <xf borderId="68" fillId="0" fontId="50" numFmtId="0" xfId="0" applyAlignment="1" applyBorder="1" applyFont="1">
      <alignment horizontal="center" readingOrder="0"/>
    </xf>
    <xf borderId="30" fillId="0" fontId="13" numFmtId="0" xfId="0" applyAlignment="1" applyBorder="1" applyFont="1">
      <alignment horizontal="center"/>
    </xf>
    <xf borderId="68" fillId="0" fontId="13" numFmtId="0" xfId="0" applyAlignment="1" applyBorder="1" applyFont="1">
      <alignment horizontal="center"/>
    </xf>
    <xf borderId="65" fillId="0" fontId="50" numFmtId="0" xfId="0" applyAlignment="1" applyBorder="1" applyFont="1">
      <alignment horizontal="center" readingOrder="0"/>
    </xf>
    <xf borderId="69" fillId="0" fontId="13" numFmtId="0" xfId="0" applyAlignment="1" applyBorder="1" applyFont="1">
      <alignment horizontal="center"/>
    </xf>
    <xf borderId="70" fillId="0" fontId="13" numFmtId="0" xfId="0" applyAlignment="1" applyBorder="1" applyFont="1">
      <alignment horizontal="center"/>
    </xf>
    <xf borderId="66" fillId="0" fontId="50" numFmtId="0" xfId="0" applyAlignment="1" applyBorder="1" applyFont="1">
      <alignment horizontal="center" readingOrder="0"/>
    </xf>
    <xf borderId="33" fillId="0" fontId="13" numFmtId="0" xfId="0" applyAlignment="1" applyBorder="1" applyFont="1">
      <alignment horizontal="center"/>
    </xf>
    <xf borderId="66" fillId="0" fontId="13" numFmtId="0" xfId="0" applyAlignment="1" applyBorder="1" applyFont="1">
      <alignment horizontal="center"/>
    </xf>
    <xf borderId="11" fillId="16" fontId="8" numFmtId="0" xfId="0" applyAlignment="1" applyBorder="1" applyFill="1" applyFont="1">
      <alignment readingOrder="0"/>
    </xf>
    <xf borderId="11" fillId="16" fontId="8" numFmtId="0" xfId="0" applyBorder="1" applyFont="1"/>
    <xf borderId="22" fillId="16" fontId="8" numFmtId="0" xfId="0" applyBorder="1" applyFont="1"/>
    <xf borderId="14" fillId="16" fontId="8" numFmtId="0" xfId="0" applyBorder="1" applyFont="1"/>
    <xf borderId="0" fillId="0" fontId="13" numFmtId="49" xfId="0" applyAlignment="1" applyFont="1" applyNumberFormat="1">
      <alignment horizontal="right"/>
    </xf>
    <xf borderId="5" fillId="0" fontId="25" numFmtId="0" xfId="0" applyAlignment="1" applyBorder="1" applyFont="1">
      <alignment horizontal="center" readingOrder="0"/>
    </xf>
    <xf borderId="0" fillId="0" fontId="55" numFmtId="0" xfId="0" applyAlignment="1" applyFont="1">
      <alignment readingOrder="0"/>
    </xf>
    <xf borderId="71" fillId="0" fontId="13" numFmtId="0" xfId="0" applyAlignment="1" applyBorder="1" applyFont="1">
      <alignment readingOrder="0"/>
    </xf>
    <xf borderId="72" fillId="0" fontId="13" numFmtId="0" xfId="0" applyAlignment="1" applyBorder="1" applyFont="1">
      <alignment readingOrder="0"/>
    </xf>
    <xf borderId="73" fillId="0" fontId="13" numFmtId="0" xfId="0" applyAlignment="1" applyBorder="1" applyFont="1">
      <alignment readingOrder="0"/>
    </xf>
    <xf borderId="47" fillId="0" fontId="56" numFmtId="0" xfId="0" applyAlignment="1" applyBorder="1" applyFont="1">
      <alignment horizontal="center" readingOrder="0"/>
    </xf>
    <xf borderId="49" fillId="0" fontId="2" numFmtId="0" xfId="0" applyBorder="1" applyFont="1"/>
    <xf borderId="0" fillId="0" fontId="26" numFmtId="0" xfId="0" applyAlignment="1" applyFont="1">
      <alignment vertical="bottom"/>
    </xf>
    <xf borderId="74" fillId="0" fontId="13" numFmtId="0" xfId="0" applyAlignment="1" applyBorder="1" applyFont="1">
      <alignment readingOrder="0"/>
    </xf>
    <xf borderId="12" fillId="0" fontId="13" numFmtId="164" xfId="0" applyAlignment="1" applyBorder="1" applyFont="1" applyNumberFormat="1">
      <alignment readingOrder="0"/>
    </xf>
    <xf borderId="36" fillId="15" fontId="26" numFmtId="0" xfId="0" applyAlignment="1" applyBorder="1" applyFont="1">
      <alignment vertical="bottom"/>
    </xf>
    <xf borderId="49" fillId="0" fontId="13" numFmtId="0" xfId="0" applyBorder="1" applyFont="1"/>
    <xf borderId="75" fillId="0" fontId="13" numFmtId="49" xfId="0" applyAlignment="1" applyBorder="1" applyFont="1" applyNumberFormat="1">
      <alignment horizontal="right" readingOrder="0"/>
    </xf>
    <xf borderId="76" fillId="0" fontId="13" numFmtId="0" xfId="0" applyAlignment="1" applyBorder="1" applyFont="1">
      <alignment readingOrder="0"/>
    </xf>
    <xf borderId="0" fillId="15" fontId="26" numFmtId="0" xfId="0" applyAlignment="1" applyFont="1">
      <alignment vertical="bottom"/>
    </xf>
    <xf borderId="44" fillId="0" fontId="13" numFmtId="0" xfId="0" applyBorder="1" applyFont="1"/>
    <xf borderId="75" fillId="0" fontId="13" numFmtId="164" xfId="0" applyAlignment="1" applyBorder="1" applyFont="1" applyNumberFormat="1">
      <alignment readingOrder="0"/>
    </xf>
    <xf borderId="54" fillId="0" fontId="13" numFmtId="0" xfId="0" applyAlignment="1" applyBorder="1" applyFont="1">
      <alignment readingOrder="0"/>
    </xf>
    <xf borderId="0" fillId="0" fontId="13" numFmtId="0" xfId="0" applyFont="1"/>
    <xf borderId="75" fillId="0" fontId="13" numFmtId="164" xfId="0" applyAlignment="1" applyBorder="1" applyFont="1" applyNumberFormat="1">
      <alignment horizontal="right" readingOrder="0"/>
    </xf>
    <xf borderId="6" fillId="0" fontId="26" numFmtId="0" xfId="0" applyAlignment="1" applyBorder="1" applyFont="1">
      <alignment horizontal="center" vertical="center"/>
    </xf>
    <xf borderId="24" fillId="0" fontId="2" numFmtId="0" xfId="0" applyBorder="1" applyFont="1"/>
    <xf borderId="77" fillId="0" fontId="2" numFmtId="0" xfId="0" applyBorder="1" applyFont="1"/>
    <xf borderId="12" fillId="0" fontId="26" numFmtId="0" xfId="0" applyAlignment="1" applyBorder="1" applyFont="1">
      <alignment horizontal="center" vertical="center"/>
    </xf>
    <xf borderId="0" fillId="0" fontId="26" numFmtId="0" xfId="0" applyAlignment="1" applyFont="1">
      <alignment horizontal="center" vertical="center"/>
    </xf>
    <xf borderId="13" fillId="0" fontId="26" numFmtId="0" xfId="0" applyAlignment="1" applyBorder="1" applyFont="1">
      <alignment horizontal="center" vertical="center"/>
    </xf>
    <xf borderId="78" fillId="0" fontId="2" numFmtId="0" xfId="0" applyBorder="1" applyFont="1"/>
    <xf borderId="79" fillId="0" fontId="2" numFmtId="0" xfId="0" applyBorder="1" applyFont="1"/>
    <xf borderId="12" fillId="0" fontId="26" numFmtId="0" xfId="0" applyAlignment="1" applyBorder="1" applyFont="1">
      <alignment vertical="bottom"/>
    </xf>
    <xf borderId="0" fillId="0" fontId="26" numFmtId="0" xfId="0" applyAlignment="1" applyFont="1">
      <alignment horizontal="right" vertical="bottom"/>
    </xf>
    <xf borderId="13" fillId="0" fontId="26" numFmtId="164" xfId="0" applyAlignment="1" applyBorder="1" applyFont="1" applyNumberFormat="1">
      <alignment horizontal="right" vertical="bottom"/>
    </xf>
    <xf borderId="74" fillId="0" fontId="13" numFmtId="0" xfId="0" applyBorder="1" applyFont="1"/>
    <xf borderId="46" fillId="0" fontId="13" numFmtId="0" xfId="0" applyAlignment="1" applyBorder="1" applyFont="1">
      <alignment readingOrder="0"/>
    </xf>
    <xf borderId="70" fillId="0" fontId="13" numFmtId="0" xfId="0" applyBorder="1" applyFont="1"/>
    <xf borderId="80" fillId="0" fontId="13" numFmtId="0" xfId="0" applyAlignment="1" applyBorder="1" applyFont="1">
      <alignment readingOrder="0"/>
    </xf>
    <xf borderId="15" fillId="0" fontId="26" numFmtId="0" xfId="0" applyAlignment="1" applyBorder="1" applyFont="1">
      <alignment vertical="bottom"/>
    </xf>
    <xf borderId="16" fillId="0" fontId="26" numFmtId="0" xfId="0" applyAlignment="1" applyBorder="1" applyFont="1">
      <alignment horizontal="right" vertical="bottom"/>
    </xf>
    <xf borderId="17" fillId="0" fontId="26" numFmtId="164" xfId="0" applyAlignment="1" applyBorder="1" applyFont="1" applyNumberFormat="1">
      <alignment horizontal="right" vertical="bottom"/>
    </xf>
    <xf borderId="81" fillId="0" fontId="13" numFmtId="164" xfId="0" applyAlignment="1" applyBorder="1" applyFont="1" applyNumberFormat="1">
      <alignment readingOrder="0"/>
    </xf>
    <xf borderId="58" fillId="0" fontId="13" numFmtId="0" xfId="0" applyAlignment="1" applyBorder="1" applyFont="1">
      <alignment readingOrder="0"/>
    </xf>
    <xf borderId="82" fillId="0" fontId="13" numFmtId="0" xfId="0" applyAlignment="1" applyBorder="1" applyFont="1">
      <alignment readingOrder="0"/>
    </xf>
    <xf borderId="83" fillId="0" fontId="13" numFmtId="0" xfId="0" applyAlignment="1" applyBorder="1" applyFont="1">
      <alignment readingOrder="0"/>
    </xf>
    <xf borderId="84" fillId="0" fontId="13" numFmtId="0" xfId="0" applyBorder="1" applyFont="1"/>
    <xf borderId="85" fillId="0" fontId="13" numFmtId="164" xfId="0" applyAlignment="1" applyBorder="1" applyFont="1" applyNumberFormat="1">
      <alignment horizontal="right" readingOrder="0"/>
    </xf>
    <xf borderId="86" fillId="0" fontId="13" numFmtId="0" xfId="0" applyAlignment="1" applyBorder="1" applyFont="1">
      <alignment readingOrder="0"/>
    </xf>
    <xf borderId="0" fillId="0" fontId="13" numFmtId="49" xfId="0" applyAlignment="1" applyFont="1" applyNumberFormat="1">
      <alignment horizontal="right" readingOrder="0"/>
    </xf>
    <xf borderId="0" fillId="0" fontId="13" numFmtId="164" xfId="0" applyAlignment="1" applyFont="1" applyNumberFormat="1">
      <alignment horizontal="right" readingOrder="0"/>
    </xf>
    <xf borderId="0" fillId="0" fontId="13" numFmtId="49" xfId="0" applyFont="1" applyNumberFormat="1"/>
    <xf borderId="47" fillId="15" fontId="26" numFmtId="0" xfId="0" applyAlignment="1" applyBorder="1" applyFont="1">
      <alignment vertical="bottom"/>
    </xf>
    <xf borderId="64" fillId="15" fontId="26" numFmtId="0" xfId="0" applyAlignment="1" applyBorder="1" applyFont="1">
      <alignment vertical="bottom"/>
    </xf>
    <xf borderId="64" fillId="15" fontId="26" numFmtId="0" xfId="0" applyAlignment="1" applyBorder="1" applyFont="1">
      <alignment readingOrder="0" vertical="bottom"/>
    </xf>
    <xf borderId="44" fillId="15" fontId="57" numFmtId="0" xfId="0" applyBorder="1" applyFont="1"/>
    <xf borderId="40" fillId="15" fontId="26" numFmtId="0" xfId="0" applyAlignment="1" applyBorder="1" applyFont="1">
      <alignment vertical="bottom"/>
    </xf>
    <xf borderId="54" fillId="0" fontId="13" numFmtId="0" xfId="0" applyBorder="1" applyFont="1"/>
    <xf borderId="0" fillId="0" fontId="25" numFmtId="0" xfId="0" applyAlignment="1" applyFont="1">
      <alignment readingOrder="0"/>
    </xf>
    <xf borderId="0" fillId="0" fontId="25" numFmtId="0" xfId="0" applyFont="1"/>
    <xf borderId="34" fillId="0" fontId="13" numFmtId="0" xfId="0" applyAlignment="1" applyBorder="1" applyFont="1">
      <alignment readingOrder="0" shrinkToFit="0" wrapText="1"/>
    </xf>
    <xf borderId="0" fillId="0" fontId="13" numFmtId="0" xfId="0" applyAlignment="1" applyFont="1">
      <alignment readingOrder="0" shrinkToFit="0" wrapText="1"/>
    </xf>
    <xf borderId="34" fillId="0" fontId="13" numFmtId="0" xfId="0" applyBorder="1" applyFont="1"/>
    <xf borderId="64" fillId="0" fontId="13" numFmtId="0" xfId="0" applyAlignment="1" applyBorder="1" applyFont="1">
      <alignment readingOrder="0"/>
    </xf>
    <xf borderId="44" fillId="0" fontId="13" numFmtId="0" xfId="0" applyAlignment="1" applyBorder="1" applyFont="1">
      <alignment readingOrder="0"/>
    </xf>
    <xf borderId="0" fillId="0" fontId="13" numFmtId="165" xfId="0" applyAlignment="1" applyFont="1" applyNumberFormat="1">
      <alignment readingOrder="0"/>
    </xf>
    <xf borderId="0" fillId="0" fontId="13" numFmtId="166" xfId="0" applyAlignment="1" applyFont="1" applyNumberFormat="1">
      <alignment horizontal="left" readingOrder="0"/>
    </xf>
    <xf borderId="0" fillId="15" fontId="58" numFmtId="0" xfId="0" applyAlignment="1" applyFont="1">
      <alignment horizontal="left" readingOrder="0"/>
    </xf>
    <xf borderId="87" fillId="3" fontId="4" numFmtId="0" xfId="0" applyAlignment="1" applyBorder="1" applyFont="1">
      <alignment horizontal="left" readingOrder="0"/>
    </xf>
    <xf borderId="88" fillId="0" fontId="2" numFmtId="0" xfId="0" applyBorder="1" applyFont="1"/>
    <xf borderId="89" fillId="3" fontId="5" numFmtId="0" xfId="0" applyAlignment="1" applyBorder="1" applyFont="1">
      <alignment horizontal="left" readingOrder="0"/>
    </xf>
    <xf borderId="11" fillId="17" fontId="8" numFmtId="0" xfId="0" applyBorder="1" applyFill="1" applyFont="1"/>
    <xf borderId="5" fillId="0" fontId="11" numFmtId="0" xfId="0" applyAlignment="1" applyBorder="1" applyFont="1">
      <alignment horizontal="left" readingOrder="0"/>
    </xf>
    <xf borderId="7" fillId="0" fontId="11" numFmtId="0" xfId="0" applyAlignment="1" applyBorder="1" applyFont="1">
      <alignment horizontal="left" readingOrder="0"/>
    </xf>
    <xf borderId="1" fillId="0" fontId="52" numFmtId="0" xfId="0" applyAlignment="1" applyBorder="1" applyFont="1">
      <alignment readingOrder="0" shrinkToFit="0" wrapText="1"/>
    </xf>
    <xf borderId="4" fillId="0" fontId="10" numFmtId="0" xfId="0" applyAlignment="1" applyBorder="1" applyFont="1">
      <alignment horizontal="center" readingOrder="0"/>
    </xf>
    <xf borderId="2" fillId="0" fontId="52" numFmtId="0" xfId="0" applyAlignment="1" applyBorder="1" applyFont="1">
      <alignment readingOrder="0"/>
    </xf>
    <xf borderId="0" fillId="0" fontId="11" numFmtId="164" xfId="0" applyAlignment="1" applyFont="1" applyNumberFormat="1">
      <alignment horizontal="center" readingOrder="0"/>
    </xf>
    <xf borderId="17" fillId="0" fontId="13" numFmtId="0" xfId="0" applyAlignment="1" applyBorder="1" applyFont="1">
      <alignment horizontal="left"/>
    </xf>
    <xf borderId="0" fillId="0" fontId="13" numFmtId="0" xfId="0" applyAlignment="1" applyFont="1">
      <alignment horizontal="left"/>
    </xf>
    <xf borderId="12" fillId="0" fontId="8" numFmtId="0" xfId="0" applyBorder="1" applyFont="1"/>
    <xf borderId="0" fillId="0" fontId="8" numFmtId="164" xfId="0" applyAlignment="1" applyFont="1" applyNumberFormat="1">
      <alignment readingOrder="0"/>
    </xf>
    <xf borderId="13" fillId="0" fontId="8" numFmtId="0" xfId="0" applyAlignment="1" applyBorder="1" applyFont="1">
      <alignment readingOrder="0"/>
    </xf>
    <xf borderId="5" fillId="0" fontId="13" numFmtId="0" xfId="0" applyAlignment="1" applyBorder="1" applyFont="1">
      <alignment horizontal="left" readingOrder="0"/>
    </xf>
    <xf borderId="7" fillId="0" fontId="13" numFmtId="0" xfId="0" applyAlignment="1" applyBorder="1" applyFont="1">
      <alignment horizontal="left" readingOrder="0"/>
    </xf>
    <xf borderId="16" fillId="0" fontId="8" numFmtId="0" xfId="0" applyBorder="1" applyFont="1"/>
    <xf borderId="15" fillId="0" fontId="13" numFmtId="0" xfId="0" applyAlignment="1" applyBorder="1" applyFont="1">
      <alignment horizontal="left"/>
    </xf>
    <xf borderId="22" fillId="17" fontId="8" numFmtId="0" xfId="0" applyBorder="1" applyFont="1"/>
    <xf borderId="0" fillId="0" fontId="13" numFmtId="164" xfId="0" applyAlignment="1" applyFont="1" applyNumberFormat="1">
      <alignment horizontal="center" readingOrder="0"/>
    </xf>
    <xf borderId="0" fillId="18" fontId="16" numFmtId="0" xfId="0" applyAlignment="1" applyFill="1" applyFont="1">
      <alignment readingOrder="0"/>
    </xf>
    <xf borderId="12" fillId="0" fontId="13" numFmtId="0" xfId="0" applyAlignment="1" applyBorder="1" applyFont="1">
      <alignment horizontal="left"/>
    </xf>
    <xf borderId="12" fillId="0" fontId="13" numFmtId="0" xfId="0" applyAlignment="1" applyBorder="1" applyFont="1">
      <alignment horizontal="left"/>
    </xf>
    <xf borderId="13" fillId="0" fontId="13" numFmtId="0" xfId="0" applyAlignment="1" applyBorder="1" applyFont="1">
      <alignment readingOrder="0" shrinkToFit="0" wrapText="1"/>
    </xf>
    <xf borderId="15" fillId="0" fontId="13" numFmtId="0" xfId="0" applyAlignment="1" applyBorder="1" applyFont="1">
      <alignment readingOrder="0" shrinkToFit="0" wrapText="1"/>
    </xf>
    <xf borderId="16" fillId="0" fontId="13" numFmtId="0" xfId="0" applyAlignment="1" applyBorder="1" applyFont="1">
      <alignment horizontal="center"/>
    </xf>
    <xf borderId="17" fillId="0" fontId="13" numFmtId="0" xfId="0" applyAlignment="1" applyBorder="1" applyFont="1">
      <alignment horizontal="left" readingOrder="0"/>
    </xf>
    <xf borderId="12" fillId="0" fontId="13" numFmtId="0" xfId="0" applyAlignment="1" applyBorder="1" applyFont="1">
      <alignment readingOrder="0" shrinkToFit="0" wrapText="1"/>
    </xf>
    <xf borderId="0" fillId="0" fontId="59" numFmtId="0" xfId="0" applyAlignment="1" applyFont="1">
      <alignment readingOrder="0"/>
    </xf>
    <xf borderId="0" fillId="0" fontId="13" numFmtId="0" xfId="0" applyAlignment="1" applyFont="1">
      <alignment horizontal="left"/>
    </xf>
    <xf borderId="19" fillId="9" fontId="60" numFmtId="0" xfId="0" applyAlignment="1" applyBorder="1" applyFont="1">
      <alignment readingOrder="0" shrinkToFit="0" vertical="bottom" wrapText="1"/>
    </xf>
    <xf borderId="34" fillId="0" fontId="61" numFmtId="0" xfId="0" applyAlignment="1" applyBorder="1" applyFont="1">
      <alignment horizontal="center" readingOrder="0" vertical="bottom"/>
    </xf>
    <xf borderId="34" fillId="0" fontId="26" numFmtId="0" xfId="0" applyAlignment="1" applyBorder="1" applyFont="1">
      <alignment vertical="bottom"/>
    </xf>
    <xf borderId="90" fillId="9" fontId="62" numFmtId="0" xfId="0" applyAlignment="1" applyBorder="1" applyFont="1">
      <alignment readingOrder="0" vertical="bottom"/>
    </xf>
    <xf borderId="91" fillId="0" fontId="2" numFmtId="0" xfId="0" applyBorder="1" applyFont="1"/>
    <xf borderId="92" fillId="0" fontId="61" numFmtId="0" xfId="0" applyAlignment="1" applyBorder="1" applyFont="1">
      <alignment horizontal="center" readingOrder="0" vertical="bottom"/>
    </xf>
    <xf borderId="92" fillId="0" fontId="26" numFmtId="0" xfId="0" applyAlignment="1" applyBorder="1" applyFont="1">
      <alignment vertical="bottom"/>
    </xf>
    <xf borderId="93" fillId="9" fontId="63" numFmtId="0" xfId="0" applyAlignment="1" applyBorder="1" applyFont="1">
      <alignment readingOrder="0" vertical="bottom"/>
    </xf>
    <xf borderId="94" fillId="0" fontId="2" numFmtId="0" xfId="0" applyBorder="1" applyFont="1"/>
    <xf borderId="72" fillId="0" fontId="61" numFmtId="0" xfId="0" applyAlignment="1" applyBorder="1" applyFont="1">
      <alignment horizontal="center" readingOrder="0" vertical="bottom"/>
    </xf>
    <xf borderId="72" fillId="0" fontId="26" numFmtId="0" xfId="0" applyAlignment="1" applyBorder="1" applyFont="1">
      <alignment vertical="bottom"/>
    </xf>
    <xf borderId="19" fillId="9" fontId="63" numFmtId="0" xfId="0" applyAlignment="1" applyBorder="1" applyFont="1">
      <alignment readingOrder="0" vertical="bottom"/>
    </xf>
    <xf borderId="1" fillId="0" fontId="13" numFmtId="0" xfId="0" applyAlignment="1" applyBorder="1" applyFont="1">
      <alignment readingOrder="0"/>
    </xf>
    <xf borderId="2" fillId="0" fontId="13" numFmtId="0" xfId="0" applyAlignment="1" applyBorder="1" applyFont="1">
      <alignment readingOrder="0"/>
    </xf>
    <xf borderId="5" fillId="0" fontId="13" numFmtId="0" xfId="0" applyAlignment="1" applyBorder="1" applyFont="1">
      <alignment readingOrder="0" shrinkToFit="0" wrapText="1"/>
    </xf>
    <xf borderId="7" fillId="0" fontId="13" numFmtId="0" xfId="0" applyAlignment="1" applyBorder="1" applyFont="1">
      <alignment readingOrder="0" shrinkToFit="0" wrapText="1"/>
    </xf>
    <xf borderId="0" fillId="0" fontId="13" numFmtId="164" xfId="0" applyAlignment="1" applyFont="1" applyNumberFormat="1">
      <alignment horizontal="center" readingOrder="0" shrinkToFit="0" wrapText="1"/>
    </xf>
    <xf borderId="16" fillId="0" fontId="13" numFmtId="0" xfId="0" applyAlignment="1" applyBorder="1" applyFont="1">
      <alignment shrinkToFit="0" wrapText="1"/>
    </xf>
    <xf borderId="17" fillId="0" fontId="13" numFmtId="0" xfId="0" applyAlignment="1" applyBorder="1" applyFont="1">
      <alignment shrinkToFit="0" wrapText="1"/>
    </xf>
    <xf borderId="15" fillId="0" fontId="13" numFmtId="0" xfId="0" applyAlignment="1" applyBorder="1" applyFont="1">
      <alignment horizontal="left"/>
    </xf>
    <xf borderId="16" fillId="0" fontId="13" numFmtId="0" xfId="0" applyAlignment="1" applyBorder="1" applyFont="1">
      <alignment horizontal="left" readingOrder="0"/>
    </xf>
    <xf borderId="16" fillId="0" fontId="13" numFmtId="164" xfId="0" applyAlignment="1" applyBorder="1" applyFont="1" applyNumberFormat="1">
      <alignment horizontal="center" readingOrder="0" shrinkToFit="0" wrapText="1"/>
    </xf>
    <xf borderId="17" fillId="0" fontId="13" numFmtId="0" xfId="0" applyAlignment="1" applyBorder="1" applyFont="1">
      <alignment horizontal="left" readingOrder="0" shrinkToFit="0" wrapText="1"/>
    </xf>
    <xf borderId="95" fillId="0" fontId="13" numFmtId="0" xfId="0" applyBorder="1" applyFont="1"/>
    <xf borderId="19" fillId="0" fontId="25" numFmtId="0" xfId="0" applyAlignment="1" applyBorder="1" applyFont="1">
      <alignment readingOrder="0"/>
    </xf>
    <xf borderId="47" fillId="0" fontId="13" numFmtId="0" xfId="0" applyAlignment="1" applyBorder="1" applyFont="1">
      <alignment readingOrder="0"/>
    </xf>
    <xf borderId="36" fillId="0" fontId="2" numFmtId="0" xfId="0" applyBorder="1" applyFont="1"/>
    <xf borderId="40" fillId="0" fontId="13" numFmtId="0" xfId="0" applyAlignment="1" applyBorder="1" applyFont="1">
      <alignment readingOrder="0"/>
    </xf>
    <xf borderId="36" fillId="0" fontId="13" numFmtId="0" xfId="0" applyAlignment="1" applyBorder="1" applyFont="1">
      <alignment readingOrder="0"/>
    </xf>
    <xf borderId="47" fillId="0" fontId="13" numFmtId="0" xfId="0" applyAlignment="1" applyBorder="1" applyFont="1">
      <alignment horizontal="left" readingOrder="0"/>
    </xf>
    <xf borderId="36" fillId="0" fontId="13" numFmtId="0" xfId="0" applyAlignment="1" applyBorder="1" applyFont="1">
      <alignment horizontal="center"/>
    </xf>
    <xf borderId="36" fillId="0" fontId="13" numFmtId="0" xfId="0" applyAlignment="1" applyBorder="1" applyFont="1">
      <alignment horizontal="left"/>
    </xf>
    <xf borderId="64" fillId="0" fontId="13" numFmtId="0" xfId="0" applyAlignment="1" applyBorder="1" applyFont="1">
      <alignment horizontal="left"/>
    </xf>
    <xf borderId="64" fillId="0" fontId="13" numFmtId="0" xfId="0" applyAlignment="1" applyBorder="1" applyFont="1">
      <alignment horizontal="left" readingOrder="0"/>
    </xf>
    <xf borderId="19" fillId="10" fontId="64" numFmtId="0" xfId="0" applyAlignment="1" applyBorder="1" applyFont="1">
      <alignment horizontal="center" vertical="bottom"/>
    </xf>
    <xf borderId="19" fillId="0" fontId="64" numFmtId="0" xfId="0" applyAlignment="1" applyBorder="1" applyFont="1">
      <alignment readingOrder="0" vertical="bottom"/>
    </xf>
    <xf borderId="19" fillId="11" fontId="64" numFmtId="0" xfId="0" applyAlignment="1" applyBorder="1" applyFont="1">
      <alignment vertical="bottom"/>
    </xf>
    <xf borderId="40" fillId="0" fontId="13" numFmtId="0" xfId="0" applyAlignment="1" applyBorder="1" applyFont="1">
      <alignment horizontal="left" readingOrder="0"/>
    </xf>
    <xf borderId="38" fillId="0" fontId="13" numFmtId="0" xfId="0" applyAlignment="1" applyBorder="1" applyFont="1">
      <alignment horizontal="center"/>
    </xf>
    <xf borderId="38" fillId="0" fontId="13" numFmtId="0" xfId="0" applyAlignment="1" applyBorder="1" applyFont="1">
      <alignment horizontal="left" readingOrder="0"/>
    </xf>
    <xf borderId="6" fillId="4" fontId="6" numFmtId="0" xfId="0" applyAlignment="1" applyBorder="1" applyFont="1">
      <alignment horizontal="center" readingOrder="0"/>
    </xf>
    <xf borderId="6" fillId="4" fontId="7" numFmtId="0" xfId="0" applyAlignment="1" applyBorder="1" applyFont="1">
      <alignment horizontal="center" readingOrder="0"/>
    </xf>
    <xf borderId="5" fillId="0" fontId="65" numFmtId="0" xfId="0" applyAlignment="1" applyBorder="1" applyFont="1">
      <alignment horizontal="center" readingOrder="0" vertical="center"/>
    </xf>
    <xf borderId="0" fillId="0" fontId="52" numFmtId="0" xfId="0" applyAlignment="1" applyFont="1">
      <alignment horizontal="left" readingOrder="0"/>
    </xf>
    <xf borderId="15" fillId="0" fontId="11" numFmtId="0" xfId="0" applyAlignment="1" applyBorder="1" applyFont="1">
      <alignment horizontal="left" readingOrder="0"/>
    </xf>
    <xf borderId="17" fillId="0" fontId="9" numFmtId="0" xfId="0" applyAlignment="1" applyBorder="1" applyFont="1">
      <alignment horizontal="left" readingOrder="0"/>
    </xf>
    <xf borderId="12" fillId="0" fontId="8" numFmtId="0" xfId="0" applyAlignment="1" applyBorder="1" applyFont="1">
      <alignment readingOrder="0"/>
    </xf>
    <xf borderId="12" fillId="0" fontId="66" numFmtId="0" xfId="0" applyAlignment="1" applyBorder="1" applyFont="1">
      <alignment readingOrder="0"/>
    </xf>
    <xf borderId="0" fillId="0" fontId="66" numFmtId="0" xfId="0" applyAlignment="1" applyFont="1">
      <alignment readingOrder="0"/>
    </xf>
    <xf borderId="13" fillId="0" fontId="66" numFmtId="0" xfId="0" applyAlignment="1" applyBorder="1" applyFont="1">
      <alignment readingOrder="0"/>
    </xf>
    <xf borderId="13" fillId="0" fontId="66" numFmtId="0" xfId="0" applyBorder="1" applyFont="1"/>
    <xf borderId="16" fillId="0" fontId="13" numFmtId="0" xfId="0" applyBorder="1" applyFont="1"/>
    <xf borderId="12" fillId="0" fontId="66" numFmtId="0" xfId="0" applyBorder="1" applyFont="1"/>
    <xf borderId="0" fillId="0" fontId="66" numFmtId="0" xfId="0" applyFont="1"/>
    <xf borderId="1" fillId="0" fontId="13" numFmtId="0" xfId="0" applyAlignment="1" applyBorder="1" applyFont="1">
      <alignment horizontal="left" readingOrder="0"/>
    </xf>
    <xf borderId="2" fillId="0" fontId="13" numFmtId="0" xfId="0" applyAlignment="1" applyBorder="1" applyFont="1">
      <alignment horizontal="left" readingOrder="0"/>
    </xf>
    <xf borderId="0" fillId="0" fontId="49" numFmtId="0" xfId="0" applyAlignment="1" applyFont="1">
      <alignment readingOrder="0"/>
    </xf>
    <xf borderId="47" fillId="0" fontId="13" numFmtId="0" xfId="0" applyAlignment="1" applyBorder="1" applyFont="1">
      <alignment horizontal="center" readingOrder="0"/>
    </xf>
    <xf borderId="49" fillId="0" fontId="13" numFmtId="0" xfId="0" applyAlignment="1" applyBorder="1" applyFont="1">
      <alignment horizontal="left" readingOrder="0"/>
    </xf>
    <xf borderId="34" fillId="0" fontId="67" numFmtId="0" xfId="0" applyAlignment="1" applyBorder="1" applyFont="1">
      <alignment horizontal="center" vertical="bottom"/>
    </xf>
    <xf borderId="64" fillId="0" fontId="13" numFmtId="0" xfId="0" applyAlignment="1" applyBorder="1" applyFont="1">
      <alignment horizontal="center" readingOrder="0"/>
    </xf>
    <xf borderId="15" fillId="0" fontId="41" numFmtId="0" xfId="0" applyAlignment="1" applyBorder="1" applyFont="1">
      <alignment readingOrder="0" shrinkToFit="0" wrapText="1"/>
    </xf>
    <xf borderId="17" fillId="0" fontId="41" numFmtId="0" xfId="0" applyAlignment="1" applyBorder="1" applyFont="1">
      <alignment readingOrder="0"/>
    </xf>
    <xf borderId="19" fillId="9" fontId="62" numFmtId="0" xfId="0" applyAlignment="1" applyBorder="1" applyFont="1">
      <alignment readingOrder="0" vertical="bottom"/>
    </xf>
    <xf borderId="0" fillId="0" fontId="19" numFmtId="0" xfId="0" applyAlignment="1" applyFont="1">
      <alignment horizontal="left" readingOrder="0"/>
    </xf>
    <xf borderId="0" fillId="0" fontId="20" numFmtId="0" xfId="0" applyAlignment="1" applyFont="1">
      <alignment horizontal="left" readingOrder="0"/>
    </xf>
    <xf borderId="0" fillId="0" fontId="68" numFmtId="0" xfId="0" applyAlignment="1" applyFont="1">
      <alignment readingOrder="0"/>
    </xf>
    <xf borderId="15" fillId="0" fontId="66" numFmtId="0" xfId="0" applyAlignment="1" applyBorder="1" applyFont="1">
      <alignment readingOrder="0"/>
    </xf>
    <xf borderId="16" fillId="0" fontId="66" numFmtId="0" xfId="0" applyAlignment="1" applyBorder="1" applyFont="1">
      <alignment readingOrder="0"/>
    </xf>
    <xf borderId="96" fillId="0" fontId="69" numFmtId="0" xfId="0" applyAlignment="1" applyBorder="1" applyFont="1">
      <alignment horizontal="left" readingOrder="0" vertical="bottom"/>
    </xf>
    <xf borderId="97" fillId="0" fontId="10" numFmtId="0" xfId="0" applyAlignment="1" applyBorder="1" applyFont="1">
      <alignment horizontal="center" readingOrder="0"/>
    </xf>
    <xf borderId="98" fillId="0" fontId="70" numFmtId="0" xfId="0" applyAlignment="1" applyBorder="1" applyFont="1">
      <alignment horizontal="left" readingOrder="0" vertical="bottom"/>
    </xf>
    <xf borderId="20" fillId="0" fontId="9" numFmtId="0" xfId="0" applyAlignment="1" applyBorder="1" applyFont="1">
      <alignment horizontal="center" vertical="bottom"/>
    </xf>
    <xf borderId="99" fillId="0" fontId="70" numFmtId="0" xfId="0" applyAlignment="1" applyBorder="1" applyFont="1">
      <alignment readingOrder="0" vertical="bottom"/>
    </xf>
    <xf borderId="100" fillId="0" fontId="71" numFmtId="0" xfId="0" applyAlignment="1" applyBorder="1" applyFont="1">
      <alignment readingOrder="0" vertical="bottom"/>
    </xf>
    <xf borderId="101" fillId="0" fontId="13" numFmtId="0" xfId="0" applyAlignment="1" applyBorder="1" applyFont="1">
      <alignment readingOrder="0"/>
    </xf>
    <xf borderId="102" fillId="0" fontId="13" numFmtId="0" xfId="0" applyAlignment="1" applyBorder="1" applyFont="1">
      <alignment readingOrder="0"/>
    </xf>
    <xf borderId="103" fillId="0" fontId="11" numFmtId="0" xfId="0" applyAlignment="1" applyBorder="1" applyFont="1">
      <alignment readingOrder="0"/>
    </xf>
    <xf borderId="104" fillId="0" fontId="13" numFmtId="0" xfId="0" applyAlignment="1" applyBorder="1" applyFont="1">
      <alignment readingOrder="0"/>
    </xf>
    <xf borderId="47" fillId="9" fontId="63" numFmtId="0" xfId="0" applyAlignment="1" applyBorder="1" applyFont="1">
      <alignment readingOrder="0" vertical="bottom"/>
    </xf>
    <xf borderId="35" fillId="0" fontId="61" numFmtId="0" xfId="0" applyAlignment="1" applyBorder="1" applyFont="1">
      <alignment horizontal="center" readingOrder="0" vertical="bottom"/>
    </xf>
    <xf borderId="35" fillId="0" fontId="26" numFmtId="0" xfId="0" applyAlignment="1" applyBorder="1" applyFont="1">
      <alignment vertical="bottom"/>
    </xf>
    <xf borderId="105" fillId="0" fontId="72" numFmtId="0" xfId="0" applyAlignment="1" applyBorder="1" applyFont="1">
      <alignment readingOrder="0"/>
    </xf>
    <xf borderId="4" fillId="0" fontId="13" numFmtId="0" xfId="0" applyBorder="1" applyFont="1"/>
    <xf borderId="106" fillId="0" fontId="72" numFmtId="0" xfId="0" applyAlignment="1" applyBorder="1" applyFont="1">
      <alignment readingOrder="0"/>
    </xf>
    <xf borderId="107" fillId="0" fontId="73" numFmtId="0" xfId="0" applyAlignment="1" applyBorder="1" applyFont="1">
      <alignment readingOrder="0"/>
    </xf>
    <xf borderId="108" fillId="0" fontId="74" numFmtId="0" xfId="0" applyAlignment="1" applyBorder="1" applyFont="1">
      <alignment readingOrder="0"/>
    </xf>
    <xf borderId="19" fillId="9" fontId="75" numFmtId="0" xfId="0" applyAlignment="1" applyBorder="1" applyFont="1">
      <alignment readingOrder="0"/>
    </xf>
    <xf borderId="34" fillId="0" fontId="36" numFmtId="0" xfId="0" applyAlignment="1" applyBorder="1" applyFont="1">
      <alignment horizontal="center" readingOrder="0"/>
    </xf>
    <xf borderId="105" fillId="0" fontId="72" numFmtId="0" xfId="0" applyAlignment="1" applyBorder="1" applyFont="1">
      <alignment readingOrder="0" shrinkToFit="0" wrapText="1"/>
    </xf>
    <xf borderId="106" fillId="0" fontId="73" numFmtId="0" xfId="0" applyAlignment="1" applyBorder="1" applyFont="1">
      <alignment readingOrder="0" shrinkToFit="0" wrapText="1"/>
    </xf>
    <xf borderId="109" fillId="0" fontId="74" numFmtId="0" xfId="0" applyAlignment="1" applyBorder="1" applyFont="1">
      <alignment readingOrder="0" shrinkToFit="0" wrapText="1"/>
    </xf>
    <xf borderId="13" fillId="0" fontId="13" numFmtId="0" xfId="0" applyAlignment="1" applyBorder="1" applyFont="1">
      <alignment horizontal="left"/>
    </xf>
    <xf borderId="110" fillId="0" fontId="73" numFmtId="0" xfId="0" applyAlignment="1" applyBorder="1" applyFont="1">
      <alignment readingOrder="0" shrinkToFit="0" wrapText="1"/>
    </xf>
    <xf borderId="111" fillId="0" fontId="73" numFmtId="0" xfId="0" applyAlignment="1" applyBorder="1" applyFont="1">
      <alignment readingOrder="0" shrinkToFit="0" wrapText="1"/>
    </xf>
    <xf borderId="17" fillId="0" fontId="13" numFmtId="0" xfId="0" applyAlignment="1" applyBorder="1" applyFont="1">
      <alignment horizontal="left"/>
    </xf>
    <xf borderId="105" fillId="0" fontId="76" numFmtId="0" xfId="0" applyAlignment="1" applyBorder="1" applyFont="1">
      <alignment readingOrder="0"/>
    </xf>
    <xf borderId="40" fillId="0" fontId="13" numFmtId="0" xfId="0" applyAlignment="1" applyBorder="1" applyFont="1">
      <alignment horizontal="center" readingOrder="0"/>
    </xf>
    <xf borderId="105" fillId="0" fontId="77" numFmtId="0" xfId="0" applyAlignment="1" applyBorder="1" applyFont="1">
      <alignment readingOrder="0"/>
    </xf>
    <xf borderId="112" fillId="0" fontId="72" numFmtId="0" xfId="0" applyAlignment="1" applyBorder="1" applyFont="1">
      <alignment readingOrder="0" shrinkToFit="0" wrapText="1"/>
    </xf>
    <xf borderId="16" fillId="0" fontId="13" numFmtId="0" xfId="0" applyAlignment="1" applyBorder="1" applyFont="1">
      <alignment horizontal="left"/>
    </xf>
    <xf borderId="0" fillId="0" fontId="52" numFmtId="0" xfId="0" applyFont="1"/>
    <xf borderId="13" fillId="0" fontId="13" numFmtId="0" xfId="0" applyAlignment="1" applyBorder="1" applyFont="1">
      <alignment horizontal="left"/>
    </xf>
    <xf borderId="15" fillId="0" fontId="13" numFmtId="0" xfId="0" applyAlignment="1" applyBorder="1" applyFont="1">
      <alignment horizontal="left" readingOrder="0" shrinkToFit="0" wrapText="1"/>
    </xf>
    <xf borderId="19" fillId="0" fontId="43" numFmtId="0" xfId="0" applyAlignment="1" applyBorder="1" applyFont="1">
      <alignment readingOrder="0" shrinkToFit="0" vertical="bottom" wrapText="1"/>
    </xf>
    <xf borderId="0" fillId="0" fontId="13" numFmtId="164" xfId="0" applyFont="1" applyNumberFormat="1"/>
    <xf borderId="40" fillId="0" fontId="64" numFmtId="0" xfId="0" applyAlignment="1" applyBorder="1" applyFont="1">
      <alignment readingOrder="0" vertical="bottom"/>
    </xf>
    <xf borderId="40" fillId="0" fontId="64" numFmtId="0" xfId="0" applyAlignment="1" applyBorder="1" applyFont="1">
      <alignment vertical="bottom"/>
    </xf>
    <xf borderId="1" fillId="2" fontId="1" numFmtId="0" xfId="0" applyAlignment="1" applyBorder="1" applyFont="1">
      <alignment readingOrder="0" shrinkToFit="0" wrapText="1"/>
    </xf>
    <xf borderId="2" fillId="2" fontId="1" numFmtId="0" xfId="0" applyAlignment="1" applyBorder="1" applyFont="1">
      <alignment readingOrder="0" shrinkToFit="0" wrapText="1"/>
    </xf>
    <xf borderId="41" fillId="3" fontId="4" numFmtId="0" xfId="0" applyAlignment="1" applyBorder="1" applyFont="1">
      <alignment horizontal="left" readingOrder="0"/>
    </xf>
    <xf borderId="0" fillId="0" fontId="78" numFmtId="0" xfId="0" applyAlignment="1" applyFont="1">
      <alignment horizontal="center" readingOrder="0"/>
    </xf>
    <xf borderId="0" fillId="0" fontId="79" numFmtId="0" xfId="0" applyAlignment="1" applyFont="1">
      <alignment readingOrder="0" vertical="bottom"/>
    </xf>
    <xf borderId="13" fillId="0" fontId="11" numFmtId="0" xfId="0" applyAlignment="1" applyBorder="1" applyFont="1">
      <alignment horizontal="center" readingOrder="0"/>
    </xf>
    <xf borderId="5" fillId="0" fontId="52" numFmtId="0" xfId="0" applyAlignment="1" applyBorder="1" applyFont="1">
      <alignment horizontal="left" readingOrder="0"/>
    </xf>
    <xf borderId="7" fillId="0" fontId="52" numFmtId="0" xfId="0" applyAlignment="1" applyBorder="1" applyFont="1">
      <alignment readingOrder="0"/>
    </xf>
    <xf borderId="0" fillId="0" fontId="80" numFmtId="0" xfId="0" applyAlignment="1" applyFont="1">
      <alignment readingOrder="0"/>
    </xf>
    <xf borderId="0" fillId="0" fontId="81" numFmtId="0" xfId="0" applyAlignment="1" applyFont="1">
      <alignment readingOrder="0" shrinkToFit="0" wrapText="1"/>
    </xf>
    <xf borderId="16" fillId="0" fontId="11" numFmtId="0" xfId="0" applyAlignment="1" applyBorder="1" applyFont="1">
      <alignment horizontal="center"/>
    </xf>
    <xf borderId="17" fillId="0" fontId="11" numFmtId="0" xfId="0" applyAlignment="1" applyBorder="1" applyFont="1">
      <alignment horizontal="center" readingOrder="0"/>
    </xf>
    <xf borderId="12" fillId="0" fontId="52" numFmtId="0" xfId="0" applyAlignment="1" applyBorder="1" applyFont="1">
      <alignment horizontal="left"/>
    </xf>
    <xf borderId="13" fillId="0" fontId="52" numFmtId="0" xfId="0" applyAlignment="1" applyBorder="1" applyFont="1">
      <alignment readingOrder="0"/>
    </xf>
    <xf borderId="0" fillId="0" fontId="52" numFmtId="0" xfId="0" applyAlignment="1" applyFont="1">
      <alignment horizontal="left"/>
    </xf>
    <xf borderId="15" fillId="0" fontId="52" numFmtId="0" xfId="0" applyAlignment="1" applyBorder="1" applyFont="1">
      <alignment horizontal="left"/>
    </xf>
    <xf borderId="16" fillId="0" fontId="52" numFmtId="0" xfId="0" applyBorder="1" applyFont="1"/>
    <xf borderId="17" fillId="0" fontId="52" numFmtId="0" xfId="0" applyAlignment="1" applyBorder="1" applyFont="1">
      <alignment readingOrder="0"/>
    </xf>
    <xf borderId="12" fillId="0" fontId="52" numFmtId="0" xfId="0" applyAlignment="1" applyBorder="1" applyFont="1">
      <alignment horizontal="left" readingOrder="0"/>
    </xf>
    <xf borderId="15" fillId="0" fontId="52" numFmtId="0" xfId="0" applyAlignment="1" applyBorder="1" applyFont="1">
      <alignment horizontal="left" readingOrder="0"/>
    </xf>
    <xf borderId="16" fillId="0" fontId="52" numFmtId="0" xfId="0" applyBorder="1" applyFont="1"/>
    <xf borderId="17" fillId="0" fontId="52" numFmtId="0" xfId="0" applyBorder="1" applyFont="1"/>
    <xf borderId="15" fillId="2" fontId="1" numFmtId="0" xfId="0" applyAlignment="1" applyBorder="1" applyFont="1">
      <alignment readingOrder="0" shrinkToFit="0" wrapText="1"/>
    </xf>
    <xf borderId="16" fillId="2" fontId="1" numFmtId="0" xfId="0" applyAlignment="1" applyBorder="1" applyFont="1">
      <alignment readingOrder="0" shrinkToFit="0" wrapText="1"/>
    </xf>
    <xf borderId="18" fillId="2" fontId="1" numFmtId="0" xfId="0" applyAlignment="1" applyBorder="1" applyFont="1">
      <alignment readingOrder="0" shrinkToFit="0" wrapText="1"/>
    </xf>
    <xf borderId="0" fillId="0" fontId="52" numFmtId="0" xfId="0" applyAlignment="1" applyFont="1">
      <alignment horizontal="left"/>
    </xf>
    <xf borderId="0" fillId="0" fontId="52" numFmtId="0" xfId="0" applyFont="1"/>
    <xf borderId="0" fillId="0" fontId="20" numFmtId="0" xfId="0" applyAlignment="1" applyFont="1">
      <alignment readingOrder="0"/>
    </xf>
    <xf borderId="113" fillId="0" fontId="82" numFmtId="0" xfId="0" applyAlignment="1" applyBorder="1" applyFont="1">
      <alignment horizontal="left" readingOrder="0" vertical="bottom"/>
    </xf>
    <xf borderId="114" fillId="0" fontId="10" numFmtId="0" xfId="0" applyAlignment="1" applyBorder="1" applyFont="1">
      <alignment horizontal="center" readingOrder="0"/>
    </xf>
    <xf borderId="115" fillId="0" fontId="69" numFmtId="0" xfId="0" applyAlignment="1" applyBorder="1" applyFont="1">
      <alignment readingOrder="0" vertical="bottom"/>
    </xf>
    <xf borderId="101" fillId="0" fontId="70" numFmtId="0" xfId="0" applyAlignment="1" applyBorder="1" applyFont="1">
      <alignment readingOrder="0" vertical="bottom"/>
    </xf>
    <xf borderId="116" fillId="0" fontId="83" numFmtId="0" xfId="0" applyAlignment="1" applyBorder="1" applyFont="1">
      <alignment horizontal="left" readingOrder="0" vertical="bottom"/>
    </xf>
    <xf borderId="20" fillId="0" fontId="26" numFmtId="0" xfId="0" applyAlignment="1" applyBorder="1" applyFont="1">
      <alignment vertical="bottom"/>
    </xf>
    <xf borderId="117" fillId="0" fontId="70" numFmtId="0" xfId="0" applyAlignment="1" applyBorder="1" applyFont="1">
      <alignment readingOrder="0" vertical="bottom"/>
    </xf>
    <xf borderId="20" fillId="0" fontId="26" numFmtId="0" xfId="0" applyAlignment="1" applyBorder="1" applyFont="1">
      <alignment vertical="bottom"/>
    </xf>
    <xf borderId="105" fillId="0" fontId="71" numFmtId="0" xfId="0" applyAlignment="1" applyBorder="1" applyFont="1">
      <alignment readingOrder="0" vertical="bottom"/>
    </xf>
    <xf borderId="0" fillId="0" fontId="81" numFmtId="0" xfId="0" applyAlignment="1" applyFont="1">
      <alignment readingOrder="0"/>
    </xf>
    <xf borderId="116" fillId="0" fontId="69" numFmtId="0" xfId="0" applyAlignment="1" applyBorder="1" applyFont="1">
      <alignment horizontal="left" readingOrder="0" vertical="bottom"/>
    </xf>
    <xf borderId="118" fillId="0" fontId="84" numFmtId="0" xfId="0" applyAlignment="1" applyBorder="1" applyFont="1">
      <alignment readingOrder="0" vertical="bottom"/>
    </xf>
    <xf borderId="112" fillId="0" fontId="84" numFmtId="0" xfId="0" applyAlignment="1" applyBorder="1" applyFont="1">
      <alignment readingOrder="0"/>
    </xf>
    <xf borderId="119" fillId="0" fontId="85" numFmtId="0" xfId="0" applyAlignment="1" applyBorder="1" applyFont="1">
      <alignment horizontal="left" readingOrder="0"/>
    </xf>
    <xf borderId="0" fillId="0" fontId="86" numFmtId="0" xfId="0" applyAlignment="1" applyFont="1">
      <alignment horizontal="center" readingOrder="0" textRotation="135"/>
    </xf>
    <xf borderId="0" fillId="0" fontId="87" numFmtId="0" xfId="0" applyAlignment="1" applyFont="1">
      <alignment readingOrder="0"/>
    </xf>
    <xf borderId="0" fillId="0" fontId="88" numFmtId="0" xfId="0" applyFont="1"/>
    <xf borderId="0" fillId="0" fontId="87" numFmtId="0" xfId="0" applyAlignment="1" applyFont="1">
      <alignment readingOrder="0"/>
    </xf>
    <xf borderId="13" fillId="0" fontId="52" numFmtId="0" xfId="0" applyBorder="1" applyFont="1"/>
    <xf borderId="17" fillId="0" fontId="52" numFmtId="0" xfId="0" applyBorder="1" applyFont="1"/>
    <xf borderId="12" fillId="0" fontId="52" numFmtId="0" xfId="0" applyAlignment="1" applyBorder="1" applyFont="1">
      <alignment horizontal="left" readingOrder="0" shrinkToFit="0" wrapText="1"/>
    </xf>
    <xf borderId="13" fillId="0" fontId="52" numFmtId="0" xfId="0" applyBorder="1" applyFont="1"/>
    <xf borderId="15" fillId="0" fontId="52" numFmtId="0" xfId="0" applyAlignment="1" applyBorder="1" applyFont="1">
      <alignment horizontal="left"/>
    </xf>
    <xf borderId="113" fillId="0" fontId="89" numFmtId="0" xfId="0" applyAlignment="1" applyBorder="1" applyFont="1">
      <alignment horizontal="left" readingOrder="0" vertical="bottom"/>
    </xf>
    <xf borderId="114" fillId="0" fontId="90" numFmtId="0" xfId="0" applyAlignment="1" applyBorder="1" applyFont="1">
      <alignment horizontal="center" readingOrder="0"/>
    </xf>
    <xf borderId="103" fillId="0" fontId="91" numFmtId="0" xfId="0" applyAlignment="1" applyBorder="1" applyFont="1">
      <alignment readingOrder="0" vertical="bottom"/>
    </xf>
    <xf borderId="20" fillId="0" fontId="11" numFmtId="0" xfId="0" applyAlignment="1" applyBorder="1" applyFont="1">
      <alignment horizontal="center" vertical="bottom"/>
    </xf>
    <xf borderId="120" fillId="0" fontId="92" numFmtId="0" xfId="0" applyAlignment="1" applyBorder="1" applyFont="1">
      <alignment readingOrder="0" vertical="bottom"/>
    </xf>
    <xf borderId="116" fillId="0" fontId="89" numFmtId="0" xfId="0" applyAlignment="1" applyBorder="1" applyFont="1">
      <alignment horizontal="left" readingOrder="0" vertical="bottom"/>
    </xf>
    <xf borderId="20" fillId="0" fontId="11" numFmtId="0" xfId="0" applyAlignment="1" applyBorder="1" applyFont="1">
      <alignment vertical="bottom"/>
    </xf>
    <xf borderId="107" fillId="0" fontId="92" numFmtId="0" xfId="0" applyAlignment="1" applyBorder="1" applyFont="1">
      <alignment readingOrder="0" vertical="bottom"/>
    </xf>
    <xf borderId="20" fillId="0" fontId="11" numFmtId="0" xfId="0" applyAlignment="1" applyBorder="1" applyFont="1">
      <alignment vertical="bottom"/>
    </xf>
    <xf borderId="107" fillId="0" fontId="93" numFmtId="0" xfId="0" applyBorder="1" applyFont="1"/>
    <xf borderId="116" fillId="0" fontId="94" numFmtId="0" xfId="0" applyAlignment="1" applyBorder="1" applyFont="1">
      <alignment horizontal="left" readingOrder="0"/>
    </xf>
    <xf borderId="107" fillId="0" fontId="93" numFmtId="0" xfId="0" applyAlignment="1" applyBorder="1" applyFont="1">
      <alignment readingOrder="0"/>
    </xf>
    <xf borderId="119" fillId="0" fontId="95" numFmtId="0" xfId="0" applyAlignment="1" applyBorder="1" applyFont="1">
      <alignment horizontal="left" readingOrder="0"/>
    </xf>
    <xf borderId="111" fillId="0" fontId="93" numFmtId="0" xfId="0" applyAlignment="1" applyBorder="1" applyFont="1">
      <alignment readingOrder="0" shrinkToFit="0" wrapText="1"/>
    </xf>
    <xf borderId="17" fillId="0" fontId="13" numFmtId="0" xfId="0" applyAlignment="1" applyBorder="1" applyFont="1">
      <alignment readingOrder="0" shrinkToFit="0" wrapText="1"/>
    </xf>
    <xf borderId="1" fillId="0" fontId="52" numFmtId="0" xfId="0" applyAlignment="1" applyBorder="1" applyFont="1">
      <alignment horizontal="left" readingOrder="0"/>
    </xf>
    <xf borderId="1" fillId="0" fontId="13" numFmtId="0" xfId="0" applyAlignment="1" applyBorder="1" applyFont="1">
      <alignment readingOrder="0" shrinkToFit="0" wrapText="1"/>
    </xf>
    <xf borderId="2" fillId="0" fontId="13" numFmtId="0" xfId="0" applyAlignment="1" applyBorder="1" applyFont="1">
      <alignment readingOrder="0" shrinkToFit="0" wrapText="1"/>
    </xf>
    <xf borderId="113" fillId="0" fontId="96" numFmtId="0" xfId="0" applyAlignment="1" applyBorder="1" applyFont="1">
      <alignment horizontal="left" readingOrder="0" shrinkToFit="0" vertical="bottom" wrapText="1"/>
    </xf>
    <xf borderId="103" fillId="0" fontId="97" numFmtId="0" xfId="0" applyAlignment="1" applyBorder="1" applyFont="1">
      <alignment readingOrder="0" vertical="bottom"/>
    </xf>
    <xf borderId="101" fillId="0" fontId="98" numFmtId="0" xfId="0" applyAlignment="1" applyBorder="1" applyFont="1">
      <alignment readingOrder="0" shrinkToFit="0" wrapText="1"/>
    </xf>
    <xf borderId="107" fillId="0" fontId="92" numFmtId="0" xfId="0" applyAlignment="1" applyBorder="1" applyFont="1">
      <alignment readingOrder="0" shrinkToFit="0" vertical="bottom" wrapText="1"/>
    </xf>
    <xf borderId="105" fillId="0" fontId="99" numFmtId="0" xfId="0" applyBorder="1" applyFont="1"/>
    <xf borderId="107" fillId="0" fontId="100" numFmtId="0" xfId="0" applyAlignment="1" applyBorder="1" applyFont="1">
      <alignment readingOrder="0"/>
    </xf>
    <xf borderId="112" fillId="0" fontId="99" numFmtId="0" xfId="0" applyAlignment="1" applyBorder="1" applyFont="1">
      <alignment readingOrder="0"/>
    </xf>
    <xf borderId="43" fillId="3" fontId="5" numFmtId="167" xfId="0" applyAlignment="1" applyBorder="1" applyFont="1" applyNumberFormat="1">
      <alignment horizontal="center" readingOrder="0"/>
    </xf>
    <xf borderId="13" fillId="15" fontId="58" numFmtId="0" xfId="0" applyAlignment="1" applyBorder="1" applyFont="1">
      <alignment horizontal="left" readingOrder="0"/>
    </xf>
    <xf borderId="4" fillId="2" fontId="1" numFmtId="0" xfId="0" applyAlignment="1" applyBorder="1" applyFont="1">
      <alignment readingOrder="0" shrinkToFit="0" wrapText="1"/>
    </xf>
    <xf borderId="87" fillId="3" fontId="4" numFmtId="0" xfId="0" applyAlignment="1" applyBorder="1" applyFont="1">
      <alignment horizontal="center" readingOrder="0"/>
    </xf>
    <xf borderId="89" fillId="3" fontId="5" numFmtId="0" xfId="0" applyAlignment="1" applyBorder="1" applyFont="1">
      <alignment horizontal="center" readingOrder="0"/>
    </xf>
    <xf borderId="11" fillId="19" fontId="8" numFmtId="0" xfId="0" applyBorder="1" applyFill="1" applyFont="1"/>
    <xf borderId="29" fillId="0" fontId="13" numFmtId="0" xfId="0" applyAlignment="1" applyBorder="1" applyFont="1">
      <alignment readingOrder="0"/>
    </xf>
    <xf borderId="30" fillId="0" fontId="13" numFmtId="0" xfId="0" applyAlignment="1" applyBorder="1" applyFont="1">
      <alignment readingOrder="0"/>
    </xf>
    <xf borderId="5" fillId="0" fontId="13" numFmtId="0" xfId="0" applyAlignment="1" applyBorder="1" applyFont="1">
      <alignment shrinkToFit="0" wrapText="1"/>
    </xf>
    <xf borderId="6" fillId="0" fontId="10" numFmtId="0" xfId="0" applyAlignment="1" applyBorder="1" applyFont="1">
      <alignment horizontal="center" readingOrder="0" shrinkToFit="0" wrapText="1"/>
    </xf>
    <xf borderId="7" fillId="0" fontId="13" numFmtId="0" xfId="0" applyAlignment="1" applyBorder="1" applyFont="1">
      <alignment shrinkToFit="0" wrapText="1"/>
    </xf>
    <xf borderId="31" fillId="0" fontId="13" numFmtId="0" xfId="0" applyAlignment="1" applyBorder="1" applyFont="1">
      <alignment readingOrder="0"/>
    </xf>
    <xf borderId="0" fillId="0" fontId="9" numFmtId="0" xfId="0" applyAlignment="1" applyFont="1">
      <alignment horizontal="center"/>
    </xf>
    <xf borderId="23" fillId="0" fontId="13" numFmtId="0" xfId="0" applyAlignment="1" applyBorder="1" applyFont="1">
      <alignment readingOrder="0"/>
    </xf>
    <xf borderId="12" fillId="0" fontId="13" numFmtId="0" xfId="0" applyAlignment="1" applyBorder="1" applyFont="1">
      <alignment shrinkToFit="0" wrapText="1"/>
    </xf>
    <xf borderId="0" fillId="0" fontId="13" numFmtId="0" xfId="0" applyAlignment="1" applyFont="1">
      <alignment shrinkToFit="0" wrapText="1"/>
    </xf>
    <xf borderId="15" fillId="0" fontId="13" numFmtId="0" xfId="0" applyAlignment="1" applyBorder="1" applyFont="1">
      <alignment shrinkToFit="0" wrapText="1"/>
    </xf>
    <xf borderId="16" fillId="0" fontId="13" numFmtId="0" xfId="0" applyAlignment="1" applyBorder="1" applyFont="1">
      <alignment shrinkToFit="0" wrapText="1"/>
    </xf>
    <xf borderId="23" fillId="0" fontId="13" numFmtId="0" xfId="0" applyAlignment="1" applyBorder="1" applyFont="1">
      <alignment readingOrder="0" shrinkToFit="0" wrapText="1"/>
    </xf>
    <xf borderId="32" fillId="0" fontId="13" numFmtId="0" xfId="0" applyAlignment="1" applyBorder="1" applyFont="1">
      <alignment readingOrder="0"/>
    </xf>
    <xf borderId="33" fillId="0" fontId="13" numFmtId="0" xfId="0" applyBorder="1" applyFont="1"/>
    <xf borderId="22" fillId="19" fontId="8" numFmtId="0" xfId="0" applyBorder="1" applyFont="1"/>
    <xf borderId="1" fillId="0" fontId="30" numFmtId="0" xfId="0" applyAlignment="1" applyBorder="1" applyFont="1">
      <alignment horizontal="center" vertical="bottom"/>
    </xf>
    <xf borderId="34" fillId="20" fontId="101" numFmtId="0" xfId="0" applyAlignment="1" applyBorder="1" applyFill="1" applyFont="1">
      <alignment readingOrder="0" vertical="bottom"/>
    </xf>
    <xf borderId="35" fillId="0" fontId="10" numFmtId="0" xfId="0" applyAlignment="1" applyBorder="1" applyFont="1">
      <alignment horizontal="center"/>
    </xf>
    <xf borderId="34" fillId="20" fontId="26" numFmtId="0" xfId="0" applyAlignment="1" applyBorder="1" applyFont="1">
      <alignment vertical="bottom"/>
    </xf>
    <xf borderId="34" fillId="0" fontId="26" numFmtId="0" xfId="0" applyBorder="1" applyFont="1"/>
    <xf borderId="121" fillId="0" fontId="71" numFmtId="0" xfId="0" applyAlignment="1" applyBorder="1" applyFont="1">
      <alignment readingOrder="0" vertical="bottom"/>
    </xf>
    <xf borderId="122" fillId="0" fontId="69" numFmtId="0" xfId="0" applyAlignment="1" applyBorder="1" applyFont="1">
      <alignment readingOrder="0" vertical="bottom"/>
    </xf>
    <xf borderId="123" fillId="0" fontId="69" numFmtId="0" xfId="0" applyAlignment="1" applyBorder="1" applyFont="1">
      <alignment vertical="bottom"/>
    </xf>
    <xf borderId="118" fillId="0" fontId="26" numFmtId="0" xfId="0" applyAlignment="1" applyBorder="1" applyFont="1">
      <alignment vertical="bottom"/>
    </xf>
    <xf borderId="38" fillId="0" fontId="102" numFmtId="0" xfId="0" applyAlignment="1" applyBorder="1" applyFont="1">
      <alignment horizontal="center" readingOrder="0"/>
    </xf>
    <xf borderId="0" fillId="0" fontId="26" numFmtId="0" xfId="0" applyAlignment="1" applyFont="1">
      <alignment vertical="bottom"/>
    </xf>
    <xf borderId="0" fillId="0" fontId="26" numFmtId="0" xfId="0" applyAlignment="1" applyFont="1">
      <alignment vertical="bottom"/>
    </xf>
    <xf borderId="34" fillId="0" fontId="32" numFmtId="0" xfId="0" applyAlignment="1" applyBorder="1" applyFont="1">
      <alignment shrinkToFit="0" vertical="bottom" wrapText="0"/>
    </xf>
    <xf borderId="0" fillId="0" fontId="26" numFmtId="0" xfId="0" applyAlignment="1" applyFont="1">
      <alignment readingOrder="0" shrinkToFit="0" vertical="bottom" wrapText="1"/>
    </xf>
    <xf borderId="33" fillId="0" fontId="13" numFmtId="0" xfId="0" applyAlignment="1" applyBorder="1" applyFont="1">
      <alignment readingOrder="0"/>
    </xf>
    <xf borderId="19" fillId="9" fontId="103" numFmtId="0" xfId="0" applyAlignment="1" applyBorder="1" applyFont="1">
      <alignment vertical="bottom"/>
    </xf>
    <xf borderId="34" fillId="0" fontId="61" numFmtId="0" xfId="0" applyAlignment="1" applyBorder="1" applyFont="1">
      <alignment horizontal="center" vertical="bottom"/>
    </xf>
    <xf borderId="32" fillId="0" fontId="13" numFmtId="0" xfId="0" applyBorder="1" applyFont="1"/>
    <xf borderId="24" fillId="0" fontId="13" numFmtId="0" xfId="0" applyBorder="1" applyFont="1"/>
    <xf borderId="31" fillId="0" fontId="13" numFmtId="0" xfId="0" applyBorder="1" applyFont="1"/>
    <xf borderId="32" fillId="0" fontId="13" numFmtId="0" xfId="0" applyBorder="1" applyFont="1"/>
    <xf borderId="29" fillId="0" fontId="13" numFmtId="0" xfId="0" applyAlignment="1" applyBorder="1" applyFont="1">
      <alignment horizontal="left" readingOrder="0"/>
    </xf>
    <xf borderId="30" fillId="0" fontId="13" numFmtId="0" xfId="0" applyAlignment="1" applyBorder="1" applyFont="1">
      <alignment horizontal="left" readingOrder="0"/>
    </xf>
    <xf borderId="31" fillId="0" fontId="13" numFmtId="0" xfId="0" applyAlignment="1" applyBorder="1" applyFont="1">
      <alignment horizontal="left" readingOrder="0"/>
    </xf>
    <xf borderId="23" fillId="0" fontId="13" numFmtId="0" xfId="0" applyAlignment="1" applyBorder="1" applyFont="1">
      <alignment horizontal="left" readingOrder="0"/>
    </xf>
    <xf borderId="32" fillId="0" fontId="13" numFmtId="0" xfId="0" applyAlignment="1" applyBorder="1" applyFont="1">
      <alignment horizontal="left"/>
    </xf>
    <xf borderId="24" fillId="0" fontId="13" numFmtId="0" xfId="0" applyAlignment="1" applyBorder="1" applyFont="1">
      <alignment horizontal="left"/>
    </xf>
    <xf borderId="33" fillId="0" fontId="13" numFmtId="0" xfId="0" applyAlignment="1" applyBorder="1" applyFont="1">
      <alignment horizontal="left" readingOrder="0"/>
    </xf>
    <xf borderId="31" fillId="0" fontId="13" numFmtId="0" xfId="0" applyAlignment="1" applyBorder="1" applyFont="1">
      <alignment horizontal="center"/>
    </xf>
    <xf borderId="32" fillId="0" fontId="13" numFmtId="0" xfId="0" applyAlignment="1" applyBorder="1" applyFont="1">
      <alignment horizontal="center"/>
    </xf>
    <xf borderId="32" fillId="0" fontId="13" numFmtId="0" xfId="0" applyAlignment="1" applyBorder="1" applyFont="1">
      <alignment horizontal="left" readingOrder="0"/>
    </xf>
    <xf borderId="49" fillId="0" fontId="13" numFmtId="0" xfId="0" applyAlignment="1" applyBorder="1" applyFont="1">
      <alignment readingOrder="0"/>
    </xf>
    <xf borderId="44" fillId="0" fontId="13" numFmtId="0" xfId="0" applyAlignment="1" applyBorder="1" applyFont="1">
      <alignment readingOrder="0" shrinkToFit="0" wrapText="1"/>
    </xf>
    <xf borderId="0" fillId="0" fontId="104" numFmtId="0" xfId="0" applyAlignment="1" applyFont="1">
      <alignment readingOrder="0" shrinkToFit="0" wrapText="1"/>
    </xf>
    <xf borderId="0" fillId="0" fontId="25" numFmtId="0" xfId="0" applyAlignment="1" applyFont="1">
      <alignment readingOrder="0" shrinkToFit="0" wrapText="1"/>
    </xf>
    <xf borderId="0" fillId="0" fontId="13" numFmtId="0" xfId="0" applyAlignment="1" applyFont="1">
      <alignment shrinkToFit="0" wrapText="1"/>
    </xf>
    <xf borderId="34" fillId="0" fontId="13" numFmtId="0" xfId="0" applyAlignment="1" applyBorder="1" applyFont="1">
      <alignment horizontal="center" readingOrder="0" vertical="center"/>
    </xf>
    <xf borderId="21" fillId="0" fontId="13" numFmtId="0" xfId="0" applyAlignment="1" applyBorder="1" applyFont="1">
      <alignment readingOrder="0"/>
    </xf>
    <xf borderId="37" fillId="0" fontId="13" numFmtId="0" xfId="0" applyAlignment="1" applyBorder="1" applyFont="1">
      <alignment horizontal="center" readingOrder="0" vertical="center"/>
    </xf>
    <xf borderId="44" fillId="0" fontId="13" numFmtId="0" xfId="0" applyAlignment="1" applyBorder="1" applyFont="1">
      <alignment horizontal="center" readingOrder="0" shrinkToFit="0" vertical="center" wrapText="1"/>
    </xf>
    <xf borderId="20" fillId="0" fontId="13" numFmtId="0" xfId="0" applyAlignment="1" applyBorder="1" applyFont="1">
      <alignment horizontal="center" readingOrder="0" vertical="center"/>
    </xf>
    <xf borderId="20" fillId="0" fontId="13" numFmtId="0" xfId="0" applyAlignment="1" applyBorder="1" applyFont="1">
      <alignment readingOrder="0" shrinkToFit="0" wrapText="1"/>
    </xf>
    <xf borderId="19" fillId="0" fontId="13" numFmtId="0" xfId="0" applyAlignment="1" applyBorder="1" applyFont="1">
      <alignment horizontal="center" readingOrder="0" vertical="center"/>
    </xf>
    <xf borderId="0" fillId="0" fontId="13" numFmtId="0" xfId="0" applyAlignment="1" applyFont="1">
      <alignment horizontal="center" vertical="center"/>
    </xf>
    <xf borderId="20" fillId="0" fontId="13" numFmtId="0" xfId="0" applyAlignment="1" applyBorder="1" applyFont="1">
      <alignment horizontal="center" readingOrder="0" shrinkToFit="0" vertical="center" wrapText="1"/>
    </xf>
    <xf borderId="20" fillId="0" fontId="105" numFmtId="0" xfId="0" applyAlignment="1" applyBorder="1" applyFont="1">
      <alignment readingOrder="0" shrinkToFit="0" wrapText="1"/>
    </xf>
    <xf borderId="35" fillId="0" fontId="13" numFmtId="0" xfId="0" applyAlignment="1" applyBorder="1" applyFont="1">
      <alignment horizontal="center" readingOrder="0" shrinkToFit="0" vertical="center" wrapText="1"/>
    </xf>
    <xf borderId="19" fillId="0" fontId="13" numFmtId="0" xfId="0" applyAlignment="1" applyBorder="1" applyFont="1">
      <alignment readingOrder="0"/>
    </xf>
    <xf borderId="0" fillId="8" fontId="13" numFmtId="0" xfId="0" applyAlignment="1" applyFont="1">
      <alignment readingOrder="0" shrinkToFit="0" wrapText="1"/>
    </xf>
    <xf borderId="0" fillId="21" fontId="13" numFmtId="0" xfId="0" applyAlignment="1" applyFill="1" applyFont="1">
      <alignment readingOrder="0" shrinkToFit="0" wrapText="1"/>
    </xf>
    <xf borderId="0" fillId="22" fontId="13" numFmtId="0" xfId="0" applyAlignment="1" applyFill="1" applyFont="1">
      <alignment readingOrder="0" shrinkToFit="0" wrapText="1"/>
    </xf>
    <xf borderId="0" fillId="4" fontId="13" numFmtId="0" xfId="0" applyAlignment="1" applyFont="1">
      <alignment readingOrder="0" shrinkToFit="0" wrapText="1"/>
    </xf>
    <xf borderId="0" fillId="20" fontId="13" numFmtId="0" xfId="0" applyAlignment="1" applyFont="1">
      <alignment readingOrder="0" shrinkToFit="0" wrapText="1"/>
    </xf>
    <xf borderId="0" fillId="0" fontId="50" numFmtId="0" xfId="0" applyAlignment="1" applyFont="1">
      <alignment readingOrder="0" shrinkToFit="0" wrapText="1"/>
    </xf>
    <xf borderId="0" fillId="0" fontId="13" numFmtId="10" xfId="0" applyFont="1" applyNumberFormat="1"/>
    <xf borderId="0" fillId="0" fontId="13" numFmtId="168" xfId="0" applyFont="1" applyNumberFormat="1"/>
    <xf borderId="0" fillId="0" fontId="13" numFmtId="168" xfId="0" applyFont="1" applyNumberFormat="1"/>
    <xf borderId="0" fillId="0" fontId="106" numFmtId="0" xfId="0" applyAlignment="1" applyFont="1">
      <alignment horizontal="left" shrinkToFit="0" wrapText="0"/>
    </xf>
    <xf borderId="0" fillId="0" fontId="106" numFmtId="0" xfId="0" applyAlignment="1" applyFont="1">
      <alignment horizontal="left" readingOrder="0" shrinkToFit="0" wrapText="0"/>
    </xf>
    <xf borderId="0" fillId="0" fontId="107" numFmtId="0" xfId="0" applyAlignment="1" applyFont="1">
      <alignment horizontal="right" readingOrder="0" shrinkToFit="0" wrapText="0"/>
    </xf>
    <xf borderId="0" fillId="0" fontId="107" numFmtId="0" xfId="0" applyAlignment="1" applyFont="1">
      <alignment horizontal="left" readingOrder="0" shrinkToFit="0" wrapText="0"/>
    </xf>
    <xf borderId="0" fillId="0" fontId="108" numFmtId="0" xfId="0" applyAlignment="1" applyFont="1">
      <alignment horizontal="right" readingOrder="0" shrinkToFit="0" wrapText="0"/>
    </xf>
    <xf borderId="0" fillId="0" fontId="109" numFmtId="0" xfId="0" applyAlignment="1" applyFont="1">
      <alignment horizontal="left" readingOrder="0" shrinkToFit="0" wrapText="0"/>
    </xf>
    <xf borderId="0" fillId="0" fontId="110" numFmtId="0" xfId="0" applyAlignment="1" applyFont="1">
      <alignment readingOrder="0"/>
    </xf>
    <xf borderId="0" fillId="15" fontId="111" numFmtId="0" xfId="0" applyAlignment="1" applyFont="1">
      <alignment horizontal="left" readingOrder="0" shrinkToFit="0" wrapText="0"/>
    </xf>
    <xf borderId="0" fillId="0" fontId="112" numFmtId="0" xfId="0" applyAlignment="1" applyFont="1">
      <alignment horizontal="left" readingOrder="0" shrinkToFit="0" wrapText="0"/>
    </xf>
    <xf borderId="0" fillId="0" fontId="111" numFmtId="0" xfId="0" applyAlignment="1" applyFont="1">
      <alignment horizontal="left" readingOrder="0" shrinkToFit="0" wrapText="0"/>
    </xf>
    <xf borderId="0" fillId="0" fontId="113" numFmtId="0" xfId="0" applyAlignment="1" applyFont="1">
      <alignment horizontal="left" readingOrder="0" shrinkToFit="0" wrapText="0"/>
    </xf>
    <xf borderId="38" fillId="0" fontId="114" numFmtId="0" xfId="0" applyAlignment="1" applyBorder="1" applyFont="1">
      <alignment horizontal="center" readingOrder="0"/>
    </xf>
    <xf borderId="124" fillId="0" fontId="13" numFmtId="0" xfId="0" applyBorder="1" applyFont="1"/>
    <xf borderId="124" fillId="0" fontId="25" numFmtId="0" xfId="0" applyAlignment="1" applyBorder="1" applyFont="1">
      <alignment readingOrder="0"/>
    </xf>
    <xf borderId="38" fillId="0" fontId="25" numFmtId="0" xfId="0" applyAlignment="1" applyBorder="1" applyFont="1">
      <alignment readingOrder="0"/>
    </xf>
    <xf borderId="69" fillId="0" fontId="13" numFmtId="0" xfId="0" applyAlignment="1" applyBorder="1" applyFont="1">
      <alignment horizontal="center" readingOrder="0"/>
    </xf>
    <xf borderId="69" fillId="0" fontId="13" numFmtId="0" xfId="0" applyBorder="1" applyFont="1"/>
    <xf borderId="38" fillId="0" fontId="51" numFmtId="0" xfId="0" applyAlignment="1" applyBorder="1" applyFont="1">
      <alignment readingOrder="0"/>
    </xf>
    <xf borderId="38" fillId="0" fontId="25" numFmtId="0" xfId="0" applyAlignment="1" applyBorder="1" applyFont="1">
      <alignment horizontal="center" readingOrder="0"/>
    </xf>
    <xf borderId="31" fillId="0" fontId="25" numFmtId="0" xfId="0" applyAlignment="1" applyBorder="1" applyFont="1">
      <alignment readingOrder="0"/>
    </xf>
    <xf borderId="23" fillId="0" fontId="13" numFmtId="0" xfId="0" applyAlignment="1" applyBorder="1" applyFont="1">
      <alignment horizontal="center"/>
    </xf>
    <xf borderId="0" fillId="3" fontId="13" numFmtId="0" xfId="0" applyFont="1"/>
    <xf borderId="31" fillId="0" fontId="13" numFmtId="0" xfId="0" applyBorder="1" applyFont="1"/>
    <xf borderId="0" fillId="0" fontId="51" numFmtId="0" xfId="0" applyAlignment="1" applyFont="1">
      <alignment readingOrder="0"/>
    </xf>
    <xf borderId="0" fillId="0" fontId="13" numFmtId="0" xfId="0" applyAlignment="1" applyFont="1">
      <alignment readingOrder="0" shrinkToFit="0" vertical="center" wrapText="1"/>
    </xf>
    <xf borderId="0" fillId="0" fontId="115" numFmtId="0" xfId="0" applyAlignment="1" applyFont="1">
      <alignment readingOrder="0"/>
    </xf>
    <xf borderId="0" fillId="0" fontId="116" numFmtId="0" xfId="0" applyAlignment="1" applyFont="1">
      <alignment readingOrder="0" shrinkToFit="0" vertical="center" wrapText="1"/>
    </xf>
    <xf borderId="0" fillId="15" fontId="117" numFmtId="0" xfId="0" applyAlignment="1" applyFont="1">
      <alignment readingOrder="0"/>
    </xf>
    <xf borderId="0" fillId="0" fontId="117" numFmtId="0" xfId="0" applyAlignment="1" applyFont="1">
      <alignment readingOrder="0"/>
    </xf>
    <xf borderId="0" fillId="15" fontId="117" numFmtId="0" xfId="0" applyFont="1"/>
    <xf borderId="0" fillId="15" fontId="118" numFmtId="0" xfId="0" applyAlignment="1" applyFont="1">
      <alignment readingOrder="0"/>
    </xf>
    <xf borderId="0" fillId="0" fontId="119" numFmtId="0" xfId="0" applyAlignment="1" applyFont="1">
      <alignment readingOrder="0"/>
    </xf>
    <xf borderId="0" fillId="0" fontId="13" numFmtId="169" xfId="0" applyAlignment="1" applyFont="1" applyNumberFormat="1">
      <alignment readingOrder="0"/>
    </xf>
    <xf borderId="0" fillId="0" fontId="13" numFmtId="169" xfId="0" applyFont="1" applyNumberFormat="1"/>
    <xf borderId="19" fillId="0" fontId="13" numFmtId="0" xfId="0" applyAlignment="1" applyBorder="1" applyFont="1">
      <alignment horizontal="center" readingOrder="0"/>
    </xf>
    <xf borderId="125" fillId="3" fontId="120" numFmtId="0" xfId="0" applyAlignment="1" applyBorder="1" applyFont="1">
      <alignment horizontal="center"/>
    </xf>
    <xf borderId="125" fillId="3" fontId="121" numFmtId="0" xfId="0" applyAlignment="1" applyBorder="1" applyFont="1">
      <alignment horizontal="center"/>
    </xf>
    <xf borderId="126" fillId="23" fontId="122" numFmtId="0" xfId="0" applyAlignment="1" applyBorder="1" applyFill="1" applyFont="1">
      <alignment horizontal="center" readingOrder="0"/>
    </xf>
    <xf borderId="126" fillId="23" fontId="122" numFmtId="0" xfId="0" applyAlignment="1" applyBorder="1" applyFont="1">
      <alignment horizontal="center"/>
    </xf>
    <xf borderId="125" fillId="23" fontId="122" numFmtId="0" xfId="0" applyAlignment="1" applyBorder="1" applyFont="1">
      <alignment horizontal="center"/>
    </xf>
    <xf borderId="127" fillId="23" fontId="122" numFmtId="0" xfId="0" applyAlignment="1" applyBorder="1" applyFont="1">
      <alignment horizontal="center"/>
    </xf>
    <xf borderId="34" fillId="23" fontId="122" numFmtId="0" xfId="0" applyAlignment="1" applyBorder="1" applyFont="1">
      <alignment horizontal="center"/>
    </xf>
    <xf borderId="126" fillId="23" fontId="122" numFmtId="0" xfId="0" applyAlignment="1" applyBorder="1" applyFont="1">
      <alignment horizontal="center"/>
    </xf>
    <xf borderId="127" fillId="23" fontId="122" numFmtId="0" xfId="0" applyAlignment="1" applyBorder="1" applyFont="1">
      <alignment horizontal="center" readingOrder="0"/>
    </xf>
    <xf borderId="128" fillId="23" fontId="122" numFmtId="0" xfId="0" applyAlignment="1" applyBorder="1" applyFont="1">
      <alignment horizontal="center"/>
    </xf>
    <xf borderId="127" fillId="23" fontId="122" numFmtId="0" xfId="0" applyAlignment="1" applyBorder="1" applyFont="1">
      <alignment horizontal="center"/>
    </xf>
    <xf borderId="127" fillId="23" fontId="123" numFmtId="0" xfId="0" applyAlignment="1" applyBorder="1" applyFont="1">
      <alignment horizontal="center" readingOrder="0"/>
    </xf>
    <xf borderId="127" fillId="23" fontId="123" numFmtId="0" xfId="0" applyAlignment="1" applyBorder="1" applyFont="1">
      <alignment horizontal="center"/>
    </xf>
    <xf borderId="127" fillId="23" fontId="123" numFmtId="0" xfId="0" applyAlignment="1" applyBorder="1" applyFont="1">
      <alignment horizontal="center"/>
    </xf>
    <xf borderId="34" fillId="23" fontId="123" numFmtId="0" xfId="0" applyAlignment="1" applyBorder="1" applyFont="1">
      <alignment horizontal="center"/>
    </xf>
    <xf borderId="128" fillId="23" fontId="123" numFmtId="0" xfId="0" applyAlignment="1" applyBorder="1" applyFont="1">
      <alignment horizontal="center"/>
    </xf>
    <xf borderId="126" fillId="3" fontId="120" numFmtId="0" xfId="0" applyAlignment="1" applyBorder="1" applyFont="1">
      <alignment horizontal="center"/>
    </xf>
    <xf borderId="126" fillId="3" fontId="121" numFmtId="0" xfId="0" applyAlignment="1" applyBorder="1" applyFont="1">
      <alignment horizontal="center"/>
    </xf>
    <xf borderId="127" fillId="23" fontId="124" numFmtId="0" xfId="0" applyAlignment="1" applyBorder="1" applyFont="1">
      <alignment horizontal="center"/>
    </xf>
    <xf borderId="127" fillId="23" fontId="125" numFmtId="0" xfId="0" applyAlignment="1" applyBorder="1" applyFont="1">
      <alignment horizontal="center"/>
    </xf>
    <xf borderId="125" fillId="3" fontId="126" numFmtId="0" xfId="0" applyAlignment="1" applyBorder="1" applyFont="1">
      <alignment horizontal="center"/>
    </xf>
    <xf borderId="127" fillId="23" fontId="125" numFmtId="0" xfId="0" applyAlignment="1" applyBorder="1" applyFont="1">
      <alignment horizontal="center" readingOrder="0"/>
    </xf>
    <xf borderId="127" fillId="23" fontId="122" numFmtId="2" xfId="0" applyAlignment="1" applyBorder="1" applyFont="1" applyNumberFormat="1">
      <alignment horizontal="center" readingOrder="0"/>
    </xf>
    <xf borderId="0" fillId="0" fontId="13" numFmtId="2" xfId="0" applyFont="1" applyNumberFormat="1"/>
    <xf borderId="127" fillId="23" fontId="122" numFmtId="2" xfId="0" applyAlignment="1" applyBorder="1" applyFont="1" applyNumberFormat="1">
      <alignment horizontal="center"/>
    </xf>
    <xf borderId="128" fillId="23" fontId="122" numFmtId="2" xfId="0" applyAlignment="1" applyBorder="1" applyFont="1" applyNumberFormat="1">
      <alignment horizontal="center"/>
    </xf>
    <xf borderId="34" fillId="23" fontId="122" numFmtId="2" xfId="0" applyAlignment="1" applyBorder="1" applyFont="1" applyNumberFormat="1">
      <alignment horizontal="center"/>
    </xf>
    <xf borderId="125" fillId="3" fontId="121" numFmtId="2" xfId="0" applyAlignment="1" applyBorder="1" applyFont="1" applyNumberFormat="1">
      <alignment horizontal="center"/>
    </xf>
    <xf borderId="125" fillId="3" fontId="120" numFmtId="2" xfId="0" applyAlignment="1" applyBorder="1" applyFont="1" applyNumberFormat="1">
      <alignment horizontal="center"/>
    </xf>
    <xf borderId="127" fillId="23" fontId="124" numFmtId="0" xfId="0" applyAlignment="1" applyBorder="1" applyFont="1">
      <alignment horizontal="center"/>
    </xf>
    <xf borderId="34" fillId="23" fontId="124" numFmtId="0" xfId="0" applyAlignment="1" applyBorder="1" applyFont="1">
      <alignment horizontal="center"/>
    </xf>
    <xf borderId="128" fillId="23" fontId="124" numFmtId="0" xfId="0" applyAlignment="1" applyBorder="1" applyFont="1">
      <alignment horizontal="center"/>
    </xf>
    <xf borderId="127" fillId="23" fontId="124" numFmtId="0" xfId="0" applyAlignment="1" applyBorder="1" applyFont="1">
      <alignment horizontal="center" readingOrder="0"/>
    </xf>
    <xf borderId="128" fillId="3" fontId="120" numFmtId="0" xfId="0" applyAlignment="1" applyBorder="1" applyFont="1">
      <alignment horizontal="center"/>
    </xf>
    <xf borderId="0" fillId="3" fontId="13" numFmtId="0" xfId="0" applyFont="1"/>
    <xf borderId="0" fillId="3" fontId="13" numFmtId="0" xfId="0" applyAlignment="1" applyFont="1">
      <alignment readingOrder="0"/>
    </xf>
    <xf borderId="34" fillId="0" fontId="13" numFmtId="0" xfId="0" applyAlignment="1" applyBorder="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E7F9EF"/>
          <bgColor rgb="FFE7F9EF"/>
        </patternFill>
      </fill>
      <border/>
    </dxf>
  </dxfs>
  <tableStyles count="2">
    <tableStyle count="2" pivot="0" name="Player rankings (Lawson Ranks)-style">
      <tableStyleElement dxfId="1" type="firstRowStripe"/>
      <tableStyleElement dxfId="2" type="secondRowStripe"/>
    </tableStyle>
    <tableStyle count="2" pivot="0" name="Player rankings (Lawson Ranks)-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1:AC119" displayName="Table_1" name="Table_1" id="1">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Player rankings (Lawson Ranks)-style" showColumnStripes="0" showFirstColumn="1" showLastColumn="1" showRowStripes="1"/>
</table>
</file>

<file path=xl/tables/table2.xml><?xml version="1.0" encoding="utf-8"?>
<table xmlns="http://schemas.openxmlformats.org/spreadsheetml/2006/main" headerRowCount="0" ref="A120:AC303" displayName="Table_2" name="Table_2" id="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Player rankings (Lawson Rank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u/0/d/1LB0XceLeilnI3rkqwLp57VRxvFGaN--A6yV8vMgKD_w/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LB0XceLeilnI3rkqwLp57VRxvFGaN--A6yV8vMgKD_w/edit?pli=1&amp;tab=t.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u/0/d/1LB0XceLeilnI3rkqwLp57VRxvFGaN--A6yV8vMgKD_w/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u/0/d/1LB0XceLeilnI3rkqwLp57VRxvFGaN--A6yV8vMgKD_w/edi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u/0/d/1LB0XceLeilnI3rkqwLp57VRxvFGaN--A6yV8vMgKD_w/edit"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nba.com/stats/lineups/traditional?slug=traditional"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cols>
    <col customWidth="1" min="1" max="1" width="19.88"/>
    <col customWidth="1" min="2" max="2" width="2.25"/>
    <col customWidth="1" min="3" max="3" width="19.13"/>
    <col customWidth="1" min="4" max="4" width="2.75"/>
    <col customWidth="1" min="5" max="5" width="19.63"/>
    <col customWidth="1" min="6" max="6" width="2.63"/>
    <col customWidth="1" min="7" max="7" width="17.88"/>
    <col customWidth="1" min="8" max="8" width="2.5"/>
    <col customWidth="1" min="9" max="9" width="20.13"/>
    <col customWidth="1" min="10" max="10" width="3.88"/>
    <col customWidth="1" min="11" max="11" width="8.0"/>
    <col customWidth="1" min="12" max="12" width="3.63"/>
    <col customWidth="1" min="13" max="13" width="1.5"/>
    <col customWidth="1" min="14" max="14" width="28.0"/>
    <col customWidth="1" min="15" max="15" width="7.5"/>
    <col customWidth="1" min="16" max="16" width="27.13"/>
    <col customWidth="1" min="17" max="17" width="4.88"/>
    <col customWidth="1" min="18" max="18" width="26.25"/>
    <col customWidth="1" min="19" max="19" width="6.13"/>
    <col customWidth="1" min="20" max="20" width="26.13"/>
  </cols>
  <sheetData>
    <row r="1">
      <c r="A1" s="1" t="s">
        <v>0</v>
      </c>
      <c r="B1" s="2"/>
      <c r="C1" s="1" t="s">
        <v>1</v>
      </c>
      <c r="D1" s="3"/>
      <c r="E1" s="1" t="s">
        <v>2</v>
      </c>
      <c r="F1" s="2"/>
      <c r="G1" s="4" t="s">
        <v>3</v>
      </c>
      <c r="H1" s="2"/>
      <c r="I1" s="5" t="s">
        <v>4</v>
      </c>
      <c r="J1" s="6">
        <v>2026.0</v>
      </c>
      <c r="K1" s="7"/>
      <c r="L1" s="8"/>
      <c r="M1" s="9"/>
      <c r="N1" s="10" t="s">
        <v>5</v>
      </c>
      <c r="O1" s="11"/>
      <c r="P1" s="12" t="s">
        <v>6</v>
      </c>
      <c r="Q1" s="13"/>
      <c r="R1" s="14" t="s">
        <v>7</v>
      </c>
      <c r="S1" s="15"/>
      <c r="T1" s="16" t="s">
        <v>8</v>
      </c>
    </row>
    <row r="2">
      <c r="B2" s="17"/>
      <c r="D2" s="17"/>
      <c r="E2" s="18" t="s">
        <v>9</v>
      </c>
      <c r="F2" s="17"/>
      <c r="H2" s="17"/>
      <c r="J2" s="19"/>
      <c r="L2" s="20"/>
      <c r="N2" s="21" t="s">
        <v>10</v>
      </c>
      <c r="O2" s="22" t="s">
        <v>11</v>
      </c>
      <c r="P2" s="23" t="s">
        <v>12</v>
      </c>
      <c r="Q2" s="24"/>
      <c r="R2" s="24"/>
      <c r="S2" s="24"/>
      <c r="T2" s="24"/>
    </row>
    <row r="3">
      <c r="B3" s="25"/>
      <c r="D3" s="25"/>
      <c r="E3" s="26" t="s">
        <v>13</v>
      </c>
      <c r="F3" s="25"/>
      <c r="H3" s="25"/>
      <c r="J3" s="19"/>
      <c r="L3" s="20"/>
      <c r="N3" s="27"/>
      <c r="O3" s="28">
        <v>45953.0</v>
      </c>
      <c r="P3" s="29"/>
      <c r="Q3" s="24"/>
      <c r="R3" s="24"/>
      <c r="S3" s="24"/>
      <c r="T3" s="24"/>
    </row>
    <row r="4">
      <c r="B4" s="30"/>
      <c r="D4" s="30"/>
      <c r="E4" s="26" t="s">
        <v>14</v>
      </c>
      <c r="F4" s="30"/>
      <c r="H4" s="30"/>
      <c r="J4" s="19"/>
      <c r="L4" s="20"/>
      <c r="Q4" s="24"/>
      <c r="R4" s="24"/>
      <c r="S4" s="24"/>
      <c r="T4" s="24"/>
    </row>
    <row r="5">
      <c r="B5" s="30"/>
      <c r="D5" s="30"/>
      <c r="E5" s="31" t="s">
        <v>15</v>
      </c>
      <c r="F5" s="30"/>
      <c r="G5" s="32"/>
      <c r="H5" s="30"/>
      <c r="J5" s="19"/>
      <c r="L5" s="20"/>
      <c r="N5" s="33" t="s">
        <v>16</v>
      </c>
      <c r="O5" s="34" t="s">
        <v>11</v>
      </c>
      <c r="P5" s="35" t="s">
        <v>17</v>
      </c>
      <c r="Q5" s="24"/>
    </row>
    <row r="6">
      <c r="B6" s="30"/>
      <c r="D6" s="30"/>
      <c r="E6" s="26" t="s">
        <v>18</v>
      </c>
      <c r="F6" s="30"/>
      <c r="H6" s="30"/>
      <c r="J6" s="19"/>
      <c r="L6" s="20"/>
      <c r="N6" s="36"/>
      <c r="O6" s="37">
        <v>45647.0</v>
      </c>
      <c r="P6" s="38"/>
    </row>
    <row r="7">
      <c r="A7" s="39"/>
      <c r="B7" s="40"/>
      <c r="C7" s="39"/>
      <c r="D7" s="40"/>
      <c r="E7" s="26" t="s">
        <v>19</v>
      </c>
      <c r="F7" s="40"/>
      <c r="G7" s="39"/>
      <c r="H7" s="40"/>
      <c r="I7" s="39"/>
      <c r="J7" s="19"/>
      <c r="L7" s="20"/>
      <c r="N7" s="41"/>
      <c r="O7" s="41"/>
    </row>
    <row r="8">
      <c r="A8" s="42">
        <v>2026.0</v>
      </c>
      <c r="B8" s="43"/>
      <c r="C8" s="43"/>
      <c r="D8" s="43"/>
      <c r="E8" s="43"/>
      <c r="F8" s="43"/>
      <c r="G8" s="43"/>
      <c r="H8" s="43"/>
      <c r="I8" s="44"/>
      <c r="J8" s="19"/>
      <c r="L8" s="20"/>
      <c r="N8" s="33" t="s">
        <v>20</v>
      </c>
      <c r="O8" s="34" t="s">
        <v>11</v>
      </c>
      <c r="P8" s="35" t="s">
        <v>21</v>
      </c>
    </row>
    <row r="9">
      <c r="A9" s="45" t="s">
        <v>22</v>
      </c>
      <c r="B9" s="46"/>
      <c r="C9" s="47" t="s">
        <v>23</v>
      </c>
      <c r="D9" s="46"/>
      <c r="E9" s="48" t="s">
        <v>24</v>
      </c>
      <c r="F9" s="49"/>
      <c r="G9" s="47" t="s">
        <v>25</v>
      </c>
      <c r="H9" s="46"/>
      <c r="I9" s="50" t="s">
        <v>26</v>
      </c>
      <c r="J9" s="19"/>
      <c r="L9" s="20"/>
      <c r="N9" s="51" t="s">
        <v>27</v>
      </c>
      <c r="O9" s="52">
        <v>46062.0</v>
      </c>
      <c r="P9" s="53" t="s">
        <v>28</v>
      </c>
    </row>
    <row r="10">
      <c r="A10" s="26" t="s">
        <v>29</v>
      </c>
      <c r="B10" s="54"/>
      <c r="D10" s="54"/>
      <c r="E10" s="18" t="s">
        <v>30</v>
      </c>
      <c r="F10" s="55"/>
      <c r="G10" s="26" t="s">
        <v>31</v>
      </c>
      <c r="H10" s="54"/>
      <c r="I10" s="18" t="s">
        <v>32</v>
      </c>
      <c r="J10" s="19"/>
      <c r="L10" s="20"/>
      <c r="N10" s="56"/>
      <c r="P10" s="53" t="s">
        <v>33</v>
      </c>
    </row>
    <row r="11">
      <c r="B11" s="25"/>
      <c r="D11" s="25"/>
      <c r="E11" s="26" t="s">
        <v>34</v>
      </c>
      <c r="F11" s="25"/>
      <c r="G11" s="31" t="s">
        <v>35</v>
      </c>
      <c r="H11" s="25"/>
      <c r="I11" s="57" t="s">
        <v>36</v>
      </c>
      <c r="J11" s="19"/>
      <c r="L11" s="20"/>
      <c r="N11" s="58"/>
      <c r="P11" s="53" t="s">
        <v>37</v>
      </c>
    </row>
    <row r="12">
      <c r="A12" s="18"/>
      <c r="B12" s="30"/>
      <c r="C12" s="18"/>
      <c r="D12" s="30"/>
      <c r="E12" s="31" t="s">
        <v>38</v>
      </c>
      <c r="F12" s="30"/>
      <c r="G12" s="18" t="s">
        <v>39</v>
      </c>
      <c r="H12" s="30"/>
      <c r="I12" s="59" t="s">
        <v>40</v>
      </c>
      <c r="J12" s="19"/>
      <c r="L12" s="20"/>
      <c r="N12" s="56"/>
      <c r="O12" s="41"/>
      <c r="P12" s="53" t="s">
        <v>41</v>
      </c>
    </row>
    <row r="13">
      <c r="B13" s="30"/>
      <c r="C13" s="24"/>
      <c r="D13" s="30"/>
      <c r="E13" s="18" t="s">
        <v>42</v>
      </c>
      <c r="F13" s="30"/>
      <c r="G13" s="18" t="s">
        <v>43</v>
      </c>
      <c r="H13" s="30"/>
      <c r="I13" s="60"/>
      <c r="J13" s="19"/>
      <c r="L13" s="20"/>
      <c r="N13" s="36"/>
      <c r="O13" s="61"/>
      <c r="P13" s="62" t="s">
        <v>44</v>
      </c>
    </row>
    <row r="14">
      <c r="A14" s="24"/>
      <c r="B14" s="30"/>
      <c r="C14" s="24"/>
      <c r="D14" s="30"/>
      <c r="E14" s="18" t="s">
        <v>45</v>
      </c>
      <c r="F14" s="30"/>
      <c r="H14" s="30"/>
      <c r="I14" s="60"/>
      <c r="J14" s="63"/>
      <c r="K14" s="64"/>
      <c r="L14" s="46"/>
      <c r="N14" s="41"/>
      <c r="O14" s="41"/>
      <c r="P14" s="41"/>
    </row>
    <row r="15">
      <c r="A15" s="65"/>
      <c r="B15" s="66"/>
      <c r="C15" s="67"/>
      <c r="D15" s="66"/>
      <c r="E15" s="68" t="s">
        <v>46</v>
      </c>
      <c r="F15" s="66"/>
      <c r="G15" s="67"/>
      <c r="H15" s="66"/>
      <c r="I15" s="67"/>
      <c r="J15" s="69" t="s">
        <v>47</v>
      </c>
      <c r="K15" s="70"/>
      <c r="L15" s="71"/>
      <c r="N15" s="41"/>
    </row>
    <row r="16">
      <c r="A16" s="18" t="s">
        <v>48</v>
      </c>
      <c r="B16" s="18"/>
      <c r="C16" s="72"/>
      <c r="D16" s="18"/>
      <c r="F16" s="24"/>
      <c r="G16" s="18"/>
      <c r="H16" s="73" t="s">
        <v>49</v>
      </c>
      <c r="I16" s="74"/>
      <c r="O16" s="41"/>
    </row>
    <row r="17">
      <c r="A17" s="18" t="s">
        <v>50</v>
      </c>
      <c r="B17" s="24"/>
      <c r="C17" s="72"/>
      <c r="D17" s="18"/>
      <c r="E17" s="18"/>
      <c r="F17" s="18"/>
      <c r="G17" s="18"/>
      <c r="H17" s="75" t="s">
        <v>51</v>
      </c>
      <c r="I17" s="76"/>
      <c r="N17" s="41"/>
      <c r="O17" s="41"/>
      <c r="P17" s="41"/>
    </row>
    <row r="18">
      <c r="A18" s="18" t="s">
        <v>52</v>
      </c>
      <c r="B18" s="18"/>
      <c r="C18" s="72"/>
      <c r="D18" s="18"/>
      <c r="E18" s="18"/>
      <c r="F18" s="18"/>
      <c r="G18" s="18"/>
      <c r="H18" s="77" t="s">
        <v>53</v>
      </c>
      <c r="I18" s="78"/>
      <c r="L18" s="79"/>
      <c r="N18" s="41"/>
    </row>
    <row r="19">
      <c r="A19" s="80"/>
      <c r="B19" s="81"/>
      <c r="C19" s="82"/>
      <c r="D19" s="24"/>
      <c r="E19" s="24"/>
      <c r="F19" s="18"/>
      <c r="G19" s="18"/>
      <c r="H19" s="24"/>
      <c r="I19" s="24"/>
      <c r="L19" s="79"/>
      <c r="O19" s="41"/>
      <c r="P19" s="41"/>
      <c r="Q19" s="83"/>
    </row>
    <row r="20">
      <c r="F20" s="79"/>
      <c r="G20" s="79"/>
      <c r="L20" s="79"/>
      <c r="N20" s="41"/>
      <c r="O20" s="41"/>
      <c r="P20" s="41"/>
      <c r="Q20" s="83"/>
    </row>
    <row r="21">
      <c r="A21" s="84"/>
      <c r="L21" s="79"/>
      <c r="N21" s="41"/>
      <c r="O21" s="41"/>
      <c r="P21" s="41"/>
      <c r="Q21" s="83"/>
    </row>
    <row r="22">
      <c r="F22" s="79"/>
      <c r="G22" s="79"/>
      <c r="P22" s="41"/>
    </row>
    <row r="23">
      <c r="A23" s="85"/>
      <c r="F23" s="79"/>
      <c r="G23" s="79"/>
      <c r="P23" s="41"/>
      <c r="Q23" s="83"/>
    </row>
    <row r="24">
      <c r="F24" s="79"/>
      <c r="G24" s="79"/>
      <c r="N24" s="41"/>
      <c r="O24" s="41"/>
      <c r="P24" s="41"/>
    </row>
    <row r="25">
      <c r="A25" s="79"/>
      <c r="B25" s="79"/>
      <c r="C25" s="79"/>
      <c r="D25" s="79"/>
      <c r="E25" s="79"/>
      <c r="F25" s="79"/>
      <c r="G25" s="79"/>
    </row>
    <row r="26">
      <c r="A26" s="79"/>
      <c r="B26" s="79"/>
      <c r="C26" s="79"/>
      <c r="D26" s="79"/>
      <c r="E26" s="79"/>
      <c r="F26" s="79"/>
      <c r="G26" s="79"/>
      <c r="N26" s="41"/>
      <c r="O26" s="41"/>
      <c r="P26" s="41"/>
    </row>
    <row r="27">
      <c r="N27" s="41"/>
      <c r="P27" s="41"/>
    </row>
    <row r="29">
      <c r="N29" s="41"/>
      <c r="O29" s="41"/>
      <c r="P29" s="41"/>
    </row>
    <row r="30">
      <c r="N30" s="41"/>
      <c r="P30" s="41"/>
    </row>
    <row r="31">
      <c r="P31" s="41"/>
    </row>
    <row r="32">
      <c r="N32" s="41"/>
      <c r="P32" s="41"/>
    </row>
    <row r="33">
      <c r="P33" s="41"/>
    </row>
    <row r="34">
      <c r="P34" s="41"/>
    </row>
    <row r="35">
      <c r="P35" s="41"/>
    </row>
    <row r="37">
      <c r="N37" s="41"/>
      <c r="O37" s="41"/>
      <c r="P37" s="41"/>
    </row>
    <row r="38">
      <c r="N38" s="41"/>
    </row>
    <row r="39">
      <c r="N39" s="41"/>
      <c r="P39" s="41"/>
    </row>
    <row r="40">
      <c r="N40" s="41"/>
      <c r="P40" s="41"/>
    </row>
    <row r="41">
      <c r="N41" s="41"/>
      <c r="P41" s="41"/>
    </row>
    <row r="42">
      <c r="P42" s="41"/>
    </row>
    <row r="43">
      <c r="N43" s="41"/>
      <c r="O43" s="41"/>
      <c r="P43" s="41"/>
    </row>
    <row r="44">
      <c r="N44" s="41"/>
      <c r="P44" s="41"/>
    </row>
    <row r="46">
      <c r="N46" s="86"/>
    </row>
    <row r="47">
      <c r="N47" s="86"/>
    </row>
    <row r="48">
      <c r="N48" s="86"/>
    </row>
    <row r="49">
      <c r="N49" s="86"/>
    </row>
    <row r="50">
      <c r="N50" s="86"/>
    </row>
    <row r="51">
      <c r="N51" s="86"/>
    </row>
    <row r="52">
      <c r="A52" s="87" t="s">
        <v>54</v>
      </c>
      <c r="B52" s="88"/>
      <c r="C52" s="87" t="s">
        <v>55</v>
      </c>
      <c r="D52" s="88"/>
      <c r="E52" s="87" t="s">
        <v>56</v>
      </c>
      <c r="F52" s="88"/>
      <c r="G52" s="89" t="s">
        <v>57</v>
      </c>
      <c r="H52" s="89"/>
      <c r="I52" s="90" t="s">
        <v>58</v>
      </c>
      <c r="N52" s="86"/>
    </row>
    <row r="53">
      <c r="A53" s="91" t="s">
        <v>59</v>
      </c>
      <c r="C53" s="92" t="s">
        <v>60</v>
      </c>
      <c r="D53" s="93"/>
      <c r="E53" s="92" t="s">
        <v>60</v>
      </c>
      <c r="F53" s="94"/>
      <c r="G53" s="92" t="s">
        <v>60</v>
      </c>
      <c r="H53" s="94"/>
      <c r="I53" s="92" t="s">
        <v>60</v>
      </c>
      <c r="N53" s="86"/>
    </row>
    <row r="54">
      <c r="A54" s="95"/>
      <c r="C54" s="96" t="s">
        <v>61</v>
      </c>
      <c r="D54" s="97"/>
      <c r="E54" s="96" t="s">
        <v>62</v>
      </c>
      <c r="F54" s="97"/>
      <c r="G54" s="96" t="s">
        <v>62</v>
      </c>
      <c r="H54" s="98"/>
      <c r="I54" s="96" t="s">
        <v>62</v>
      </c>
      <c r="N54" s="86"/>
    </row>
    <row r="55">
      <c r="A55" s="91" t="s">
        <v>63</v>
      </c>
      <c r="C55" s="92" t="s">
        <v>64</v>
      </c>
      <c r="D55" s="94"/>
      <c r="E55" s="92" t="s">
        <v>64</v>
      </c>
      <c r="F55" s="94"/>
      <c r="G55" s="99" t="s">
        <v>64</v>
      </c>
      <c r="H55" s="100"/>
      <c r="I55" s="101" t="s">
        <v>65</v>
      </c>
      <c r="N55" s="86"/>
    </row>
    <row r="56">
      <c r="A56" s="95"/>
      <c r="C56" s="96" t="s">
        <v>65</v>
      </c>
      <c r="D56" s="97"/>
      <c r="E56" s="96" t="s">
        <v>65</v>
      </c>
      <c r="F56" s="97"/>
      <c r="G56" s="102" t="s">
        <v>66</v>
      </c>
      <c r="H56" s="103"/>
      <c r="I56" s="102" t="s">
        <v>66</v>
      </c>
      <c r="N56" s="86"/>
    </row>
    <row r="57">
      <c r="A57" s="91" t="s">
        <v>2</v>
      </c>
      <c r="C57" s="92" t="s">
        <v>67</v>
      </c>
      <c r="D57" s="94"/>
      <c r="E57" s="92" t="s">
        <v>67</v>
      </c>
      <c r="F57" s="94"/>
      <c r="G57" s="92" t="s">
        <v>67</v>
      </c>
      <c r="H57" s="100"/>
      <c r="I57" s="92" t="s">
        <v>67</v>
      </c>
      <c r="N57" s="86"/>
    </row>
    <row r="58">
      <c r="A58" s="95"/>
      <c r="C58" s="96" t="s">
        <v>68</v>
      </c>
      <c r="D58" s="97"/>
      <c r="E58" s="96" t="s">
        <v>68</v>
      </c>
      <c r="F58" s="97"/>
      <c r="G58" s="96" t="s">
        <v>68</v>
      </c>
      <c r="H58" s="103"/>
      <c r="I58" s="96" t="s">
        <v>68</v>
      </c>
      <c r="N58" s="86"/>
    </row>
    <row r="59">
      <c r="A59" s="91" t="s">
        <v>3</v>
      </c>
      <c r="C59" s="92" t="s">
        <v>69</v>
      </c>
      <c r="D59" s="94"/>
      <c r="E59" s="92" t="s">
        <v>69</v>
      </c>
      <c r="F59" s="94"/>
      <c r="G59" s="92" t="s">
        <v>70</v>
      </c>
      <c r="H59" s="100"/>
      <c r="I59" s="92" t="s">
        <v>70</v>
      </c>
      <c r="N59" s="86"/>
    </row>
    <row r="60">
      <c r="A60" s="95"/>
      <c r="C60" s="96" t="s">
        <v>71</v>
      </c>
      <c r="D60" s="97"/>
      <c r="E60" s="96" t="s">
        <v>71</v>
      </c>
      <c r="F60" s="97"/>
      <c r="G60" s="96" t="s">
        <v>71</v>
      </c>
      <c r="H60" s="103"/>
      <c r="I60" s="96" t="s">
        <v>72</v>
      </c>
      <c r="N60" s="86"/>
    </row>
    <row r="61">
      <c r="A61" s="104" t="s">
        <v>73</v>
      </c>
      <c r="C61" s="92" t="s">
        <v>74</v>
      </c>
      <c r="D61" s="94"/>
      <c r="E61" s="92" t="s">
        <v>74</v>
      </c>
      <c r="F61" s="94"/>
      <c r="G61" s="92" t="s">
        <v>74</v>
      </c>
      <c r="H61" s="100"/>
      <c r="I61" s="92" t="s">
        <v>74</v>
      </c>
      <c r="N61" s="86"/>
    </row>
    <row r="62">
      <c r="A62" s="105"/>
      <c r="C62" s="96"/>
      <c r="D62" s="97"/>
      <c r="E62" s="96"/>
      <c r="F62" s="97"/>
      <c r="G62" s="96"/>
      <c r="H62" s="106"/>
      <c r="I62" s="103"/>
      <c r="N62" s="86"/>
    </row>
    <row r="63">
      <c r="A63" s="91" t="s">
        <v>22</v>
      </c>
      <c r="C63" s="92" t="s">
        <v>75</v>
      </c>
      <c r="D63" s="94"/>
      <c r="E63" s="92" t="s">
        <v>76</v>
      </c>
      <c r="F63" s="94"/>
      <c r="G63" s="92" t="s">
        <v>76</v>
      </c>
      <c r="H63" s="100"/>
      <c r="I63" s="92" t="s">
        <v>76</v>
      </c>
      <c r="N63" s="86"/>
    </row>
    <row r="64">
      <c r="A64" s="95"/>
      <c r="C64" s="96" t="s">
        <v>77</v>
      </c>
      <c r="D64" s="97"/>
      <c r="E64" s="96" t="s">
        <v>77</v>
      </c>
      <c r="F64" s="97"/>
      <c r="G64" s="96" t="s">
        <v>77</v>
      </c>
      <c r="H64" s="103"/>
      <c r="I64" s="96" t="s">
        <v>77</v>
      </c>
      <c r="N64" s="86"/>
    </row>
    <row r="65">
      <c r="A65" s="91" t="s">
        <v>78</v>
      </c>
      <c r="C65" s="92" t="s">
        <v>79</v>
      </c>
      <c r="D65" s="94"/>
      <c r="E65" s="92" t="s">
        <v>79</v>
      </c>
      <c r="F65" s="94"/>
      <c r="G65" s="92" t="s">
        <v>79</v>
      </c>
      <c r="H65" s="100"/>
      <c r="I65" s="92" t="s">
        <v>79</v>
      </c>
      <c r="N65" s="86"/>
    </row>
    <row r="66">
      <c r="A66" s="95"/>
      <c r="C66" s="96" t="s">
        <v>80</v>
      </c>
      <c r="D66" s="97"/>
      <c r="E66" s="96" t="s">
        <v>80</v>
      </c>
      <c r="F66" s="97"/>
      <c r="G66" s="96" t="s">
        <v>80</v>
      </c>
      <c r="H66" s="103"/>
      <c r="I66" s="96" t="s">
        <v>80</v>
      </c>
      <c r="N66" s="86"/>
    </row>
    <row r="67">
      <c r="A67" s="91" t="s">
        <v>24</v>
      </c>
      <c r="C67" s="92" t="s">
        <v>81</v>
      </c>
      <c r="D67" s="94"/>
      <c r="E67" s="92" t="s">
        <v>82</v>
      </c>
      <c r="F67" s="94"/>
      <c r="G67" s="92" t="s">
        <v>82</v>
      </c>
      <c r="H67" s="100"/>
      <c r="I67" s="92" t="s">
        <v>82</v>
      </c>
      <c r="N67" s="86"/>
    </row>
    <row r="68">
      <c r="A68" s="95"/>
      <c r="C68" s="96" t="s">
        <v>83</v>
      </c>
      <c r="D68" s="97"/>
      <c r="E68" s="96" t="s">
        <v>83</v>
      </c>
      <c r="F68" s="97"/>
      <c r="G68" s="96" t="s">
        <v>83</v>
      </c>
      <c r="H68" s="103"/>
      <c r="I68" s="96" t="s">
        <v>83</v>
      </c>
      <c r="N68" s="86"/>
    </row>
    <row r="69">
      <c r="A69" s="91" t="s">
        <v>84</v>
      </c>
      <c r="C69" s="92" t="s">
        <v>85</v>
      </c>
      <c r="D69" s="94"/>
      <c r="E69" s="92" t="s">
        <v>85</v>
      </c>
      <c r="F69" s="94"/>
      <c r="G69" s="92" t="s">
        <v>85</v>
      </c>
      <c r="H69" s="100"/>
      <c r="I69" s="92" t="s">
        <v>85</v>
      </c>
      <c r="N69" s="86"/>
    </row>
    <row r="70">
      <c r="A70" s="95"/>
      <c r="C70" s="96" t="s">
        <v>86</v>
      </c>
      <c r="D70" s="97"/>
      <c r="E70" s="96" t="s">
        <v>86</v>
      </c>
      <c r="F70" s="97"/>
      <c r="G70" s="96" t="s">
        <v>86</v>
      </c>
      <c r="H70" s="103"/>
      <c r="I70" s="96" t="s">
        <v>86</v>
      </c>
      <c r="N70" s="86"/>
    </row>
    <row r="71">
      <c r="A71" s="91" t="s">
        <v>26</v>
      </c>
      <c r="C71" s="92" t="s">
        <v>87</v>
      </c>
      <c r="D71" s="94"/>
      <c r="E71" s="92" t="s">
        <v>88</v>
      </c>
      <c r="F71" s="94"/>
      <c r="G71" s="92" t="s">
        <v>88</v>
      </c>
      <c r="H71" s="100"/>
      <c r="I71" s="92" t="s">
        <v>88</v>
      </c>
      <c r="N71" s="86"/>
    </row>
    <row r="72">
      <c r="A72" s="95"/>
      <c r="B72" s="97"/>
      <c r="C72" s="96" t="s">
        <v>89</v>
      </c>
      <c r="D72" s="97"/>
      <c r="E72" s="96" t="s">
        <v>89</v>
      </c>
      <c r="F72" s="97"/>
      <c r="G72" s="96" t="s">
        <v>89</v>
      </c>
      <c r="H72" s="103"/>
      <c r="I72" s="96" t="s">
        <v>89</v>
      </c>
      <c r="N72" s="86"/>
    </row>
    <row r="73">
      <c r="N73" s="86"/>
    </row>
    <row r="74">
      <c r="N74" s="86"/>
    </row>
    <row r="75">
      <c r="N75" s="86"/>
    </row>
    <row r="76">
      <c r="N76" s="86"/>
    </row>
    <row r="77">
      <c r="N77" s="86"/>
    </row>
    <row r="78">
      <c r="N78" s="86"/>
    </row>
    <row r="79">
      <c r="N79" s="86"/>
    </row>
    <row r="80">
      <c r="N80" s="86"/>
    </row>
    <row r="81">
      <c r="N81" s="86"/>
    </row>
    <row r="82">
      <c r="N82" s="86"/>
    </row>
    <row r="83">
      <c r="N83" s="86"/>
    </row>
    <row r="84">
      <c r="N84" s="86"/>
    </row>
    <row r="85">
      <c r="N85" s="86"/>
    </row>
    <row r="86">
      <c r="N86" s="86"/>
    </row>
    <row r="87">
      <c r="N87" s="86"/>
    </row>
    <row r="88">
      <c r="N88" s="86"/>
    </row>
    <row r="89">
      <c r="N89" s="86"/>
    </row>
    <row r="90">
      <c r="N90" s="86"/>
    </row>
    <row r="91">
      <c r="N91" s="86"/>
    </row>
    <row r="92">
      <c r="N92" s="86"/>
    </row>
    <row r="93">
      <c r="N93" s="86"/>
    </row>
    <row r="94">
      <c r="N94" s="86"/>
    </row>
    <row r="95">
      <c r="N95" s="86"/>
    </row>
    <row r="96">
      <c r="N96" s="86"/>
    </row>
    <row r="97">
      <c r="N97" s="86"/>
    </row>
    <row r="98">
      <c r="N98" s="86"/>
    </row>
    <row r="99">
      <c r="N99" s="86"/>
    </row>
    <row r="100">
      <c r="N100" s="86"/>
    </row>
    <row r="101">
      <c r="N101" s="86"/>
    </row>
    <row r="102">
      <c r="N102" s="86"/>
    </row>
    <row r="103">
      <c r="N103" s="86"/>
    </row>
    <row r="104">
      <c r="N104" s="86"/>
    </row>
    <row r="105">
      <c r="N105" s="86"/>
    </row>
    <row r="106">
      <c r="N106" s="86"/>
    </row>
    <row r="107">
      <c r="N107" s="86"/>
    </row>
    <row r="108">
      <c r="N108" s="86"/>
    </row>
    <row r="109">
      <c r="N109" s="86"/>
    </row>
    <row r="110">
      <c r="N110" s="86"/>
    </row>
    <row r="111">
      <c r="N111" s="86"/>
    </row>
    <row r="112">
      <c r="N112" s="86"/>
    </row>
    <row r="113">
      <c r="N113" s="86"/>
    </row>
    <row r="114">
      <c r="N114" s="86"/>
    </row>
    <row r="115">
      <c r="N115" s="86"/>
    </row>
    <row r="116">
      <c r="N116" s="86"/>
    </row>
    <row r="117">
      <c r="N117" s="86"/>
    </row>
    <row r="118">
      <c r="N118" s="86"/>
    </row>
    <row r="119">
      <c r="N119" s="86"/>
    </row>
    <row r="120">
      <c r="N120" s="86"/>
    </row>
    <row r="121">
      <c r="N121" s="86"/>
    </row>
    <row r="122">
      <c r="N122" s="86"/>
    </row>
    <row r="123">
      <c r="N123" s="86"/>
    </row>
    <row r="124">
      <c r="N124" s="86"/>
    </row>
    <row r="125">
      <c r="N125" s="86"/>
    </row>
    <row r="126">
      <c r="N126" s="86"/>
    </row>
    <row r="127">
      <c r="N127" s="86"/>
    </row>
    <row r="128">
      <c r="N128" s="86"/>
    </row>
    <row r="129">
      <c r="N129" s="86"/>
    </row>
    <row r="130">
      <c r="N130" s="86"/>
    </row>
    <row r="131">
      <c r="N131" s="86"/>
    </row>
    <row r="132">
      <c r="N132" s="86"/>
    </row>
    <row r="133">
      <c r="N133" s="86"/>
    </row>
    <row r="134">
      <c r="N134" s="86"/>
    </row>
    <row r="135">
      <c r="N135" s="86"/>
    </row>
    <row r="136">
      <c r="N136" s="86"/>
    </row>
    <row r="137">
      <c r="N137" s="86"/>
    </row>
    <row r="138">
      <c r="N138" s="86"/>
    </row>
    <row r="139">
      <c r="N139" s="86"/>
    </row>
    <row r="140">
      <c r="N140" s="86"/>
    </row>
    <row r="141">
      <c r="N141" s="86"/>
    </row>
    <row r="142">
      <c r="N142" s="86"/>
    </row>
    <row r="143">
      <c r="N143" s="86"/>
    </row>
    <row r="144">
      <c r="N144" s="86"/>
    </row>
    <row r="145">
      <c r="N145" s="86"/>
    </row>
    <row r="146">
      <c r="N146" s="86"/>
    </row>
    <row r="147">
      <c r="N147" s="86"/>
    </row>
    <row r="148">
      <c r="N148" s="86"/>
    </row>
    <row r="149">
      <c r="N149" s="86"/>
    </row>
    <row r="150">
      <c r="N150" s="86"/>
    </row>
    <row r="151">
      <c r="N151" s="86"/>
    </row>
    <row r="152">
      <c r="N152" s="86"/>
    </row>
    <row r="153">
      <c r="N153" s="86"/>
    </row>
    <row r="154">
      <c r="N154" s="86"/>
    </row>
    <row r="155">
      <c r="N155" s="86"/>
    </row>
    <row r="156">
      <c r="N156" s="86"/>
    </row>
    <row r="157">
      <c r="N157" s="86"/>
    </row>
    <row r="158">
      <c r="N158" s="86"/>
    </row>
    <row r="159">
      <c r="N159" s="86"/>
    </row>
    <row r="160">
      <c r="N160" s="86"/>
    </row>
    <row r="161">
      <c r="N161" s="86"/>
    </row>
    <row r="162">
      <c r="N162" s="86"/>
    </row>
    <row r="163">
      <c r="N163" s="86"/>
    </row>
    <row r="164">
      <c r="N164" s="86"/>
    </row>
    <row r="165">
      <c r="N165" s="86"/>
    </row>
    <row r="166">
      <c r="N166" s="86"/>
    </row>
    <row r="167">
      <c r="N167" s="86"/>
    </row>
    <row r="168">
      <c r="N168" s="86"/>
    </row>
    <row r="169">
      <c r="N169" s="86"/>
    </row>
    <row r="170">
      <c r="N170" s="86"/>
    </row>
    <row r="171">
      <c r="N171" s="86"/>
    </row>
    <row r="172">
      <c r="N172" s="86"/>
    </row>
    <row r="173">
      <c r="N173" s="86"/>
    </row>
    <row r="174">
      <c r="N174" s="86"/>
    </row>
    <row r="175">
      <c r="N175" s="86"/>
    </row>
    <row r="176">
      <c r="N176" s="86"/>
    </row>
    <row r="177">
      <c r="N177" s="86"/>
    </row>
    <row r="178">
      <c r="N178" s="86"/>
    </row>
    <row r="179">
      <c r="N179" s="86"/>
    </row>
    <row r="180">
      <c r="N180" s="86"/>
    </row>
    <row r="181">
      <c r="N181" s="86"/>
    </row>
    <row r="182">
      <c r="N182" s="86"/>
    </row>
    <row r="183">
      <c r="N183" s="86"/>
    </row>
    <row r="184">
      <c r="N184" s="86"/>
    </row>
    <row r="185">
      <c r="N185" s="86"/>
    </row>
    <row r="186">
      <c r="N186" s="86"/>
    </row>
    <row r="187">
      <c r="N187" s="86"/>
    </row>
    <row r="188">
      <c r="N188" s="86"/>
    </row>
    <row r="189">
      <c r="N189" s="86"/>
    </row>
    <row r="190">
      <c r="N190" s="86"/>
    </row>
    <row r="191">
      <c r="N191" s="86"/>
    </row>
    <row r="192">
      <c r="N192" s="86"/>
    </row>
    <row r="193">
      <c r="N193" s="86"/>
    </row>
    <row r="194">
      <c r="N194" s="86"/>
    </row>
    <row r="195">
      <c r="N195" s="86"/>
    </row>
    <row r="196">
      <c r="N196" s="86"/>
    </row>
    <row r="197">
      <c r="N197" s="86"/>
    </row>
    <row r="198">
      <c r="N198" s="86"/>
    </row>
    <row r="199">
      <c r="N199" s="86"/>
    </row>
    <row r="200">
      <c r="N200" s="86"/>
    </row>
    <row r="201">
      <c r="N201" s="86"/>
    </row>
    <row r="202">
      <c r="N202" s="86"/>
    </row>
    <row r="203">
      <c r="N203" s="86"/>
    </row>
    <row r="204">
      <c r="N204" s="86"/>
    </row>
    <row r="205">
      <c r="N205" s="86"/>
    </row>
    <row r="206">
      <c r="N206" s="86"/>
    </row>
    <row r="207">
      <c r="N207" s="86"/>
    </row>
    <row r="208">
      <c r="N208" s="86"/>
    </row>
    <row r="209">
      <c r="N209" s="86"/>
    </row>
    <row r="210">
      <c r="N210" s="86"/>
    </row>
    <row r="211">
      <c r="N211" s="86"/>
    </row>
    <row r="212">
      <c r="N212" s="86"/>
    </row>
    <row r="213">
      <c r="N213" s="86"/>
    </row>
    <row r="214">
      <c r="N214" s="86"/>
    </row>
    <row r="215">
      <c r="N215" s="86"/>
    </row>
    <row r="216">
      <c r="N216" s="86"/>
    </row>
    <row r="217">
      <c r="N217" s="86"/>
    </row>
    <row r="218">
      <c r="N218" s="86"/>
    </row>
    <row r="219">
      <c r="N219" s="86"/>
    </row>
    <row r="220">
      <c r="N220" s="86"/>
    </row>
    <row r="221">
      <c r="N221" s="86"/>
    </row>
    <row r="222">
      <c r="N222" s="86"/>
    </row>
    <row r="223">
      <c r="N223" s="86"/>
    </row>
    <row r="224">
      <c r="N224" s="86"/>
    </row>
    <row r="225">
      <c r="N225" s="86"/>
    </row>
    <row r="226">
      <c r="N226" s="86"/>
    </row>
    <row r="227">
      <c r="N227" s="86"/>
    </row>
    <row r="228">
      <c r="N228" s="86"/>
    </row>
    <row r="229">
      <c r="N229" s="86"/>
    </row>
    <row r="230">
      <c r="N230" s="86"/>
    </row>
    <row r="231">
      <c r="N231" s="86"/>
    </row>
    <row r="232">
      <c r="N232" s="86"/>
    </row>
    <row r="233">
      <c r="N233" s="86"/>
    </row>
    <row r="234">
      <c r="N234" s="86"/>
    </row>
    <row r="235">
      <c r="N235" s="86"/>
    </row>
    <row r="236">
      <c r="N236" s="86"/>
    </row>
    <row r="237">
      <c r="N237" s="86"/>
    </row>
    <row r="238">
      <c r="N238" s="86"/>
    </row>
    <row r="239">
      <c r="N239" s="86"/>
    </row>
    <row r="240">
      <c r="N240" s="86"/>
    </row>
    <row r="241">
      <c r="N241" s="86"/>
    </row>
    <row r="242">
      <c r="N242" s="86"/>
    </row>
    <row r="243">
      <c r="N243" s="86"/>
    </row>
    <row r="244">
      <c r="N244" s="86"/>
    </row>
    <row r="245">
      <c r="N245" s="86"/>
    </row>
    <row r="246">
      <c r="N246" s="86"/>
    </row>
    <row r="247">
      <c r="N247" s="86"/>
    </row>
    <row r="248">
      <c r="N248" s="86"/>
    </row>
    <row r="249">
      <c r="N249" s="86"/>
    </row>
    <row r="250">
      <c r="N250" s="86"/>
    </row>
    <row r="251">
      <c r="N251" s="86"/>
    </row>
    <row r="252">
      <c r="N252" s="86"/>
    </row>
    <row r="253">
      <c r="N253" s="86"/>
    </row>
    <row r="254">
      <c r="N254" s="86"/>
    </row>
    <row r="255">
      <c r="N255" s="86"/>
    </row>
    <row r="256">
      <c r="N256" s="86"/>
    </row>
    <row r="257">
      <c r="N257" s="86"/>
    </row>
    <row r="258">
      <c r="N258" s="86"/>
    </row>
    <row r="259">
      <c r="N259" s="86"/>
    </row>
    <row r="260">
      <c r="N260" s="86"/>
    </row>
    <row r="261">
      <c r="N261" s="86"/>
    </row>
    <row r="262">
      <c r="N262" s="86"/>
    </row>
    <row r="263">
      <c r="N263" s="86"/>
    </row>
    <row r="264">
      <c r="N264" s="86"/>
    </row>
    <row r="265">
      <c r="N265" s="86"/>
    </row>
    <row r="266">
      <c r="N266" s="86"/>
    </row>
    <row r="267">
      <c r="N267" s="86"/>
    </row>
    <row r="268">
      <c r="N268" s="86"/>
    </row>
    <row r="269">
      <c r="N269" s="86"/>
    </row>
    <row r="270">
      <c r="N270" s="86"/>
    </row>
    <row r="271">
      <c r="N271" s="86"/>
    </row>
    <row r="272">
      <c r="N272" s="86"/>
    </row>
    <row r="273">
      <c r="N273" s="86"/>
    </row>
    <row r="274">
      <c r="N274" s="86"/>
    </row>
    <row r="275">
      <c r="N275" s="86"/>
    </row>
    <row r="276">
      <c r="N276" s="86"/>
    </row>
    <row r="277">
      <c r="N277" s="86"/>
    </row>
    <row r="278">
      <c r="N278" s="86"/>
    </row>
    <row r="279">
      <c r="N279" s="86"/>
    </row>
    <row r="280">
      <c r="N280" s="86"/>
    </row>
    <row r="281">
      <c r="N281" s="86"/>
    </row>
    <row r="282">
      <c r="N282" s="86"/>
    </row>
    <row r="283">
      <c r="N283" s="86"/>
    </row>
    <row r="284">
      <c r="N284" s="86"/>
    </row>
    <row r="285">
      <c r="N285" s="86"/>
    </row>
    <row r="286">
      <c r="N286" s="86"/>
    </row>
    <row r="287">
      <c r="N287" s="86"/>
    </row>
    <row r="288">
      <c r="N288" s="86"/>
    </row>
    <row r="289">
      <c r="N289" s="86"/>
    </row>
    <row r="290">
      <c r="N290" s="86"/>
    </row>
    <row r="291">
      <c r="N291" s="86"/>
    </row>
    <row r="292">
      <c r="N292" s="86"/>
    </row>
    <row r="293">
      <c r="N293" s="86"/>
    </row>
    <row r="294">
      <c r="N294" s="86"/>
    </row>
    <row r="295">
      <c r="N295" s="86"/>
    </row>
    <row r="296">
      <c r="N296" s="86"/>
    </row>
    <row r="297">
      <c r="N297" s="86"/>
    </row>
    <row r="298">
      <c r="N298" s="86"/>
    </row>
    <row r="299">
      <c r="N299" s="86"/>
    </row>
    <row r="300">
      <c r="N300" s="86"/>
    </row>
    <row r="301">
      <c r="N301" s="86"/>
    </row>
    <row r="302">
      <c r="N302" s="86"/>
    </row>
    <row r="303">
      <c r="N303" s="86"/>
    </row>
    <row r="304">
      <c r="N304" s="86"/>
    </row>
    <row r="305">
      <c r="N305" s="86"/>
    </row>
    <row r="306">
      <c r="N306" s="86"/>
    </row>
    <row r="307">
      <c r="N307" s="86"/>
    </row>
    <row r="308">
      <c r="N308" s="86"/>
    </row>
    <row r="309">
      <c r="N309" s="86"/>
    </row>
    <row r="310">
      <c r="N310" s="86"/>
    </row>
    <row r="311">
      <c r="N311" s="86"/>
    </row>
    <row r="312">
      <c r="N312" s="86"/>
    </row>
    <row r="313">
      <c r="N313" s="86"/>
    </row>
    <row r="314">
      <c r="N314" s="86"/>
    </row>
    <row r="315">
      <c r="N315" s="86"/>
    </row>
    <row r="316">
      <c r="N316" s="86"/>
    </row>
    <row r="317">
      <c r="N317" s="86"/>
    </row>
    <row r="318">
      <c r="N318" s="86"/>
    </row>
    <row r="319">
      <c r="N319" s="86"/>
    </row>
    <row r="320">
      <c r="N320" s="86"/>
    </row>
    <row r="321">
      <c r="N321" s="86"/>
    </row>
    <row r="322">
      <c r="N322" s="86"/>
    </row>
    <row r="323">
      <c r="N323" s="86"/>
    </row>
    <row r="324">
      <c r="N324" s="86"/>
    </row>
    <row r="325">
      <c r="N325" s="86"/>
    </row>
    <row r="326">
      <c r="N326" s="86"/>
    </row>
    <row r="327">
      <c r="N327" s="86"/>
    </row>
    <row r="328">
      <c r="N328" s="86"/>
    </row>
    <row r="329">
      <c r="N329" s="86"/>
    </row>
    <row r="330">
      <c r="N330" s="86"/>
    </row>
    <row r="331">
      <c r="N331" s="86"/>
    </row>
    <row r="332">
      <c r="N332" s="86"/>
    </row>
    <row r="333">
      <c r="N333" s="86"/>
    </row>
    <row r="334">
      <c r="N334" s="86"/>
    </row>
    <row r="335">
      <c r="N335" s="86"/>
    </row>
    <row r="336">
      <c r="N336" s="86"/>
    </row>
    <row r="337">
      <c r="N337" s="86"/>
    </row>
    <row r="338">
      <c r="N338" s="86"/>
    </row>
    <row r="339">
      <c r="N339" s="86"/>
    </row>
    <row r="340">
      <c r="N340" s="86"/>
    </row>
    <row r="341">
      <c r="N341" s="86"/>
    </row>
    <row r="342">
      <c r="N342" s="86"/>
    </row>
    <row r="343">
      <c r="N343" s="86"/>
    </row>
    <row r="344">
      <c r="N344" s="86"/>
    </row>
    <row r="345">
      <c r="N345" s="86"/>
    </row>
    <row r="346">
      <c r="N346" s="86"/>
    </row>
    <row r="347">
      <c r="N347" s="86"/>
    </row>
    <row r="348">
      <c r="N348" s="86"/>
    </row>
    <row r="349">
      <c r="N349" s="86"/>
    </row>
    <row r="350">
      <c r="N350" s="86"/>
    </row>
    <row r="351">
      <c r="N351" s="86"/>
    </row>
    <row r="352">
      <c r="N352" s="86"/>
    </row>
    <row r="353">
      <c r="N353" s="86"/>
    </row>
    <row r="354">
      <c r="N354" s="86"/>
    </row>
    <row r="355">
      <c r="N355" s="86"/>
    </row>
    <row r="356">
      <c r="N356" s="86"/>
    </row>
    <row r="357">
      <c r="N357" s="86"/>
    </row>
    <row r="358">
      <c r="N358" s="86"/>
    </row>
    <row r="359">
      <c r="N359" s="86"/>
    </row>
    <row r="360">
      <c r="N360" s="86"/>
    </row>
    <row r="361">
      <c r="N361" s="86"/>
    </row>
    <row r="362">
      <c r="N362" s="86"/>
    </row>
    <row r="363">
      <c r="N363" s="86"/>
    </row>
    <row r="364">
      <c r="N364" s="86"/>
    </row>
    <row r="365">
      <c r="N365" s="86"/>
    </row>
    <row r="366">
      <c r="N366" s="86"/>
    </row>
    <row r="367">
      <c r="N367" s="86"/>
    </row>
    <row r="368">
      <c r="N368" s="86"/>
    </row>
    <row r="369">
      <c r="N369" s="86"/>
    </row>
    <row r="370">
      <c r="N370" s="86"/>
    </row>
    <row r="371">
      <c r="N371" s="86"/>
    </row>
    <row r="372">
      <c r="N372" s="86"/>
    </row>
    <row r="373">
      <c r="N373" s="86"/>
    </row>
    <row r="374">
      <c r="N374" s="86"/>
    </row>
    <row r="375">
      <c r="N375" s="86"/>
    </row>
    <row r="376">
      <c r="N376" s="86"/>
    </row>
    <row r="377">
      <c r="N377" s="86"/>
    </row>
    <row r="378">
      <c r="N378" s="86"/>
    </row>
    <row r="379">
      <c r="N379" s="86"/>
    </row>
    <row r="380">
      <c r="N380" s="86"/>
    </row>
    <row r="381">
      <c r="N381" s="86"/>
    </row>
    <row r="382">
      <c r="N382" s="86"/>
    </row>
    <row r="383">
      <c r="N383" s="86"/>
    </row>
    <row r="384">
      <c r="N384" s="86"/>
    </row>
    <row r="385">
      <c r="N385" s="86"/>
    </row>
    <row r="386">
      <c r="N386" s="86"/>
    </row>
    <row r="387">
      <c r="N387" s="86"/>
    </row>
    <row r="388">
      <c r="N388" s="86"/>
    </row>
    <row r="389">
      <c r="N389" s="86"/>
    </row>
    <row r="390">
      <c r="N390" s="86"/>
    </row>
    <row r="391">
      <c r="N391" s="86"/>
    </row>
    <row r="392">
      <c r="N392" s="86"/>
    </row>
    <row r="393">
      <c r="N393" s="86"/>
    </row>
    <row r="394">
      <c r="N394" s="86"/>
    </row>
    <row r="395">
      <c r="N395" s="86"/>
    </row>
    <row r="396">
      <c r="N396" s="86"/>
    </row>
    <row r="397">
      <c r="N397" s="86"/>
    </row>
    <row r="398">
      <c r="N398" s="86"/>
    </row>
    <row r="399">
      <c r="N399" s="86"/>
    </row>
    <row r="400">
      <c r="N400" s="86"/>
    </row>
    <row r="401">
      <c r="N401" s="86"/>
    </row>
    <row r="402">
      <c r="N402" s="86"/>
    </row>
    <row r="403">
      <c r="N403" s="86"/>
    </row>
    <row r="404">
      <c r="N404" s="86"/>
    </row>
    <row r="405">
      <c r="N405" s="86"/>
    </row>
    <row r="406">
      <c r="N406" s="86"/>
    </row>
    <row r="407">
      <c r="N407" s="86"/>
    </row>
    <row r="408">
      <c r="N408" s="86"/>
    </row>
    <row r="409">
      <c r="N409" s="86"/>
    </row>
    <row r="410">
      <c r="N410" s="86"/>
    </row>
    <row r="411">
      <c r="N411" s="86"/>
    </row>
    <row r="412">
      <c r="N412" s="86"/>
    </row>
    <row r="413">
      <c r="N413" s="86"/>
    </row>
    <row r="414">
      <c r="N414" s="86"/>
    </row>
    <row r="415">
      <c r="N415" s="86"/>
    </row>
    <row r="416">
      <c r="N416" s="86"/>
    </row>
    <row r="417">
      <c r="N417" s="86"/>
    </row>
    <row r="418">
      <c r="N418" s="86"/>
    </row>
    <row r="419">
      <c r="N419" s="86"/>
    </row>
    <row r="420">
      <c r="N420" s="86"/>
    </row>
    <row r="421">
      <c r="N421" s="86"/>
    </row>
    <row r="422">
      <c r="N422" s="86"/>
    </row>
    <row r="423">
      <c r="N423" s="86"/>
    </row>
    <row r="424">
      <c r="N424" s="86"/>
    </row>
    <row r="425">
      <c r="N425" s="86"/>
    </row>
    <row r="426">
      <c r="N426" s="86"/>
    </row>
    <row r="427">
      <c r="N427" s="86"/>
    </row>
    <row r="428">
      <c r="N428" s="86"/>
    </row>
    <row r="429">
      <c r="N429" s="86"/>
    </row>
    <row r="430">
      <c r="N430" s="86"/>
    </row>
    <row r="431">
      <c r="N431" s="86"/>
    </row>
    <row r="432">
      <c r="N432" s="86"/>
    </row>
    <row r="433">
      <c r="N433" s="86"/>
    </row>
    <row r="434">
      <c r="N434" s="86"/>
    </row>
    <row r="435">
      <c r="N435" s="86"/>
    </row>
    <row r="436">
      <c r="N436" s="86"/>
    </row>
    <row r="437">
      <c r="N437" s="86"/>
    </row>
    <row r="438">
      <c r="N438" s="86"/>
    </row>
    <row r="439">
      <c r="N439" s="86"/>
    </row>
    <row r="440">
      <c r="N440" s="86"/>
    </row>
    <row r="441">
      <c r="N441" s="86"/>
    </row>
    <row r="442">
      <c r="N442" s="86"/>
    </row>
    <row r="443">
      <c r="N443" s="86"/>
    </row>
    <row r="444">
      <c r="N444" s="86"/>
    </row>
    <row r="445">
      <c r="N445" s="86"/>
    </row>
    <row r="446">
      <c r="N446" s="86"/>
    </row>
    <row r="447">
      <c r="N447" s="86"/>
    </row>
    <row r="448">
      <c r="N448" s="86"/>
    </row>
    <row r="449">
      <c r="N449" s="86"/>
    </row>
    <row r="450">
      <c r="N450" s="86"/>
    </row>
    <row r="451">
      <c r="N451" s="86"/>
    </row>
    <row r="452">
      <c r="N452" s="86"/>
    </row>
    <row r="453">
      <c r="N453" s="86"/>
    </row>
    <row r="454">
      <c r="N454" s="86"/>
    </row>
    <row r="455">
      <c r="N455" s="86"/>
    </row>
    <row r="456">
      <c r="N456" s="86"/>
    </row>
    <row r="457">
      <c r="N457" s="86"/>
    </row>
    <row r="458">
      <c r="N458" s="86"/>
    </row>
    <row r="459">
      <c r="N459" s="86"/>
    </row>
    <row r="460">
      <c r="N460" s="86"/>
    </row>
    <row r="461">
      <c r="N461" s="86"/>
    </row>
    <row r="462">
      <c r="N462" s="86"/>
    </row>
    <row r="463">
      <c r="N463" s="86"/>
    </row>
    <row r="464">
      <c r="N464" s="86"/>
    </row>
    <row r="465">
      <c r="N465" s="86"/>
    </row>
    <row r="466">
      <c r="N466" s="86"/>
    </row>
    <row r="467">
      <c r="N467" s="86"/>
    </row>
    <row r="468">
      <c r="N468" s="86"/>
    </row>
    <row r="469">
      <c r="N469" s="86"/>
    </row>
    <row r="470">
      <c r="N470" s="86"/>
    </row>
    <row r="471">
      <c r="N471" s="86"/>
    </row>
    <row r="472">
      <c r="N472" s="86"/>
    </row>
    <row r="473">
      <c r="N473" s="86"/>
    </row>
    <row r="474">
      <c r="N474" s="86"/>
    </row>
    <row r="475">
      <c r="N475" s="86"/>
    </row>
    <row r="476">
      <c r="N476" s="86"/>
    </row>
    <row r="477">
      <c r="N477" s="86"/>
    </row>
    <row r="478">
      <c r="N478" s="86"/>
    </row>
    <row r="479">
      <c r="N479" s="86"/>
    </row>
    <row r="480">
      <c r="N480" s="86"/>
    </row>
    <row r="481">
      <c r="N481" s="86"/>
    </row>
    <row r="482">
      <c r="N482" s="86"/>
    </row>
    <row r="483">
      <c r="N483" s="86"/>
    </row>
    <row r="484">
      <c r="N484" s="86"/>
    </row>
    <row r="485">
      <c r="N485" s="86"/>
    </row>
    <row r="486">
      <c r="N486" s="86"/>
    </row>
    <row r="487">
      <c r="N487" s="86"/>
    </row>
    <row r="488">
      <c r="N488" s="86"/>
    </row>
    <row r="489">
      <c r="N489" s="86"/>
    </row>
    <row r="490">
      <c r="N490" s="86"/>
    </row>
    <row r="491">
      <c r="N491" s="86"/>
    </row>
    <row r="492">
      <c r="N492" s="86"/>
    </row>
    <row r="493">
      <c r="N493" s="86"/>
    </row>
    <row r="494">
      <c r="N494" s="86"/>
    </row>
    <row r="495">
      <c r="N495" s="86"/>
    </row>
    <row r="496">
      <c r="N496" s="86"/>
    </row>
    <row r="497">
      <c r="N497" s="86"/>
    </row>
    <row r="498">
      <c r="N498" s="86"/>
    </row>
    <row r="499">
      <c r="N499" s="86"/>
    </row>
    <row r="500">
      <c r="N500" s="86"/>
    </row>
    <row r="501">
      <c r="N501" s="86"/>
    </row>
    <row r="502">
      <c r="N502" s="86"/>
    </row>
    <row r="503">
      <c r="N503" s="86"/>
    </row>
    <row r="504">
      <c r="N504" s="86"/>
    </row>
    <row r="505">
      <c r="N505" s="86"/>
    </row>
    <row r="506">
      <c r="N506" s="86"/>
    </row>
    <row r="507">
      <c r="N507" s="86"/>
    </row>
    <row r="508">
      <c r="N508" s="86"/>
    </row>
    <row r="509">
      <c r="N509" s="86"/>
    </row>
    <row r="510">
      <c r="N510" s="86"/>
    </row>
    <row r="511">
      <c r="N511" s="86"/>
    </row>
    <row r="512">
      <c r="N512" s="86"/>
    </row>
    <row r="513">
      <c r="N513" s="86"/>
    </row>
    <row r="514">
      <c r="N514" s="86"/>
    </row>
    <row r="515">
      <c r="N515" s="86"/>
    </row>
    <row r="516">
      <c r="N516" s="86"/>
    </row>
    <row r="517">
      <c r="N517" s="86"/>
    </row>
    <row r="518">
      <c r="N518" s="86"/>
    </row>
    <row r="519">
      <c r="N519" s="86"/>
    </row>
    <row r="520">
      <c r="N520" s="86"/>
    </row>
    <row r="521">
      <c r="N521" s="86"/>
    </row>
    <row r="522">
      <c r="N522" s="86"/>
    </row>
    <row r="523">
      <c r="N523" s="86"/>
    </row>
    <row r="524">
      <c r="N524" s="86"/>
    </row>
    <row r="525">
      <c r="N525" s="86"/>
    </row>
    <row r="526">
      <c r="N526" s="86"/>
    </row>
    <row r="527">
      <c r="N527" s="86"/>
    </row>
    <row r="528">
      <c r="N528" s="86"/>
    </row>
    <row r="529">
      <c r="N529" s="86"/>
    </row>
    <row r="530">
      <c r="N530" s="86"/>
    </row>
    <row r="531">
      <c r="N531" s="86"/>
    </row>
    <row r="532">
      <c r="N532" s="86"/>
    </row>
    <row r="533">
      <c r="N533" s="86"/>
    </row>
    <row r="534">
      <c r="N534" s="86"/>
    </row>
    <row r="535">
      <c r="N535" s="86"/>
    </row>
    <row r="536">
      <c r="N536" s="86"/>
    </row>
    <row r="537">
      <c r="N537" s="86"/>
    </row>
    <row r="538">
      <c r="N538" s="86"/>
    </row>
    <row r="539">
      <c r="N539" s="86"/>
    </row>
    <row r="540">
      <c r="N540" s="86"/>
    </row>
    <row r="541">
      <c r="N541" s="86"/>
    </row>
    <row r="542">
      <c r="N542" s="86"/>
    </row>
    <row r="543">
      <c r="N543" s="86"/>
    </row>
    <row r="544">
      <c r="N544" s="86"/>
    </row>
    <row r="545">
      <c r="N545" s="86"/>
    </row>
    <row r="546">
      <c r="N546" s="86"/>
    </row>
    <row r="547">
      <c r="N547" s="86"/>
    </row>
    <row r="548">
      <c r="N548" s="86"/>
    </row>
    <row r="549">
      <c r="N549" s="86"/>
    </row>
    <row r="550">
      <c r="N550" s="86"/>
    </row>
    <row r="551">
      <c r="N551" s="86"/>
    </row>
    <row r="552">
      <c r="N552" s="86"/>
    </row>
    <row r="553">
      <c r="N553" s="86"/>
    </row>
    <row r="554">
      <c r="N554" s="86"/>
    </row>
    <row r="555">
      <c r="N555" s="86"/>
    </row>
    <row r="556">
      <c r="N556" s="86"/>
    </row>
    <row r="557">
      <c r="N557" s="86"/>
    </row>
    <row r="558">
      <c r="N558" s="86"/>
    </row>
    <row r="559">
      <c r="N559" s="86"/>
    </row>
    <row r="560">
      <c r="N560" s="86"/>
    </row>
    <row r="561">
      <c r="N561" s="86"/>
    </row>
    <row r="562">
      <c r="N562" s="86"/>
    </row>
    <row r="563">
      <c r="N563" s="86"/>
    </row>
    <row r="564">
      <c r="N564" s="86"/>
    </row>
    <row r="565">
      <c r="N565" s="86"/>
    </row>
    <row r="566">
      <c r="N566" s="86"/>
    </row>
    <row r="567">
      <c r="N567" s="86"/>
    </row>
    <row r="568">
      <c r="N568" s="86"/>
    </row>
    <row r="569">
      <c r="N569" s="86"/>
    </row>
    <row r="570">
      <c r="N570" s="86"/>
    </row>
    <row r="571">
      <c r="N571" s="86"/>
    </row>
    <row r="572">
      <c r="N572" s="86"/>
    </row>
    <row r="573">
      <c r="N573" s="86"/>
    </row>
    <row r="574">
      <c r="N574" s="86"/>
    </row>
    <row r="575">
      <c r="N575" s="86"/>
    </row>
    <row r="576">
      <c r="N576" s="86"/>
    </row>
    <row r="577">
      <c r="N577" s="86"/>
    </row>
    <row r="578">
      <c r="N578" s="86"/>
    </row>
    <row r="579">
      <c r="N579" s="86"/>
    </row>
    <row r="580">
      <c r="N580" s="86"/>
    </row>
    <row r="581">
      <c r="N581" s="86"/>
    </row>
    <row r="582">
      <c r="N582" s="86"/>
    </row>
    <row r="583">
      <c r="N583" s="86"/>
    </row>
    <row r="584">
      <c r="N584" s="86"/>
    </row>
    <row r="585">
      <c r="N585" s="86"/>
    </row>
    <row r="586">
      <c r="N586" s="86"/>
    </row>
    <row r="587">
      <c r="N587" s="86"/>
    </row>
    <row r="588">
      <c r="N588" s="86"/>
    </row>
    <row r="589">
      <c r="N589" s="86"/>
    </row>
    <row r="590">
      <c r="N590" s="86"/>
    </row>
    <row r="591">
      <c r="N591" s="86"/>
    </row>
    <row r="592">
      <c r="N592" s="86"/>
    </row>
    <row r="593">
      <c r="N593" s="86"/>
    </row>
    <row r="594">
      <c r="N594" s="86"/>
    </row>
    <row r="595">
      <c r="N595" s="86"/>
    </row>
    <row r="596">
      <c r="N596" s="86"/>
    </row>
    <row r="597">
      <c r="N597" s="86"/>
    </row>
    <row r="598">
      <c r="N598" s="86"/>
    </row>
    <row r="599">
      <c r="N599" s="86"/>
    </row>
    <row r="600">
      <c r="N600" s="86"/>
    </row>
    <row r="601">
      <c r="N601" s="86"/>
    </row>
    <row r="602">
      <c r="N602" s="86"/>
    </row>
    <row r="603">
      <c r="N603" s="86"/>
    </row>
    <row r="604">
      <c r="N604" s="86"/>
    </row>
    <row r="605">
      <c r="N605" s="86"/>
    </row>
    <row r="606">
      <c r="N606" s="86"/>
    </row>
    <row r="607">
      <c r="N607" s="86"/>
    </row>
    <row r="608">
      <c r="N608" s="86"/>
    </row>
    <row r="609">
      <c r="N609" s="86"/>
    </row>
    <row r="610">
      <c r="N610" s="86"/>
    </row>
    <row r="611">
      <c r="N611" s="86"/>
    </row>
    <row r="612">
      <c r="N612" s="86"/>
    </row>
    <row r="613">
      <c r="N613" s="86"/>
    </row>
    <row r="614">
      <c r="N614" s="86"/>
    </row>
    <row r="615">
      <c r="N615" s="86"/>
    </row>
    <row r="616">
      <c r="N616" s="86"/>
    </row>
    <row r="617">
      <c r="N617" s="86"/>
    </row>
    <row r="618">
      <c r="N618" s="86"/>
    </row>
    <row r="619">
      <c r="N619" s="86"/>
    </row>
    <row r="620">
      <c r="N620" s="86"/>
    </row>
    <row r="621">
      <c r="N621" s="86"/>
    </row>
    <row r="622">
      <c r="N622" s="86"/>
    </row>
    <row r="623">
      <c r="N623" s="86"/>
    </row>
    <row r="624">
      <c r="N624" s="86"/>
    </row>
    <row r="625">
      <c r="N625" s="86"/>
    </row>
    <row r="626">
      <c r="N626" s="86"/>
    </row>
    <row r="627">
      <c r="N627" s="86"/>
    </row>
    <row r="628">
      <c r="N628" s="86"/>
    </row>
    <row r="629">
      <c r="N629" s="86"/>
    </row>
    <row r="630">
      <c r="N630" s="86"/>
    </row>
    <row r="631">
      <c r="N631" s="86"/>
    </row>
    <row r="632">
      <c r="N632" s="86"/>
    </row>
    <row r="633">
      <c r="N633" s="86"/>
    </row>
    <row r="634">
      <c r="N634" s="86"/>
    </row>
    <row r="635">
      <c r="N635" s="86"/>
    </row>
    <row r="636">
      <c r="N636" s="86"/>
    </row>
    <row r="637">
      <c r="N637" s="86"/>
    </row>
    <row r="638">
      <c r="N638" s="86"/>
    </row>
    <row r="639">
      <c r="N639" s="86"/>
    </row>
    <row r="640">
      <c r="N640" s="86"/>
    </row>
    <row r="641">
      <c r="N641" s="86"/>
    </row>
    <row r="642">
      <c r="N642" s="86"/>
    </row>
    <row r="643">
      <c r="N643" s="86"/>
    </row>
    <row r="644">
      <c r="N644" s="86"/>
    </row>
    <row r="645">
      <c r="N645" s="86"/>
    </row>
    <row r="646">
      <c r="N646" s="86"/>
    </row>
    <row r="647">
      <c r="N647" s="86"/>
    </row>
    <row r="648">
      <c r="N648" s="86"/>
    </row>
    <row r="649">
      <c r="N649" s="86"/>
    </row>
    <row r="650">
      <c r="N650" s="86"/>
    </row>
    <row r="651">
      <c r="N651" s="86"/>
    </row>
    <row r="652">
      <c r="N652" s="86"/>
    </row>
    <row r="653">
      <c r="N653" s="86"/>
    </row>
    <row r="654">
      <c r="N654" s="86"/>
    </row>
    <row r="655">
      <c r="N655" s="86"/>
    </row>
    <row r="656">
      <c r="N656" s="86"/>
    </row>
    <row r="657">
      <c r="N657" s="86"/>
    </row>
    <row r="658">
      <c r="N658" s="86"/>
    </row>
    <row r="659">
      <c r="N659" s="86"/>
    </row>
    <row r="660">
      <c r="N660" s="86"/>
    </row>
    <row r="661">
      <c r="N661" s="86"/>
    </row>
    <row r="662">
      <c r="N662" s="86"/>
    </row>
    <row r="663">
      <c r="N663" s="86"/>
    </row>
    <row r="664">
      <c r="N664" s="86"/>
    </row>
    <row r="665">
      <c r="N665" s="86"/>
    </row>
    <row r="666">
      <c r="N666" s="86"/>
    </row>
    <row r="667">
      <c r="N667" s="86"/>
    </row>
    <row r="668">
      <c r="N668" s="86"/>
    </row>
    <row r="669">
      <c r="N669" s="86"/>
    </row>
    <row r="670">
      <c r="N670" s="86"/>
    </row>
    <row r="671">
      <c r="N671" s="86"/>
    </row>
    <row r="672">
      <c r="N672" s="86"/>
    </row>
    <row r="673">
      <c r="N673" s="86"/>
    </row>
    <row r="674">
      <c r="N674" s="86"/>
    </row>
    <row r="675">
      <c r="N675" s="86"/>
    </row>
    <row r="676">
      <c r="N676" s="86"/>
    </row>
    <row r="677">
      <c r="N677" s="86"/>
    </row>
    <row r="678">
      <c r="N678" s="86"/>
    </row>
    <row r="679">
      <c r="N679" s="86"/>
    </row>
    <row r="680">
      <c r="N680" s="86"/>
    </row>
    <row r="681">
      <c r="N681" s="86"/>
    </row>
    <row r="682">
      <c r="N682" s="86"/>
    </row>
    <row r="683">
      <c r="N683" s="86"/>
    </row>
    <row r="684">
      <c r="N684" s="86"/>
    </row>
    <row r="685">
      <c r="N685" s="86"/>
    </row>
    <row r="686">
      <c r="N686" s="86"/>
    </row>
    <row r="687">
      <c r="N687" s="86"/>
    </row>
    <row r="688">
      <c r="N688" s="86"/>
    </row>
    <row r="689">
      <c r="N689" s="86"/>
    </row>
    <row r="690">
      <c r="N690" s="86"/>
    </row>
    <row r="691">
      <c r="N691" s="86"/>
    </row>
    <row r="692">
      <c r="N692" s="86"/>
    </row>
    <row r="693">
      <c r="N693" s="86"/>
    </row>
    <row r="694">
      <c r="N694" s="86"/>
    </row>
    <row r="695">
      <c r="N695" s="86"/>
    </row>
    <row r="696">
      <c r="N696" s="86"/>
    </row>
    <row r="697">
      <c r="N697" s="86"/>
    </row>
    <row r="698">
      <c r="N698" s="86"/>
    </row>
    <row r="699">
      <c r="N699" s="86"/>
    </row>
    <row r="700">
      <c r="N700" s="86"/>
    </row>
    <row r="701">
      <c r="N701" s="86"/>
    </row>
    <row r="702">
      <c r="N702" s="86"/>
    </row>
    <row r="703">
      <c r="N703" s="86"/>
    </row>
    <row r="704">
      <c r="N704" s="86"/>
    </row>
    <row r="705">
      <c r="N705" s="86"/>
    </row>
    <row r="706">
      <c r="N706" s="86"/>
    </row>
    <row r="707">
      <c r="N707" s="86"/>
    </row>
    <row r="708">
      <c r="N708" s="86"/>
    </row>
    <row r="709">
      <c r="N709" s="86"/>
    </row>
    <row r="710">
      <c r="N710" s="86"/>
    </row>
    <row r="711">
      <c r="N711" s="86"/>
    </row>
    <row r="712">
      <c r="N712" s="86"/>
    </row>
    <row r="713">
      <c r="N713" s="86"/>
    </row>
    <row r="714">
      <c r="N714" s="86"/>
    </row>
    <row r="715">
      <c r="N715" s="86"/>
    </row>
    <row r="716">
      <c r="N716" s="86"/>
    </row>
    <row r="717">
      <c r="N717" s="86"/>
    </row>
    <row r="718">
      <c r="N718" s="86"/>
    </row>
    <row r="719">
      <c r="N719" s="86"/>
    </row>
    <row r="720">
      <c r="N720" s="86"/>
    </row>
    <row r="721">
      <c r="N721" s="86"/>
    </row>
    <row r="722">
      <c r="N722" s="86"/>
    </row>
    <row r="723">
      <c r="N723" s="86"/>
    </row>
    <row r="724">
      <c r="N724" s="86"/>
    </row>
    <row r="725">
      <c r="N725" s="86"/>
    </row>
    <row r="726">
      <c r="N726" s="86"/>
    </row>
    <row r="727">
      <c r="N727" s="86"/>
    </row>
    <row r="728">
      <c r="N728" s="86"/>
    </row>
    <row r="729">
      <c r="N729" s="86"/>
    </row>
    <row r="730">
      <c r="N730" s="86"/>
    </row>
    <row r="731">
      <c r="N731" s="86"/>
    </row>
    <row r="732">
      <c r="N732" s="86"/>
    </row>
    <row r="733">
      <c r="N733" s="86"/>
    </row>
    <row r="734">
      <c r="N734" s="86"/>
    </row>
    <row r="735">
      <c r="N735" s="86"/>
    </row>
    <row r="736">
      <c r="N736" s="86"/>
    </row>
    <row r="737">
      <c r="N737" s="86"/>
    </row>
    <row r="738">
      <c r="N738" s="86"/>
    </row>
    <row r="739">
      <c r="N739" s="86"/>
    </row>
    <row r="740">
      <c r="N740" s="86"/>
    </row>
    <row r="741">
      <c r="N741" s="86"/>
    </row>
    <row r="742">
      <c r="N742" s="86"/>
    </row>
    <row r="743">
      <c r="N743" s="86"/>
    </row>
    <row r="744">
      <c r="N744" s="86"/>
    </row>
    <row r="745">
      <c r="N745" s="86"/>
    </row>
    <row r="746">
      <c r="N746" s="86"/>
    </row>
    <row r="747">
      <c r="N747" s="86"/>
    </row>
    <row r="748">
      <c r="N748" s="86"/>
    </row>
    <row r="749">
      <c r="N749" s="86"/>
    </row>
    <row r="750">
      <c r="N750" s="86"/>
    </row>
    <row r="751">
      <c r="N751" s="86"/>
    </row>
    <row r="752">
      <c r="N752" s="86"/>
    </row>
    <row r="753">
      <c r="N753" s="86"/>
    </row>
    <row r="754">
      <c r="N754" s="86"/>
    </row>
    <row r="755">
      <c r="N755" s="86"/>
    </row>
    <row r="756">
      <c r="N756" s="86"/>
    </row>
    <row r="757">
      <c r="N757" s="86"/>
    </row>
    <row r="758">
      <c r="N758" s="86"/>
    </row>
    <row r="759">
      <c r="N759" s="86"/>
    </row>
    <row r="760">
      <c r="N760" s="86"/>
    </row>
    <row r="761">
      <c r="N761" s="86"/>
    </row>
    <row r="762">
      <c r="N762" s="86"/>
    </row>
    <row r="763">
      <c r="N763" s="86"/>
    </row>
    <row r="764">
      <c r="N764" s="86"/>
    </row>
    <row r="765">
      <c r="N765" s="86"/>
    </row>
    <row r="766">
      <c r="N766" s="86"/>
    </row>
    <row r="767">
      <c r="N767" s="86"/>
    </row>
    <row r="768">
      <c r="N768" s="86"/>
    </row>
    <row r="769">
      <c r="N769" s="86"/>
    </row>
    <row r="770">
      <c r="N770" s="86"/>
    </row>
    <row r="771">
      <c r="N771" s="86"/>
    </row>
    <row r="772">
      <c r="N772" s="86"/>
    </row>
    <row r="773">
      <c r="N773" s="86"/>
    </row>
    <row r="774">
      <c r="N774" s="86"/>
    </row>
    <row r="775">
      <c r="N775" s="86"/>
    </row>
    <row r="776">
      <c r="N776" s="86"/>
    </row>
    <row r="777">
      <c r="N777" s="86"/>
    </row>
    <row r="778">
      <c r="N778" s="86"/>
    </row>
    <row r="779">
      <c r="N779" s="86"/>
    </row>
    <row r="780">
      <c r="N780" s="86"/>
    </row>
    <row r="781">
      <c r="N781" s="86"/>
    </row>
    <row r="782">
      <c r="N782" s="86"/>
    </row>
    <row r="783">
      <c r="N783" s="86"/>
    </row>
    <row r="784">
      <c r="N784" s="86"/>
    </row>
    <row r="785">
      <c r="N785" s="86"/>
    </row>
    <row r="786">
      <c r="N786" s="86"/>
    </row>
    <row r="787">
      <c r="N787" s="86"/>
    </row>
    <row r="788">
      <c r="N788" s="86"/>
    </row>
    <row r="789">
      <c r="N789" s="86"/>
    </row>
    <row r="790">
      <c r="N790" s="86"/>
    </row>
    <row r="791">
      <c r="N791" s="86"/>
    </row>
    <row r="792">
      <c r="N792" s="86"/>
    </row>
    <row r="793">
      <c r="N793" s="86"/>
    </row>
    <row r="794">
      <c r="N794" s="86"/>
    </row>
    <row r="795">
      <c r="N795" s="86"/>
    </row>
    <row r="796">
      <c r="N796" s="86"/>
    </row>
    <row r="797">
      <c r="N797" s="86"/>
    </row>
    <row r="798">
      <c r="N798" s="86"/>
    </row>
    <row r="799">
      <c r="N799" s="86"/>
    </row>
    <row r="800">
      <c r="N800" s="86"/>
    </row>
    <row r="801">
      <c r="N801" s="86"/>
    </row>
    <row r="802">
      <c r="N802" s="86"/>
    </row>
    <row r="803">
      <c r="N803" s="86"/>
    </row>
    <row r="804">
      <c r="N804" s="86"/>
    </row>
    <row r="805">
      <c r="N805" s="86"/>
    </row>
    <row r="806">
      <c r="N806" s="86"/>
    </row>
    <row r="807">
      <c r="N807" s="86"/>
    </row>
    <row r="808">
      <c r="N808" s="86"/>
    </row>
    <row r="809">
      <c r="N809" s="86"/>
    </row>
    <row r="810">
      <c r="N810" s="86"/>
    </row>
    <row r="811">
      <c r="N811" s="86"/>
    </row>
    <row r="812">
      <c r="N812" s="86"/>
    </row>
    <row r="813">
      <c r="N813" s="86"/>
    </row>
    <row r="814">
      <c r="N814" s="86"/>
    </row>
    <row r="815">
      <c r="N815" s="86"/>
    </row>
    <row r="816">
      <c r="N816" s="86"/>
    </row>
    <row r="817">
      <c r="N817" s="86"/>
    </row>
    <row r="818">
      <c r="N818" s="86"/>
    </row>
    <row r="819">
      <c r="N819" s="86"/>
    </row>
    <row r="820">
      <c r="N820" s="86"/>
    </row>
    <row r="821">
      <c r="N821" s="86"/>
    </row>
    <row r="822">
      <c r="N822" s="86"/>
    </row>
    <row r="823">
      <c r="N823" s="86"/>
    </row>
    <row r="824">
      <c r="N824" s="86"/>
    </row>
    <row r="825">
      <c r="N825" s="86"/>
    </row>
    <row r="826">
      <c r="N826" s="86"/>
    </row>
    <row r="827">
      <c r="N827" s="86"/>
    </row>
    <row r="828">
      <c r="N828" s="86"/>
    </row>
    <row r="829">
      <c r="N829" s="86"/>
    </row>
    <row r="830">
      <c r="N830" s="86"/>
    </row>
    <row r="831">
      <c r="N831" s="86"/>
    </row>
    <row r="832">
      <c r="N832" s="86"/>
    </row>
    <row r="833">
      <c r="N833" s="86"/>
    </row>
    <row r="834">
      <c r="N834" s="86"/>
    </row>
    <row r="835">
      <c r="N835" s="86"/>
    </row>
    <row r="836">
      <c r="N836" s="86"/>
    </row>
    <row r="837">
      <c r="N837" s="86"/>
    </row>
    <row r="838">
      <c r="N838" s="86"/>
    </row>
    <row r="839">
      <c r="N839" s="86"/>
    </row>
    <row r="840">
      <c r="N840" s="86"/>
    </row>
    <row r="841">
      <c r="N841" s="86"/>
    </row>
    <row r="842">
      <c r="N842" s="86"/>
    </row>
    <row r="843">
      <c r="N843" s="86"/>
    </row>
    <row r="844">
      <c r="N844" s="86"/>
    </row>
    <row r="845">
      <c r="N845" s="86"/>
    </row>
    <row r="846">
      <c r="N846" s="86"/>
    </row>
    <row r="847">
      <c r="N847" s="86"/>
    </row>
    <row r="848">
      <c r="N848" s="86"/>
    </row>
    <row r="849">
      <c r="N849" s="86"/>
    </row>
    <row r="850">
      <c r="N850" s="86"/>
    </row>
    <row r="851">
      <c r="N851" s="86"/>
    </row>
    <row r="852">
      <c r="N852" s="86"/>
    </row>
    <row r="853">
      <c r="N853" s="86"/>
    </row>
    <row r="854">
      <c r="N854" s="86"/>
    </row>
    <row r="855">
      <c r="N855" s="86"/>
    </row>
    <row r="856">
      <c r="N856" s="86"/>
    </row>
    <row r="857">
      <c r="N857" s="86"/>
    </row>
    <row r="858">
      <c r="N858" s="86"/>
    </row>
    <row r="859">
      <c r="N859" s="86"/>
    </row>
    <row r="860">
      <c r="N860" s="86"/>
    </row>
    <row r="861">
      <c r="N861" s="86"/>
    </row>
    <row r="862">
      <c r="N862" s="86"/>
    </row>
    <row r="863">
      <c r="N863" s="86"/>
    </row>
    <row r="864">
      <c r="N864" s="86"/>
    </row>
    <row r="865">
      <c r="N865" s="86"/>
    </row>
    <row r="866">
      <c r="N866" s="86"/>
    </row>
    <row r="867">
      <c r="N867" s="86"/>
    </row>
    <row r="868">
      <c r="N868" s="86"/>
    </row>
    <row r="869">
      <c r="N869" s="86"/>
    </row>
    <row r="870">
      <c r="N870" s="86"/>
    </row>
    <row r="871">
      <c r="N871" s="86"/>
    </row>
    <row r="872">
      <c r="N872" s="86"/>
    </row>
    <row r="873">
      <c r="N873" s="86"/>
    </row>
    <row r="874">
      <c r="N874" s="86"/>
    </row>
    <row r="875">
      <c r="N875" s="86"/>
    </row>
    <row r="876">
      <c r="N876" s="86"/>
    </row>
    <row r="877">
      <c r="N877" s="86"/>
    </row>
    <row r="878">
      <c r="N878" s="86"/>
    </row>
    <row r="879">
      <c r="N879" s="86"/>
    </row>
    <row r="880">
      <c r="N880" s="86"/>
    </row>
    <row r="881">
      <c r="N881" s="86"/>
    </row>
    <row r="882">
      <c r="N882" s="86"/>
    </row>
    <row r="883">
      <c r="N883" s="86"/>
    </row>
    <row r="884">
      <c r="N884" s="86"/>
    </row>
    <row r="885">
      <c r="N885" s="86"/>
    </row>
    <row r="886">
      <c r="N886" s="86"/>
    </row>
    <row r="887">
      <c r="N887" s="86"/>
    </row>
    <row r="888">
      <c r="N888" s="86"/>
    </row>
    <row r="889">
      <c r="N889" s="86"/>
    </row>
    <row r="890">
      <c r="N890" s="86"/>
    </row>
    <row r="891">
      <c r="N891" s="86"/>
    </row>
    <row r="892">
      <c r="N892" s="86"/>
    </row>
    <row r="893">
      <c r="N893" s="86"/>
    </row>
    <row r="894">
      <c r="N894" s="86"/>
    </row>
    <row r="895">
      <c r="N895" s="86"/>
    </row>
    <row r="896">
      <c r="N896" s="86"/>
    </row>
    <row r="897">
      <c r="N897" s="86"/>
    </row>
    <row r="898">
      <c r="N898" s="86"/>
    </row>
    <row r="899">
      <c r="N899" s="86"/>
    </row>
    <row r="900">
      <c r="N900" s="86"/>
    </row>
    <row r="901">
      <c r="N901" s="86"/>
    </row>
    <row r="902">
      <c r="N902" s="86"/>
    </row>
    <row r="903">
      <c r="N903" s="86"/>
    </row>
    <row r="904">
      <c r="N904" s="86"/>
    </row>
    <row r="905">
      <c r="N905" s="86"/>
    </row>
    <row r="906">
      <c r="N906" s="86"/>
    </row>
    <row r="907">
      <c r="N907" s="86"/>
    </row>
    <row r="908">
      <c r="N908" s="86"/>
    </row>
    <row r="909">
      <c r="N909" s="86"/>
    </row>
    <row r="910">
      <c r="N910" s="86"/>
    </row>
    <row r="911">
      <c r="N911" s="86"/>
    </row>
    <row r="912">
      <c r="N912" s="86"/>
    </row>
    <row r="913">
      <c r="N913" s="86"/>
    </row>
    <row r="914">
      <c r="N914" s="86"/>
    </row>
    <row r="915">
      <c r="N915" s="86"/>
    </row>
    <row r="916">
      <c r="N916" s="86"/>
    </row>
    <row r="917">
      <c r="N917" s="86"/>
    </row>
    <row r="918">
      <c r="N918" s="86"/>
    </row>
    <row r="919">
      <c r="N919" s="86"/>
    </row>
    <row r="920">
      <c r="N920" s="86"/>
    </row>
    <row r="921">
      <c r="N921" s="86"/>
    </row>
    <row r="922">
      <c r="N922" s="86"/>
    </row>
    <row r="923">
      <c r="N923" s="86"/>
    </row>
    <row r="924">
      <c r="N924" s="86"/>
    </row>
    <row r="925">
      <c r="N925" s="86"/>
    </row>
    <row r="926">
      <c r="N926" s="86"/>
    </row>
    <row r="927">
      <c r="N927" s="86"/>
    </row>
    <row r="928">
      <c r="N928" s="86"/>
    </row>
    <row r="929">
      <c r="N929" s="86"/>
    </row>
    <row r="930">
      <c r="N930" s="86"/>
    </row>
    <row r="931">
      <c r="N931" s="86"/>
    </row>
    <row r="932">
      <c r="N932" s="86"/>
    </row>
    <row r="933">
      <c r="N933" s="86"/>
    </row>
    <row r="934">
      <c r="N934" s="86"/>
    </row>
    <row r="935">
      <c r="N935" s="86"/>
    </row>
    <row r="936">
      <c r="N936" s="86"/>
    </row>
    <row r="937">
      <c r="N937" s="86"/>
    </row>
    <row r="938">
      <c r="N938" s="86"/>
    </row>
    <row r="939">
      <c r="N939" s="86"/>
    </row>
    <row r="940">
      <c r="N940" s="86"/>
    </row>
    <row r="941">
      <c r="N941" s="86"/>
    </row>
    <row r="942">
      <c r="N942" s="86"/>
    </row>
    <row r="943">
      <c r="N943" s="86"/>
    </row>
    <row r="944">
      <c r="N944" s="86"/>
    </row>
    <row r="945">
      <c r="N945" s="86"/>
    </row>
    <row r="946">
      <c r="N946" s="86"/>
    </row>
    <row r="947">
      <c r="N947" s="86"/>
    </row>
    <row r="948">
      <c r="N948" s="86"/>
    </row>
    <row r="949">
      <c r="N949" s="86"/>
    </row>
    <row r="950">
      <c r="N950" s="86"/>
    </row>
    <row r="951">
      <c r="N951" s="86"/>
    </row>
    <row r="952">
      <c r="N952" s="86"/>
    </row>
    <row r="953">
      <c r="N953" s="86"/>
    </row>
    <row r="954">
      <c r="N954" s="86"/>
    </row>
    <row r="955">
      <c r="N955" s="86"/>
    </row>
    <row r="956">
      <c r="N956" s="86"/>
    </row>
    <row r="957">
      <c r="N957" s="86"/>
    </row>
    <row r="958">
      <c r="N958" s="86"/>
    </row>
    <row r="959">
      <c r="N959" s="86"/>
    </row>
    <row r="960">
      <c r="N960" s="86"/>
    </row>
    <row r="961">
      <c r="N961" s="86"/>
    </row>
    <row r="962">
      <c r="N962" s="86"/>
    </row>
    <row r="963">
      <c r="N963" s="86"/>
    </row>
    <row r="964">
      <c r="N964" s="86"/>
    </row>
    <row r="965">
      <c r="N965" s="86"/>
    </row>
    <row r="966">
      <c r="N966" s="86"/>
    </row>
    <row r="967">
      <c r="N967" s="86"/>
    </row>
    <row r="968">
      <c r="N968" s="86"/>
    </row>
    <row r="969">
      <c r="N969" s="86"/>
    </row>
    <row r="970">
      <c r="N970" s="86"/>
    </row>
    <row r="971">
      <c r="N971" s="86"/>
    </row>
    <row r="972">
      <c r="N972" s="86"/>
    </row>
    <row r="973">
      <c r="N973" s="86"/>
    </row>
    <row r="974">
      <c r="N974" s="86"/>
    </row>
    <row r="975">
      <c r="N975" s="86"/>
    </row>
    <row r="976">
      <c r="N976" s="86"/>
    </row>
    <row r="977">
      <c r="N977" s="86"/>
    </row>
    <row r="978">
      <c r="N978" s="86"/>
    </row>
    <row r="979">
      <c r="N979" s="86"/>
    </row>
    <row r="980">
      <c r="N980" s="86"/>
    </row>
    <row r="981">
      <c r="N981" s="86"/>
    </row>
    <row r="982">
      <c r="N982" s="86"/>
    </row>
    <row r="983">
      <c r="N983" s="86"/>
    </row>
    <row r="984">
      <c r="N984" s="86"/>
    </row>
    <row r="985">
      <c r="N985" s="86"/>
    </row>
    <row r="986">
      <c r="N986" s="86"/>
    </row>
    <row r="987">
      <c r="N987" s="86"/>
    </row>
    <row r="988">
      <c r="N988" s="86"/>
    </row>
    <row r="989">
      <c r="N989" s="86"/>
    </row>
    <row r="990">
      <c r="N990" s="86"/>
    </row>
    <row r="991">
      <c r="N991" s="86"/>
    </row>
    <row r="992">
      <c r="N992" s="86"/>
    </row>
    <row r="993">
      <c r="N993" s="86"/>
    </row>
    <row r="994">
      <c r="N994" s="86"/>
    </row>
  </sheetData>
  <mergeCells count="39">
    <mergeCell ref="C1:D1"/>
    <mergeCell ref="C9:D9"/>
    <mergeCell ref="D11:D15"/>
    <mergeCell ref="A1:B1"/>
    <mergeCell ref="B3:B7"/>
    <mergeCell ref="A9:B9"/>
    <mergeCell ref="B11:B15"/>
    <mergeCell ref="A21:C21"/>
    <mergeCell ref="A22:E22"/>
    <mergeCell ref="A23:C23"/>
    <mergeCell ref="D3:D7"/>
    <mergeCell ref="F3:F7"/>
    <mergeCell ref="A8:I8"/>
    <mergeCell ref="G9:H9"/>
    <mergeCell ref="F11:F15"/>
    <mergeCell ref="H11:H15"/>
    <mergeCell ref="J15:L15"/>
    <mergeCell ref="H16:I16"/>
    <mergeCell ref="H17:I17"/>
    <mergeCell ref="H18:I18"/>
    <mergeCell ref="Q21:Q22"/>
    <mergeCell ref="Q26:Q27"/>
    <mergeCell ref="E1:F1"/>
    <mergeCell ref="G1:H1"/>
    <mergeCell ref="J1:L14"/>
    <mergeCell ref="M1:M994"/>
    <mergeCell ref="N1:O1"/>
    <mergeCell ref="R1:S1"/>
    <mergeCell ref="H3:H7"/>
    <mergeCell ref="A67:A68"/>
    <mergeCell ref="A69:A70"/>
    <mergeCell ref="A71:A72"/>
    <mergeCell ref="A53:A54"/>
    <mergeCell ref="A55:A56"/>
    <mergeCell ref="A57:A58"/>
    <mergeCell ref="A59:A60"/>
    <mergeCell ref="A61:A62"/>
    <mergeCell ref="A63:A64"/>
    <mergeCell ref="A65:A66"/>
  </mergeCells>
  <hyperlinks>
    <hyperlink r:id="rId1" ref="J1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1.88"/>
    <col customWidth="1" min="2" max="2" width="2.25"/>
    <col customWidth="1" min="3" max="3" width="19.13"/>
    <col customWidth="1" min="4" max="4" width="2.75"/>
    <col customWidth="1" min="5" max="5" width="19.63"/>
    <col customWidth="1" min="6" max="6" width="2.63"/>
    <col customWidth="1" min="7" max="7" width="17.88"/>
    <col customWidth="1" min="8" max="8" width="2.5"/>
    <col customWidth="1" min="9" max="9" width="20.13"/>
    <col customWidth="1" min="10" max="10" width="7.0"/>
    <col customWidth="1" min="11" max="11" width="8.0"/>
    <col customWidth="1" min="12" max="12" width="7.5"/>
    <col customWidth="1" min="13" max="13" width="6.25"/>
    <col customWidth="1" min="14" max="14" width="1.5"/>
    <col customWidth="1" min="15" max="15" width="28.0"/>
    <col customWidth="1" min="16" max="16" width="7.5"/>
    <col customWidth="1" min="17" max="17" width="27.13"/>
    <col customWidth="1" min="18" max="18" width="4.88"/>
    <col customWidth="1" min="19" max="19" width="26.25"/>
    <col customWidth="1" min="20" max="20" width="7.13"/>
    <col customWidth="1" min="21" max="21" width="26.13"/>
  </cols>
  <sheetData>
    <row r="1">
      <c r="A1" s="1" t="s">
        <v>59</v>
      </c>
      <c r="B1" s="2"/>
      <c r="C1" s="1" t="s">
        <v>1</v>
      </c>
      <c r="D1" s="3"/>
      <c r="E1" s="1" t="s">
        <v>2</v>
      </c>
      <c r="F1" s="2"/>
      <c r="G1" s="4" t="s">
        <v>3</v>
      </c>
      <c r="H1" s="2"/>
      <c r="I1" s="5" t="s">
        <v>73</v>
      </c>
      <c r="J1" s="107">
        <v>2025.0</v>
      </c>
      <c r="K1" s="7"/>
      <c r="L1" s="7"/>
      <c r="M1" s="8"/>
      <c r="N1" s="9"/>
      <c r="O1" s="108" t="s">
        <v>90</v>
      </c>
      <c r="P1" s="109"/>
      <c r="Q1" s="110"/>
      <c r="R1" s="13"/>
      <c r="S1" s="14" t="s">
        <v>91</v>
      </c>
      <c r="T1" s="15"/>
      <c r="U1" s="16" t="s">
        <v>8</v>
      </c>
    </row>
    <row r="2">
      <c r="A2" s="18" t="s">
        <v>42</v>
      </c>
      <c r="B2" s="111"/>
      <c r="C2" s="18" t="s">
        <v>43</v>
      </c>
      <c r="D2" s="111"/>
      <c r="E2" s="26" t="s">
        <v>92</v>
      </c>
      <c r="F2" s="111"/>
      <c r="H2" s="111"/>
      <c r="J2" s="19"/>
      <c r="M2" s="20"/>
      <c r="O2" s="112" t="s">
        <v>93</v>
      </c>
      <c r="P2" s="113" t="s">
        <v>11</v>
      </c>
      <c r="Q2" s="114" t="s">
        <v>94</v>
      </c>
      <c r="R2" s="24"/>
      <c r="S2" s="115" t="s">
        <v>95</v>
      </c>
      <c r="T2" s="116" t="s">
        <v>11</v>
      </c>
      <c r="U2" s="117" t="s">
        <v>96</v>
      </c>
    </row>
    <row r="3">
      <c r="A3" s="26" t="s">
        <v>97</v>
      </c>
      <c r="B3" s="25"/>
      <c r="D3" s="25"/>
      <c r="E3" s="118" t="s">
        <v>98</v>
      </c>
      <c r="F3" s="25"/>
      <c r="H3" s="25"/>
      <c r="J3" s="19"/>
      <c r="M3" s="20"/>
      <c r="O3" s="119"/>
      <c r="P3" s="28">
        <v>45525.0</v>
      </c>
      <c r="Q3" s="120" t="s">
        <v>99</v>
      </c>
      <c r="R3" s="24"/>
      <c r="S3" s="121"/>
      <c r="T3" s="122">
        <v>45853.0</v>
      </c>
      <c r="U3" s="123" t="s">
        <v>100</v>
      </c>
    </row>
    <row r="4">
      <c r="A4" s="31" t="s">
        <v>101</v>
      </c>
      <c r="B4" s="30"/>
      <c r="D4" s="30"/>
      <c r="E4" s="124" t="s">
        <v>14</v>
      </c>
      <c r="F4" s="30"/>
      <c r="H4" s="30"/>
      <c r="J4" s="19"/>
      <c r="M4" s="20"/>
      <c r="P4" s="86"/>
      <c r="R4" s="24"/>
      <c r="S4" s="24"/>
      <c r="T4" s="24"/>
      <c r="U4" s="24"/>
    </row>
    <row r="5">
      <c r="B5" s="30"/>
      <c r="D5" s="30"/>
      <c r="E5" s="26" t="s">
        <v>102</v>
      </c>
      <c r="F5" s="30"/>
      <c r="H5" s="30"/>
      <c r="J5" s="19"/>
      <c r="M5" s="20"/>
      <c r="O5" s="33" t="s">
        <v>103</v>
      </c>
      <c r="P5" s="116" t="s">
        <v>11</v>
      </c>
      <c r="Q5" s="35" t="s">
        <v>104</v>
      </c>
      <c r="R5" s="24"/>
      <c r="S5" s="33" t="s">
        <v>105</v>
      </c>
      <c r="T5" s="116" t="s">
        <v>11</v>
      </c>
      <c r="U5" s="35" t="s">
        <v>106</v>
      </c>
    </row>
    <row r="6">
      <c r="B6" s="30"/>
      <c r="D6" s="30"/>
      <c r="E6" s="26" t="s">
        <v>107</v>
      </c>
      <c r="F6" s="30"/>
      <c r="H6" s="30"/>
      <c r="J6" s="19"/>
      <c r="M6" s="20"/>
      <c r="O6" s="36"/>
      <c r="P6" s="125">
        <v>45560.0</v>
      </c>
      <c r="Q6" s="62" t="s">
        <v>108</v>
      </c>
      <c r="S6" s="126" t="s">
        <v>109</v>
      </c>
      <c r="T6" s="37">
        <v>45863.0</v>
      </c>
      <c r="U6" s="62" t="s">
        <v>110</v>
      </c>
    </row>
    <row r="7">
      <c r="A7" s="39"/>
      <c r="B7" s="40"/>
      <c r="C7" s="39"/>
      <c r="D7" s="40"/>
      <c r="E7" s="118" t="s">
        <v>111</v>
      </c>
      <c r="F7" s="40"/>
      <c r="G7" s="39"/>
      <c r="H7" s="40"/>
      <c r="I7" s="39"/>
      <c r="J7" s="19"/>
      <c r="M7" s="20"/>
      <c r="O7" s="41"/>
      <c r="P7" s="127"/>
    </row>
    <row r="8">
      <c r="A8" s="42">
        <v>2025.0</v>
      </c>
      <c r="B8" s="43"/>
      <c r="C8" s="43"/>
      <c r="D8" s="43"/>
      <c r="E8" s="43"/>
      <c r="F8" s="43"/>
      <c r="G8" s="43"/>
      <c r="H8" s="43"/>
      <c r="I8" s="44"/>
      <c r="J8" s="19"/>
      <c r="M8" s="20"/>
      <c r="O8" s="33" t="s">
        <v>112</v>
      </c>
      <c r="P8" s="116" t="s">
        <v>11</v>
      </c>
      <c r="Q8" s="35" t="s">
        <v>113</v>
      </c>
      <c r="S8" s="128" t="s">
        <v>114</v>
      </c>
      <c r="T8" s="7"/>
      <c r="U8" s="8"/>
    </row>
    <row r="9">
      <c r="A9" s="45" t="s">
        <v>22</v>
      </c>
      <c r="B9" s="46"/>
      <c r="C9" s="47" t="s">
        <v>78</v>
      </c>
      <c r="D9" s="46"/>
      <c r="E9" s="48" t="s">
        <v>115</v>
      </c>
      <c r="F9" s="49"/>
      <c r="G9" s="47" t="s">
        <v>84</v>
      </c>
      <c r="H9" s="46"/>
      <c r="I9" s="50" t="s">
        <v>26</v>
      </c>
      <c r="J9" s="19"/>
      <c r="M9" s="20"/>
      <c r="O9" s="51" t="s">
        <v>116</v>
      </c>
      <c r="Q9" s="53" t="s">
        <v>117</v>
      </c>
      <c r="S9" s="129" t="s">
        <v>118</v>
      </c>
      <c r="T9" s="15"/>
      <c r="U9" s="2"/>
    </row>
    <row r="10">
      <c r="A10" s="18" t="s">
        <v>119</v>
      </c>
      <c r="B10" s="130"/>
      <c r="D10" s="130"/>
      <c r="E10" s="18" t="s">
        <v>120</v>
      </c>
      <c r="F10" s="131"/>
      <c r="G10" s="26" t="s">
        <v>121</v>
      </c>
      <c r="H10" s="130"/>
      <c r="I10" s="18" t="s">
        <v>32</v>
      </c>
      <c r="J10" s="19"/>
      <c r="M10" s="20"/>
      <c r="O10" s="132"/>
      <c r="P10" s="133">
        <v>45587.0</v>
      </c>
      <c r="Q10" s="62" t="s">
        <v>122</v>
      </c>
      <c r="S10" s="33" t="s">
        <v>123</v>
      </c>
      <c r="T10" s="116" t="s">
        <v>11</v>
      </c>
      <c r="U10" s="35" t="s">
        <v>124</v>
      </c>
    </row>
    <row r="11">
      <c r="B11" s="25"/>
      <c r="D11" s="25"/>
      <c r="E11" s="26" t="s">
        <v>125</v>
      </c>
      <c r="F11" s="25"/>
      <c r="H11" s="25"/>
      <c r="I11" s="134" t="s">
        <v>36</v>
      </c>
      <c r="J11" s="19"/>
      <c r="M11" s="20"/>
      <c r="P11" s="86"/>
      <c r="S11" s="58"/>
      <c r="T11" s="52">
        <v>45864.0</v>
      </c>
      <c r="U11" s="53" t="s">
        <v>126</v>
      </c>
    </row>
    <row r="12">
      <c r="A12" s="18"/>
      <c r="B12" s="30"/>
      <c r="D12" s="30"/>
      <c r="E12" s="26" t="s">
        <v>127</v>
      </c>
      <c r="F12" s="30"/>
      <c r="H12" s="30"/>
      <c r="I12" s="18" t="s">
        <v>128</v>
      </c>
      <c r="J12" s="19"/>
      <c r="M12" s="20"/>
      <c r="O12" s="33" t="s">
        <v>129</v>
      </c>
      <c r="P12" s="116" t="s">
        <v>11</v>
      </c>
      <c r="Q12" s="35" t="s">
        <v>130</v>
      </c>
      <c r="S12" s="36"/>
      <c r="T12" s="61"/>
      <c r="U12" s="62" t="s">
        <v>131</v>
      </c>
    </row>
    <row r="13">
      <c r="B13" s="30"/>
      <c r="D13" s="30"/>
      <c r="E13" s="124" t="s">
        <v>132</v>
      </c>
      <c r="F13" s="30"/>
      <c r="G13" s="24"/>
      <c r="H13" s="30"/>
      <c r="I13" s="26" t="s">
        <v>133</v>
      </c>
      <c r="J13" s="19"/>
      <c r="M13" s="20"/>
      <c r="O13" s="126" t="s">
        <v>134</v>
      </c>
      <c r="P13" s="125">
        <v>45594.0</v>
      </c>
      <c r="Q13" s="62" t="s">
        <v>135</v>
      </c>
    </row>
    <row r="14">
      <c r="A14" s="24"/>
      <c r="B14" s="30"/>
      <c r="C14" s="24"/>
      <c r="D14" s="30"/>
      <c r="F14" s="30"/>
      <c r="H14" s="30"/>
      <c r="I14" s="41"/>
      <c r="J14" s="19"/>
      <c r="M14" s="20"/>
      <c r="O14" s="41"/>
      <c r="P14" s="127"/>
      <c r="Q14" s="41"/>
      <c r="S14" s="33" t="s">
        <v>136</v>
      </c>
      <c r="T14" s="116" t="s">
        <v>11</v>
      </c>
      <c r="U14" s="35" t="s">
        <v>137</v>
      </c>
    </row>
    <row r="15">
      <c r="B15" s="40"/>
      <c r="C15" s="24"/>
      <c r="D15" s="40"/>
      <c r="F15" s="40"/>
      <c r="G15" s="24"/>
      <c r="H15" s="40"/>
      <c r="I15" s="24"/>
      <c r="J15" s="63"/>
      <c r="K15" s="64"/>
      <c r="L15" s="64"/>
      <c r="M15" s="46"/>
      <c r="O15" s="33" t="s">
        <v>138</v>
      </c>
      <c r="P15" s="116" t="s">
        <v>11</v>
      </c>
      <c r="Q15" s="35" t="s">
        <v>139</v>
      </c>
      <c r="S15" s="36"/>
      <c r="T15" s="37">
        <v>45865.0</v>
      </c>
      <c r="U15" s="38"/>
    </row>
    <row r="16">
      <c r="A16" s="135" t="s">
        <v>48</v>
      </c>
      <c r="B16" s="135"/>
      <c r="C16" s="136"/>
      <c r="D16" s="135"/>
      <c r="E16" s="135"/>
      <c r="F16" s="137"/>
      <c r="G16" s="135"/>
      <c r="H16" s="73" t="s">
        <v>49</v>
      </c>
      <c r="I16" s="74"/>
      <c r="J16" s="138" t="s">
        <v>47</v>
      </c>
      <c r="K16" s="139"/>
      <c r="L16" s="139"/>
      <c r="M16" s="139"/>
      <c r="O16" s="126" t="s">
        <v>140</v>
      </c>
      <c r="P16" s="125">
        <v>45603.0</v>
      </c>
      <c r="Q16" s="38"/>
    </row>
    <row r="17">
      <c r="A17" s="18" t="s">
        <v>141</v>
      </c>
      <c r="B17" s="24"/>
      <c r="C17" s="72"/>
      <c r="D17" s="18"/>
      <c r="E17" s="18"/>
      <c r="F17" s="18"/>
      <c r="G17" s="18"/>
      <c r="H17" s="140" t="s">
        <v>142</v>
      </c>
      <c r="I17" s="76"/>
      <c r="O17" s="41"/>
      <c r="P17" s="127"/>
      <c r="Q17" s="41"/>
    </row>
    <row r="18">
      <c r="A18" s="18" t="s">
        <v>143</v>
      </c>
      <c r="B18" s="18"/>
      <c r="C18" s="72"/>
      <c r="D18" s="18"/>
      <c r="E18" s="18"/>
      <c r="F18" s="18"/>
      <c r="G18" s="18"/>
      <c r="H18" s="141" t="s">
        <v>53</v>
      </c>
      <c r="I18" s="78"/>
      <c r="L18" s="79"/>
      <c r="M18" s="79"/>
      <c r="O18" s="33" t="s">
        <v>144</v>
      </c>
      <c r="P18" s="116" t="s">
        <v>11</v>
      </c>
      <c r="Q18" s="35" t="s">
        <v>145</v>
      </c>
    </row>
    <row r="19">
      <c r="A19" s="80"/>
      <c r="B19" s="81"/>
      <c r="C19" s="82"/>
      <c r="D19" s="24"/>
      <c r="E19" s="24"/>
      <c r="F19" s="18"/>
      <c r="G19" s="18"/>
      <c r="H19" s="24"/>
      <c r="I19" s="24"/>
      <c r="L19" s="79"/>
      <c r="M19" s="79"/>
      <c r="O19" s="36"/>
      <c r="P19" s="125">
        <v>45656.0</v>
      </c>
      <c r="Q19" s="142"/>
      <c r="R19" s="83"/>
    </row>
    <row r="20">
      <c r="A20" s="79" t="s">
        <v>146</v>
      </c>
      <c r="F20" s="79"/>
      <c r="G20" s="79"/>
      <c r="I20" s="143" t="s">
        <v>147</v>
      </c>
      <c r="J20" s="144"/>
      <c r="K20" s="144"/>
      <c r="L20" s="79"/>
      <c r="M20" s="79"/>
      <c r="O20" s="41"/>
      <c r="P20" s="127"/>
      <c r="Q20" s="41"/>
      <c r="R20" s="83"/>
    </row>
    <row r="21">
      <c r="A21" s="79" t="s">
        <v>148</v>
      </c>
      <c r="B21" s="41"/>
      <c r="C21" s="41"/>
      <c r="I21" s="145" t="s">
        <v>149</v>
      </c>
      <c r="J21" s="146" t="s">
        <v>150</v>
      </c>
      <c r="K21" s="147" t="s">
        <v>151</v>
      </c>
      <c r="L21" s="147" t="s">
        <v>152</v>
      </c>
      <c r="M21" s="148" t="s">
        <v>153</v>
      </c>
      <c r="O21" s="33" t="s">
        <v>154</v>
      </c>
      <c r="P21" s="116" t="s">
        <v>11</v>
      </c>
      <c r="Q21" s="35" t="s">
        <v>155</v>
      </c>
      <c r="R21" s="83"/>
    </row>
    <row r="22">
      <c r="F22" s="79"/>
      <c r="G22" s="79"/>
      <c r="I22" s="149">
        <v>1.0</v>
      </c>
      <c r="J22" s="79" t="s">
        <v>3</v>
      </c>
      <c r="K22" s="150">
        <v>13.0</v>
      </c>
      <c r="L22" s="150" t="s">
        <v>1</v>
      </c>
      <c r="M22" s="151" t="s">
        <v>26</v>
      </c>
      <c r="O22" s="126" t="s">
        <v>156</v>
      </c>
      <c r="P22" s="125">
        <v>45679.0</v>
      </c>
      <c r="Q22" s="142"/>
    </row>
    <row r="23">
      <c r="A23" s="85"/>
      <c r="F23" s="79"/>
      <c r="G23" s="79"/>
      <c r="I23" s="149">
        <v>2.0</v>
      </c>
      <c r="J23" s="152" t="s">
        <v>1</v>
      </c>
      <c r="K23" s="153">
        <v>140.0</v>
      </c>
      <c r="L23" s="153" t="s">
        <v>157</v>
      </c>
      <c r="M23" s="151" t="s">
        <v>158</v>
      </c>
      <c r="P23" s="86"/>
      <c r="Q23" s="41"/>
      <c r="R23" s="83"/>
    </row>
    <row r="24">
      <c r="A24" s="154" t="s">
        <v>159</v>
      </c>
      <c r="B24" s="155"/>
      <c r="C24" s="156" t="s">
        <v>160</v>
      </c>
      <c r="D24" s="157"/>
      <c r="E24" s="158" t="s">
        <v>161</v>
      </c>
      <c r="F24" s="157"/>
      <c r="G24" s="158" t="s">
        <v>162</v>
      </c>
      <c r="I24" s="149">
        <v>3.0</v>
      </c>
      <c r="J24" s="79" t="s">
        <v>1</v>
      </c>
      <c r="K24" s="150">
        <v>223.0</v>
      </c>
      <c r="L24" s="150" t="s">
        <v>158</v>
      </c>
      <c r="M24" s="151" t="s">
        <v>157</v>
      </c>
      <c r="O24" s="33" t="s">
        <v>163</v>
      </c>
      <c r="P24" s="116" t="s">
        <v>11</v>
      </c>
      <c r="Q24" s="35" t="s">
        <v>164</v>
      </c>
    </row>
    <row r="25">
      <c r="A25" s="159" t="s">
        <v>165</v>
      </c>
      <c r="B25" s="160"/>
      <c r="C25" s="161" t="s">
        <v>24</v>
      </c>
      <c r="D25" s="162"/>
      <c r="E25" s="163" t="s">
        <v>2</v>
      </c>
      <c r="F25" s="162"/>
      <c r="G25" s="163" t="s">
        <v>24</v>
      </c>
      <c r="I25" s="149">
        <v>4.0</v>
      </c>
      <c r="J25" s="79" t="s">
        <v>1</v>
      </c>
      <c r="K25" s="150">
        <v>93.0</v>
      </c>
      <c r="L25" s="150" t="s">
        <v>158</v>
      </c>
      <c r="M25" s="151" t="s">
        <v>166</v>
      </c>
      <c r="O25" s="51" t="s">
        <v>167</v>
      </c>
      <c r="P25" s="86"/>
      <c r="Q25" s="164"/>
    </row>
    <row r="26">
      <c r="A26" s="159" t="s">
        <v>168</v>
      </c>
      <c r="B26" s="160"/>
      <c r="C26" s="161" t="s">
        <v>26</v>
      </c>
      <c r="D26" s="165"/>
      <c r="E26" s="163" t="s">
        <v>2</v>
      </c>
      <c r="F26" s="165"/>
      <c r="G26" s="163" t="s">
        <v>2</v>
      </c>
      <c r="I26" s="149">
        <v>5.0</v>
      </c>
      <c r="J26" s="79" t="s">
        <v>158</v>
      </c>
      <c r="K26" s="150">
        <v>93.0</v>
      </c>
      <c r="L26" s="150" t="s">
        <v>157</v>
      </c>
      <c r="M26" s="151" t="s">
        <v>1</v>
      </c>
      <c r="O26" s="51" t="s">
        <v>169</v>
      </c>
      <c r="P26" s="127"/>
      <c r="Q26" s="166"/>
    </row>
    <row r="27">
      <c r="A27" s="159" t="s">
        <v>170</v>
      </c>
      <c r="B27" s="160"/>
      <c r="C27" s="161" t="s">
        <v>2</v>
      </c>
      <c r="D27" s="165"/>
      <c r="E27" s="163" t="s">
        <v>84</v>
      </c>
      <c r="F27" s="165"/>
      <c r="G27" s="163" t="s">
        <v>22</v>
      </c>
      <c r="I27" s="149">
        <v>6.0</v>
      </c>
      <c r="J27" s="79" t="s">
        <v>1</v>
      </c>
      <c r="K27" s="150">
        <v>113.0</v>
      </c>
      <c r="L27" s="150" t="s">
        <v>157</v>
      </c>
      <c r="M27" s="151" t="s">
        <v>59</v>
      </c>
      <c r="O27" s="126" t="s">
        <v>171</v>
      </c>
      <c r="P27" s="125">
        <v>45683.0</v>
      </c>
      <c r="Q27" s="142"/>
    </row>
    <row r="28">
      <c r="A28" s="167" t="s">
        <v>172</v>
      </c>
      <c r="B28" s="168"/>
      <c r="C28" s="169" t="s">
        <v>22</v>
      </c>
      <c r="D28" s="170"/>
      <c r="E28" s="171" t="s">
        <v>59</v>
      </c>
      <c r="F28" s="170"/>
      <c r="G28" s="171" t="s">
        <v>26</v>
      </c>
      <c r="I28" s="149">
        <v>7.0</v>
      </c>
      <c r="J28" s="79" t="s">
        <v>3</v>
      </c>
      <c r="K28" s="150">
        <v>85.0</v>
      </c>
      <c r="L28" s="150" t="s">
        <v>1</v>
      </c>
      <c r="M28" s="151" t="s">
        <v>59</v>
      </c>
      <c r="P28" s="86"/>
    </row>
    <row r="29">
      <c r="A29" s="172" t="s">
        <v>173</v>
      </c>
      <c r="B29" s="173"/>
      <c r="C29" s="174" t="s">
        <v>26</v>
      </c>
      <c r="D29" s="175"/>
      <c r="E29" s="176" t="s">
        <v>1</v>
      </c>
      <c r="F29" s="175"/>
      <c r="G29" s="176" t="s">
        <v>78</v>
      </c>
      <c r="I29" s="149">
        <v>8.0</v>
      </c>
      <c r="J29" s="152" t="s">
        <v>1</v>
      </c>
      <c r="K29" s="153">
        <v>52.0</v>
      </c>
      <c r="L29" s="153" t="s">
        <v>59</v>
      </c>
      <c r="M29" s="151" t="s">
        <v>3</v>
      </c>
      <c r="O29" s="33" t="s">
        <v>174</v>
      </c>
      <c r="P29" s="116" t="s">
        <v>11</v>
      </c>
      <c r="Q29" s="35" t="s">
        <v>175</v>
      </c>
    </row>
    <row r="30">
      <c r="A30" s="177" t="s">
        <v>176</v>
      </c>
      <c r="B30" s="160"/>
      <c r="C30" s="161" t="s">
        <v>2</v>
      </c>
      <c r="D30" s="165"/>
      <c r="E30" s="163" t="s">
        <v>24</v>
      </c>
      <c r="F30" s="165"/>
      <c r="G30" s="163" t="s">
        <v>73</v>
      </c>
      <c r="I30" s="149">
        <v>9.0</v>
      </c>
      <c r="J30" s="79" t="s">
        <v>1</v>
      </c>
      <c r="K30" s="150">
        <v>53.0</v>
      </c>
      <c r="L30" s="150" t="s">
        <v>78</v>
      </c>
      <c r="M30" s="151" t="s">
        <v>59</v>
      </c>
      <c r="O30" s="51" t="s">
        <v>177</v>
      </c>
      <c r="P30" s="86"/>
      <c r="Q30" s="166"/>
    </row>
    <row r="31">
      <c r="A31" s="178" t="s">
        <v>178</v>
      </c>
      <c r="B31" s="160"/>
      <c r="C31" s="161" t="s">
        <v>24</v>
      </c>
      <c r="D31" s="165"/>
      <c r="E31" s="163" t="s">
        <v>2</v>
      </c>
      <c r="F31" s="165"/>
      <c r="G31" s="163" t="s">
        <v>84</v>
      </c>
      <c r="I31" s="149">
        <v>10.0</v>
      </c>
      <c r="J31" s="79" t="s">
        <v>1</v>
      </c>
      <c r="K31" s="150">
        <f>112+144</f>
        <v>256</v>
      </c>
      <c r="L31" s="150" t="s">
        <v>166</v>
      </c>
      <c r="M31" s="151" t="s">
        <v>59</v>
      </c>
      <c r="O31" s="126" t="s">
        <v>179</v>
      </c>
      <c r="P31" s="125">
        <v>45686.0</v>
      </c>
      <c r="Q31" s="142"/>
    </row>
    <row r="32">
      <c r="A32" s="178" t="s">
        <v>180</v>
      </c>
      <c r="B32" s="160"/>
      <c r="C32" s="161" t="s">
        <v>24</v>
      </c>
      <c r="D32" s="165"/>
      <c r="E32" s="163" t="s">
        <v>2</v>
      </c>
      <c r="F32" s="165"/>
      <c r="G32" s="163" t="s">
        <v>3</v>
      </c>
      <c r="I32" s="149">
        <v>11.0</v>
      </c>
      <c r="J32" s="79" t="s">
        <v>1</v>
      </c>
      <c r="K32" s="150">
        <v>5.0</v>
      </c>
      <c r="L32" s="153" t="s">
        <v>3</v>
      </c>
      <c r="M32" s="179" t="s">
        <v>59</v>
      </c>
      <c r="O32" s="41"/>
      <c r="P32" s="86"/>
      <c r="Q32" s="41"/>
    </row>
    <row r="33">
      <c r="A33" s="178" t="s">
        <v>181</v>
      </c>
      <c r="B33" s="160"/>
      <c r="C33" s="161" t="s">
        <v>24</v>
      </c>
      <c r="D33" s="165"/>
      <c r="E33" s="163" t="s">
        <v>24</v>
      </c>
      <c r="F33" s="165"/>
      <c r="G33" s="163" t="s">
        <v>1</v>
      </c>
      <c r="I33" s="149">
        <v>12.0</v>
      </c>
      <c r="J33" s="79" t="s">
        <v>59</v>
      </c>
      <c r="K33" s="150">
        <v>200.0</v>
      </c>
      <c r="L33" s="150" t="s">
        <v>26</v>
      </c>
      <c r="M33" s="151" t="s">
        <v>158</v>
      </c>
      <c r="O33" s="33" t="s">
        <v>182</v>
      </c>
      <c r="P33" s="116" t="s">
        <v>11</v>
      </c>
      <c r="Q33" s="35" t="s">
        <v>183</v>
      </c>
    </row>
    <row r="34">
      <c r="A34" s="178" t="s">
        <v>184</v>
      </c>
      <c r="B34" s="160"/>
      <c r="C34" s="161" t="s">
        <v>26</v>
      </c>
      <c r="D34" s="165"/>
      <c r="E34" s="163" t="s">
        <v>26</v>
      </c>
      <c r="F34" s="165"/>
      <c r="G34" s="163" t="s">
        <v>59</v>
      </c>
      <c r="I34" s="149">
        <v>13.0</v>
      </c>
      <c r="J34" s="79" t="s">
        <v>3</v>
      </c>
      <c r="K34" s="150">
        <v>176.0</v>
      </c>
      <c r="L34" s="150" t="s">
        <v>59</v>
      </c>
      <c r="M34" s="151" t="s">
        <v>157</v>
      </c>
      <c r="O34" s="126" t="s">
        <v>185</v>
      </c>
      <c r="P34" s="125">
        <v>45698.0</v>
      </c>
      <c r="Q34" s="142"/>
    </row>
    <row r="35">
      <c r="I35" s="149">
        <v>14.0</v>
      </c>
      <c r="J35" s="79" t="s">
        <v>1</v>
      </c>
      <c r="K35" s="150">
        <v>11.0</v>
      </c>
      <c r="L35" s="150" t="s">
        <v>157</v>
      </c>
      <c r="M35" s="151" t="s">
        <v>59</v>
      </c>
      <c r="P35" s="86"/>
      <c r="Q35" s="41"/>
    </row>
    <row r="36">
      <c r="I36" s="149">
        <v>15.0</v>
      </c>
      <c r="J36" s="79" t="s">
        <v>3</v>
      </c>
      <c r="K36" s="150">
        <v>225.0</v>
      </c>
      <c r="L36" s="150" t="s">
        <v>59</v>
      </c>
      <c r="M36" s="151" t="s">
        <v>78</v>
      </c>
      <c r="O36" s="33" t="s">
        <v>186</v>
      </c>
      <c r="P36" s="116" t="s">
        <v>11</v>
      </c>
      <c r="Q36" s="35" t="s">
        <v>187</v>
      </c>
    </row>
    <row r="37">
      <c r="I37" s="180">
        <v>16.0</v>
      </c>
      <c r="J37" s="181" t="s">
        <v>59</v>
      </c>
      <c r="K37" s="182">
        <v>224.0</v>
      </c>
      <c r="L37" s="182" t="s">
        <v>3</v>
      </c>
      <c r="M37" s="183" t="s">
        <v>26</v>
      </c>
      <c r="O37" s="126" t="s">
        <v>188</v>
      </c>
      <c r="P37" s="125">
        <v>45698.0</v>
      </c>
      <c r="Q37" s="142"/>
    </row>
    <row r="38">
      <c r="O38" s="41"/>
      <c r="P38" s="86"/>
    </row>
    <row r="39">
      <c r="A39" s="184" t="s">
        <v>189</v>
      </c>
      <c r="G39" s="185" t="s">
        <v>190</v>
      </c>
      <c r="H39" s="186"/>
      <c r="I39" s="185" t="s">
        <v>191</v>
      </c>
      <c r="J39" s="186"/>
      <c r="K39" s="185" t="s">
        <v>192</v>
      </c>
      <c r="L39" s="186"/>
      <c r="M39" s="187" t="s">
        <v>193</v>
      </c>
      <c r="O39" s="33" t="s">
        <v>194</v>
      </c>
      <c r="P39" s="116" t="s">
        <v>11</v>
      </c>
      <c r="Q39" s="35" t="s">
        <v>195</v>
      </c>
    </row>
    <row r="40">
      <c r="A40" s="188" t="s">
        <v>196</v>
      </c>
      <c r="B40" s="189" t="s">
        <v>197</v>
      </c>
      <c r="C40" s="190" t="s">
        <v>198</v>
      </c>
      <c r="G40" s="51" t="s">
        <v>158</v>
      </c>
      <c r="H40" s="191">
        <f t="shared" ref="H40:H49" si="1">COUNTIF($J$21:$J$38, G40)</f>
        <v>1</v>
      </c>
      <c r="I40" s="51" t="s">
        <v>158</v>
      </c>
      <c r="J40" s="191">
        <f t="shared" ref="J40:J49" si="2">COUNTIF($L$21:$L$38,I40)</f>
        <v>2</v>
      </c>
      <c r="K40" s="51" t="s">
        <v>158</v>
      </c>
      <c r="L40" s="191">
        <f t="shared" ref="L40:L49" si="3">COUNTIF($M$21:$M$38,K40)</f>
        <v>2</v>
      </c>
      <c r="M40" s="192">
        <f t="shared" ref="M40:M49" si="4">H40+J40+L40</f>
        <v>5</v>
      </c>
      <c r="O40" s="126" t="s">
        <v>199</v>
      </c>
      <c r="P40" s="125">
        <v>45698.0</v>
      </c>
      <c r="Q40" s="142"/>
    </row>
    <row r="41">
      <c r="A41" s="188" t="s">
        <v>200</v>
      </c>
      <c r="B41" s="189" t="s">
        <v>201</v>
      </c>
      <c r="C41" s="79" t="s">
        <v>202</v>
      </c>
      <c r="G41" s="51" t="s">
        <v>157</v>
      </c>
      <c r="H41" s="191">
        <f t="shared" si="1"/>
        <v>0</v>
      </c>
      <c r="I41" s="51" t="s">
        <v>157</v>
      </c>
      <c r="J41" s="191">
        <f t="shared" si="2"/>
        <v>4</v>
      </c>
      <c r="K41" s="51" t="s">
        <v>157</v>
      </c>
      <c r="L41" s="191">
        <f t="shared" si="3"/>
        <v>2</v>
      </c>
      <c r="M41" s="192">
        <f t="shared" si="4"/>
        <v>6</v>
      </c>
      <c r="O41" s="41"/>
      <c r="P41" s="86"/>
      <c r="Q41" s="41"/>
    </row>
    <row r="42">
      <c r="A42" s="188" t="s">
        <v>203</v>
      </c>
      <c r="B42" s="189" t="s">
        <v>204</v>
      </c>
      <c r="C42" s="193" t="s">
        <v>205</v>
      </c>
      <c r="G42" s="51" t="s">
        <v>59</v>
      </c>
      <c r="H42" s="191">
        <f t="shared" si="1"/>
        <v>2</v>
      </c>
      <c r="I42" s="51" t="s">
        <v>59</v>
      </c>
      <c r="J42" s="191">
        <f t="shared" si="2"/>
        <v>3</v>
      </c>
      <c r="K42" s="51" t="s">
        <v>59</v>
      </c>
      <c r="L42" s="191">
        <f t="shared" si="3"/>
        <v>6</v>
      </c>
      <c r="M42" s="192">
        <f t="shared" si="4"/>
        <v>11</v>
      </c>
      <c r="P42" s="86"/>
      <c r="Q42" s="41"/>
    </row>
    <row r="43">
      <c r="A43" s="188" t="s">
        <v>206</v>
      </c>
      <c r="B43" s="189" t="s">
        <v>207</v>
      </c>
      <c r="C43" s="193" t="s">
        <v>208</v>
      </c>
      <c r="G43" s="51" t="s">
        <v>3</v>
      </c>
      <c r="H43" s="191">
        <f t="shared" si="1"/>
        <v>4</v>
      </c>
      <c r="I43" s="51" t="s">
        <v>3</v>
      </c>
      <c r="J43" s="191">
        <f t="shared" si="2"/>
        <v>2</v>
      </c>
      <c r="K43" s="51" t="s">
        <v>3</v>
      </c>
      <c r="L43" s="191">
        <f t="shared" si="3"/>
        <v>1</v>
      </c>
      <c r="M43" s="192">
        <f t="shared" si="4"/>
        <v>7</v>
      </c>
      <c r="O43" s="33" t="s">
        <v>209</v>
      </c>
      <c r="P43" s="194"/>
      <c r="Q43" s="195"/>
      <c r="R43" s="196"/>
      <c r="S43" s="196"/>
      <c r="T43" s="196"/>
      <c r="U43" s="197"/>
    </row>
    <row r="44">
      <c r="G44" s="51" t="s">
        <v>2</v>
      </c>
      <c r="H44" s="191">
        <f t="shared" si="1"/>
        <v>0</v>
      </c>
      <c r="I44" s="51" t="s">
        <v>2</v>
      </c>
      <c r="J44" s="191">
        <f t="shared" si="2"/>
        <v>0</v>
      </c>
      <c r="K44" s="51" t="s">
        <v>2</v>
      </c>
      <c r="L44" s="191">
        <f t="shared" si="3"/>
        <v>0</v>
      </c>
      <c r="M44" s="192">
        <f t="shared" si="4"/>
        <v>0</v>
      </c>
      <c r="O44" s="58"/>
      <c r="P44" s="86"/>
      <c r="Q44" s="41"/>
      <c r="U44" s="164"/>
    </row>
    <row r="45">
      <c r="A45" s="188" t="s">
        <v>210</v>
      </c>
      <c r="B45" s="41"/>
      <c r="C45" s="79" t="s">
        <v>211</v>
      </c>
      <c r="D45" s="41"/>
      <c r="E45" s="41"/>
      <c r="G45" s="51" t="s">
        <v>78</v>
      </c>
      <c r="H45" s="191">
        <f t="shared" si="1"/>
        <v>0</v>
      </c>
      <c r="I45" s="51" t="s">
        <v>78</v>
      </c>
      <c r="J45" s="191">
        <f t="shared" si="2"/>
        <v>1</v>
      </c>
      <c r="K45" s="51" t="s">
        <v>78</v>
      </c>
      <c r="L45" s="191">
        <f t="shared" si="3"/>
        <v>1</v>
      </c>
      <c r="M45" s="192">
        <f t="shared" si="4"/>
        <v>2</v>
      </c>
      <c r="O45" s="198" t="s">
        <v>212</v>
      </c>
      <c r="P45" s="86"/>
      <c r="Q45" s="79" t="s">
        <v>213</v>
      </c>
      <c r="S45" s="79" t="s">
        <v>214</v>
      </c>
      <c r="U45" s="53" t="s">
        <v>215</v>
      </c>
    </row>
    <row r="46">
      <c r="A46" s="52">
        <v>45593.0</v>
      </c>
      <c r="B46" s="189" t="s">
        <v>197</v>
      </c>
      <c r="C46" s="79" t="s">
        <v>216</v>
      </c>
      <c r="G46" s="51" t="s">
        <v>26</v>
      </c>
      <c r="H46" s="191">
        <f t="shared" si="1"/>
        <v>0</v>
      </c>
      <c r="I46" s="51" t="s">
        <v>26</v>
      </c>
      <c r="J46" s="191">
        <f t="shared" si="2"/>
        <v>1</v>
      </c>
      <c r="K46" s="51" t="s">
        <v>26</v>
      </c>
      <c r="L46" s="191">
        <f t="shared" si="3"/>
        <v>2</v>
      </c>
      <c r="M46" s="192">
        <f t="shared" si="4"/>
        <v>3</v>
      </c>
      <c r="O46" s="198" t="s">
        <v>217</v>
      </c>
      <c r="P46" s="86"/>
      <c r="Q46" s="79" t="s">
        <v>218</v>
      </c>
      <c r="S46" s="79" t="s">
        <v>219</v>
      </c>
      <c r="U46" s="53" t="s">
        <v>220</v>
      </c>
    </row>
    <row r="47">
      <c r="A47" s="52">
        <v>45641.0</v>
      </c>
      <c r="B47" s="189" t="s">
        <v>197</v>
      </c>
      <c r="C47" s="79" t="s">
        <v>221</v>
      </c>
      <c r="G47" s="51" t="s">
        <v>22</v>
      </c>
      <c r="H47" s="191">
        <f t="shared" si="1"/>
        <v>0</v>
      </c>
      <c r="I47" s="51" t="s">
        <v>22</v>
      </c>
      <c r="J47" s="191">
        <f t="shared" si="2"/>
        <v>0</v>
      </c>
      <c r="K47" s="51" t="s">
        <v>22</v>
      </c>
      <c r="L47" s="191">
        <f t="shared" si="3"/>
        <v>0</v>
      </c>
      <c r="M47" s="192">
        <f t="shared" si="4"/>
        <v>0</v>
      </c>
      <c r="O47" s="198" t="s">
        <v>222</v>
      </c>
      <c r="P47" s="86"/>
      <c r="Q47" s="79" t="s">
        <v>223</v>
      </c>
      <c r="S47" s="79" t="s">
        <v>224</v>
      </c>
      <c r="U47" s="53" t="s">
        <v>225</v>
      </c>
    </row>
    <row r="48">
      <c r="A48" s="52">
        <v>45648.0</v>
      </c>
      <c r="B48" s="189" t="s">
        <v>197</v>
      </c>
      <c r="C48" s="79" t="s">
        <v>226</v>
      </c>
      <c r="G48" s="51" t="s">
        <v>227</v>
      </c>
      <c r="H48" s="191">
        <f t="shared" si="1"/>
        <v>0</v>
      </c>
      <c r="I48" s="51" t="s">
        <v>227</v>
      </c>
      <c r="J48" s="191">
        <f t="shared" si="2"/>
        <v>0</v>
      </c>
      <c r="K48" s="51" t="s">
        <v>227</v>
      </c>
      <c r="L48" s="191">
        <f t="shared" si="3"/>
        <v>0</v>
      </c>
      <c r="M48" s="192">
        <f t="shared" si="4"/>
        <v>0</v>
      </c>
      <c r="O48" s="58"/>
      <c r="P48" s="86"/>
      <c r="Q48" s="79" t="s">
        <v>228</v>
      </c>
      <c r="S48" s="79" t="s">
        <v>229</v>
      </c>
      <c r="U48" s="53" t="s">
        <v>230</v>
      </c>
    </row>
    <row r="49">
      <c r="G49" s="199" t="s">
        <v>1</v>
      </c>
      <c r="H49" s="200">
        <f t="shared" si="1"/>
        <v>9</v>
      </c>
      <c r="I49" s="199" t="s">
        <v>1</v>
      </c>
      <c r="J49" s="200">
        <f t="shared" si="2"/>
        <v>2</v>
      </c>
      <c r="K49" s="199" t="s">
        <v>1</v>
      </c>
      <c r="L49" s="200">
        <f t="shared" si="3"/>
        <v>1</v>
      </c>
      <c r="M49" s="201">
        <f t="shared" si="4"/>
        <v>12</v>
      </c>
      <c r="O49" s="51" t="s">
        <v>231</v>
      </c>
      <c r="P49" s="86"/>
      <c r="Q49" s="79" t="s">
        <v>232</v>
      </c>
      <c r="S49" s="79" t="s">
        <v>233</v>
      </c>
      <c r="U49" s="53" t="s">
        <v>234</v>
      </c>
    </row>
    <row r="50">
      <c r="O50" s="51" t="s">
        <v>235</v>
      </c>
      <c r="P50" s="86"/>
      <c r="Q50" s="79" t="s">
        <v>236</v>
      </c>
      <c r="S50" s="79" t="s">
        <v>237</v>
      </c>
      <c r="U50" s="53" t="s">
        <v>238</v>
      </c>
    </row>
    <row r="51">
      <c r="O51" s="51" t="s">
        <v>239</v>
      </c>
      <c r="P51" s="86"/>
      <c r="Q51" s="79" t="s">
        <v>240</v>
      </c>
      <c r="S51" s="79" t="s">
        <v>241</v>
      </c>
      <c r="U51" s="164"/>
    </row>
    <row r="52">
      <c r="A52" s="87" t="s">
        <v>54</v>
      </c>
      <c r="B52" s="88"/>
      <c r="C52" s="87" t="s">
        <v>242</v>
      </c>
      <c r="D52" s="88"/>
      <c r="E52" s="87" t="s">
        <v>243</v>
      </c>
      <c r="F52" s="88"/>
      <c r="G52" s="89" t="s">
        <v>244</v>
      </c>
      <c r="H52" s="89"/>
      <c r="I52" s="90" t="s">
        <v>245</v>
      </c>
      <c r="O52" s="51" t="s">
        <v>246</v>
      </c>
      <c r="P52" s="86"/>
      <c r="S52" s="79" t="s">
        <v>247</v>
      </c>
      <c r="U52" s="202" t="s">
        <v>248</v>
      </c>
    </row>
    <row r="53">
      <c r="A53" s="91" t="s">
        <v>59</v>
      </c>
      <c r="C53" s="92" t="s">
        <v>249</v>
      </c>
      <c r="D53" s="93"/>
      <c r="E53" s="92" t="s">
        <v>249</v>
      </c>
      <c r="F53" s="94"/>
      <c r="G53" s="92" t="s">
        <v>249</v>
      </c>
      <c r="H53" s="94"/>
      <c r="I53" s="92" t="s">
        <v>249</v>
      </c>
      <c r="O53" s="51" t="s">
        <v>250</v>
      </c>
      <c r="P53" s="86"/>
      <c r="Q53" s="79" t="s">
        <v>251</v>
      </c>
      <c r="U53" s="164"/>
    </row>
    <row r="54">
      <c r="A54" s="95"/>
      <c r="C54" s="96" t="s">
        <v>252</v>
      </c>
      <c r="D54" s="97"/>
      <c r="E54" s="96" t="s">
        <v>252</v>
      </c>
      <c r="F54" s="97"/>
      <c r="G54" s="96" t="s">
        <v>252</v>
      </c>
      <c r="H54" s="98"/>
      <c r="I54" s="96" t="s">
        <v>252</v>
      </c>
      <c r="O54" s="58"/>
      <c r="P54" s="86"/>
      <c r="S54" s="203" t="s">
        <v>253</v>
      </c>
      <c r="U54" s="164"/>
    </row>
    <row r="55">
      <c r="A55" s="91" t="s">
        <v>63</v>
      </c>
      <c r="C55" s="92" t="s">
        <v>254</v>
      </c>
      <c r="D55" s="94"/>
      <c r="E55" s="92" t="s">
        <v>255</v>
      </c>
      <c r="F55" s="94"/>
      <c r="G55" s="92" t="s">
        <v>255</v>
      </c>
      <c r="H55" s="100"/>
      <c r="I55" s="92" t="s">
        <v>254</v>
      </c>
      <c r="O55" s="198" t="s">
        <v>256</v>
      </c>
      <c r="P55" s="86"/>
      <c r="Q55" s="79" t="s">
        <v>257</v>
      </c>
      <c r="U55" s="164"/>
    </row>
    <row r="56">
      <c r="A56" s="95"/>
      <c r="C56" s="96" t="s">
        <v>65</v>
      </c>
      <c r="D56" s="97"/>
      <c r="E56" s="96" t="s">
        <v>65</v>
      </c>
      <c r="F56" s="97"/>
      <c r="G56" s="96" t="s">
        <v>65</v>
      </c>
      <c r="H56" s="103"/>
      <c r="I56" s="96" t="s">
        <v>65</v>
      </c>
      <c r="O56" s="198" t="s">
        <v>258</v>
      </c>
      <c r="P56" s="86"/>
      <c r="U56" s="164"/>
    </row>
    <row r="57">
      <c r="A57" s="91" t="s">
        <v>2</v>
      </c>
      <c r="C57" s="92" t="s">
        <v>259</v>
      </c>
      <c r="D57" s="94"/>
      <c r="E57" s="92" t="s">
        <v>259</v>
      </c>
      <c r="F57" s="94"/>
      <c r="G57" s="92" t="s">
        <v>259</v>
      </c>
      <c r="H57" s="100"/>
      <c r="I57" s="92" t="s">
        <v>259</v>
      </c>
      <c r="O57" s="204" t="s">
        <v>260</v>
      </c>
      <c r="P57" s="205"/>
      <c r="Q57" s="61"/>
      <c r="R57" s="61"/>
      <c r="S57" s="61"/>
      <c r="T57" s="61"/>
      <c r="U57" s="38"/>
    </row>
    <row r="58">
      <c r="A58" s="95"/>
      <c r="C58" s="96" t="s">
        <v>261</v>
      </c>
      <c r="D58" s="97"/>
      <c r="E58" s="96" t="s">
        <v>261</v>
      </c>
      <c r="F58" s="97"/>
      <c r="G58" s="96" t="s">
        <v>261</v>
      </c>
      <c r="H58" s="103"/>
      <c r="I58" s="96" t="s">
        <v>261</v>
      </c>
      <c r="O58" s="86"/>
      <c r="P58" s="86"/>
    </row>
    <row r="59">
      <c r="A59" s="91" t="s">
        <v>3</v>
      </c>
      <c r="C59" s="92" t="s">
        <v>262</v>
      </c>
      <c r="D59" s="94"/>
      <c r="E59" s="92" t="s">
        <v>262</v>
      </c>
      <c r="F59" s="94"/>
      <c r="G59" s="92" t="s">
        <v>71</v>
      </c>
      <c r="H59" s="100"/>
      <c r="I59" s="92" t="s">
        <v>71</v>
      </c>
      <c r="O59" s="86"/>
      <c r="P59" s="86"/>
    </row>
    <row r="60">
      <c r="A60" s="95"/>
      <c r="C60" s="96" t="s">
        <v>70</v>
      </c>
      <c r="D60" s="97"/>
      <c r="E60" s="96" t="s">
        <v>70</v>
      </c>
      <c r="F60" s="97"/>
      <c r="G60" s="96" t="s">
        <v>70</v>
      </c>
      <c r="H60" s="103"/>
      <c r="I60" s="96" t="s">
        <v>70</v>
      </c>
      <c r="O60" s="86"/>
      <c r="P60" s="86"/>
    </row>
    <row r="61">
      <c r="A61" s="104" t="s">
        <v>73</v>
      </c>
      <c r="C61" s="92" t="s">
        <v>263</v>
      </c>
      <c r="D61" s="94"/>
      <c r="E61" s="92" t="s">
        <v>263</v>
      </c>
      <c r="F61" s="94"/>
      <c r="G61" s="92" t="s">
        <v>263</v>
      </c>
      <c r="H61" s="100"/>
      <c r="I61" s="206" t="s">
        <v>264</v>
      </c>
      <c r="O61" s="86"/>
      <c r="P61" s="86"/>
    </row>
    <row r="62">
      <c r="A62" s="105"/>
      <c r="C62" s="96"/>
      <c r="D62" s="97"/>
      <c r="E62" s="96" t="s">
        <v>264</v>
      </c>
      <c r="F62" s="97"/>
      <c r="G62" s="96" t="s">
        <v>264</v>
      </c>
      <c r="H62" s="106"/>
      <c r="I62" s="103"/>
      <c r="O62" s="86"/>
      <c r="P62" s="86"/>
    </row>
    <row r="63">
      <c r="A63" s="91" t="s">
        <v>22</v>
      </c>
      <c r="C63" s="92" t="s">
        <v>265</v>
      </c>
      <c r="D63" s="94"/>
      <c r="E63" s="92" t="s">
        <v>266</v>
      </c>
      <c r="F63" s="94"/>
      <c r="G63" s="92" t="s">
        <v>266</v>
      </c>
      <c r="H63" s="100"/>
      <c r="I63" s="206" t="s">
        <v>266</v>
      </c>
      <c r="O63" s="86"/>
      <c r="P63" s="86"/>
    </row>
    <row r="64">
      <c r="A64" s="95"/>
      <c r="C64" s="96" t="s">
        <v>267</v>
      </c>
      <c r="D64" s="97"/>
      <c r="E64" s="96" t="s">
        <v>76</v>
      </c>
      <c r="F64" s="97"/>
      <c r="G64" s="96" t="s">
        <v>76</v>
      </c>
      <c r="H64" s="103"/>
      <c r="I64" s="96" t="s">
        <v>76</v>
      </c>
      <c r="O64" s="86"/>
      <c r="P64" s="86"/>
    </row>
    <row r="65">
      <c r="A65" s="91" t="s">
        <v>78</v>
      </c>
      <c r="C65" s="92" t="s">
        <v>268</v>
      </c>
      <c r="D65" s="94"/>
      <c r="E65" s="92" t="s">
        <v>79</v>
      </c>
      <c r="F65" s="94"/>
      <c r="G65" s="92" t="s">
        <v>79</v>
      </c>
      <c r="H65" s="100"/>
      <c r="I65" s="92" t="s">
        <v>79</v>
      </c>
      <c r="O65" s="86"/>
      <c r="P65" s="86"/>
    </row>
    <row r="66">
      <c r="A66" s="95"/>
      <c r="C66" s="96" t="s">
        <v>269</v>
      </c>
      <c r="D66" s="97"/>
      <c r="E66" s="96" t="s">
        <v>269</v>
      </c>
      <c r="F66" s="97"/>
      <c r="G66" s="96" t="s">
        <v>269</v>
      </c>
      <c r="H66" s="103"/>
      <c r="I66" s="96" t="s">
        <v>269</v>
      </c>
      <c r="O66" s="86"/>
      <c r="P66" s="86"/>
    </row>
    <row r="67">
      <c r="A67" s="91" t="s">
        <v>227</v>
      </c>
      <c r="C67" s="92" t="s">
        <v>270</v>
      </c>
      <c r="D67" s="94"/>
      <c r="E67" s="92" t="s">
        <v>240</v>
      </c>
      <c r="F67" s="94"/>
      <c r="G67" s="92" t="s">
        <v>240</v>
      </c>
      <c r="H67" s="100"/>
      <c r="I67" s="92" t="s">
        <v>240</v>
      </c>
      <c r="O67" s="86"/>
      <c r="P67" s="86"/>
    </row>
    <row r="68">
      <c r="A68" s="95"/>
      <c r="C68" s="96" t="s">
        <v>271</v>
      </c>
      <c r="D68" s="97"/>
      <c r="E68" s="96" t="s">
        <v>271</v>
      </c>
      <c r="F68" s="97"/>
      <c r="G68" s="96" t="s">
        <v>271</v>
      </c>
      <c r="H68" s="103"/>
      <c r="I68" s="96" t="s">
        <v>271</v>
      </c>
      <c r="O68" s="86"/>
      <c r="P68" s="86"/>
    </row>
    <row r="69">
      <c r="A69" s="91" t="s">
        <v>84</v>
      </c>
      <c r="C69" s="92" t="s">
        <v>272</v>
      </c>
      <c r="D69" s="94"/>
      <c r="E69" s="92" t="s">
        <v>85</v>
      </c>
      <c r="F69" s="94"/>
      <c r="G69" s="92" t="s">
        <v>85</v>
      </c>
      <c r="H69" s="100"/>
      <c r="I69" s="92" t="s">
        <v>85</v>
      </c>
      <c r="O69" s="86"/>
      <c r="P69" s="86"/>
    </row>
    <row r="70">
      <c r="A70" s="95"/>
      <c r="C70" s="96" t="s">
        <v>273</v>
      </c>
      <c r="D70" s="97"/>
      <c r="E70" s="96" t="s">
        <v>273</v>
      </c>
      <c r="F70" s="97"/>
      <c r="G70" s="96" t="s">
        <v>273</v>
      </c>
      <c r="H70" s="103"/>
      <c r="I70" s="96" t="s">
        <v>273</v>
      </c>
      <c r="O70" s="86"/>
      <c r="P70" s="86"/>
    </row>
    <row r="71">
      <c r="A71" s="91" t="s">
        <v>26</v>
      </c>
      <c r="C71" s="92" t="s">
        <v>274</v>
      </c>
      <c r="D71" s="94"/>
      <c r="E71" s="92" t="s">
        <v>274</v>
      </c>
      <c r="F71" s="94"/>
      <c r="G71" s="92" t="s">
        <v>274</v>
      </c>
      <c r="H71" s="100"/>
      <c r="I71" s="92" t="s">
        <v>274</v>
      </c>
      <c r="O71" s="86"/>
      <c r="P71" s="86"/>
    </row>
    <row r="72">
      <c r="A72" s="95"/>
      <c r="B72" s="97"/>
      <c r="C72" s="96" t="s">
        <v>275</v>
      </c>
      <c r="D72" s="97"/>
      <c r="E72" s="96" t="s">
        <v>275</v>
      </c>
      <c r="F72" s="97"/>
      <c r="G72" s="96" t="s">
        <v>275</v>
      </c>
      <c r="H72" s="103"/>
      <c r="I72" s="96" t="s">
        <v>275</v>
      </c>
      <c r="O72" s="86"/>
      <c r="P72" s="86"/>
    </row>
    <row r="73">
      <c r="O73" s="86"/>
      <c r="P73" s="86"/>
    </row>
    <row r="74">
      <c r="A74" s="196"/>
      <c r="B74" s="196"/>
      <c r="C74" s="196"/>
      <c r="D74" s="196"/>
      <c r="E74" s="196"/>
      <c r="F74" s="196"/>
      <c r="G74" s="196"/>
      <c r="H74" s="196"/>
      <c r="I74" s="196"/>
      <c r="J74" s="196"/>
      <c r="K74" s="196"/>
      <c r="L74" s="196"/>
      <c r="M74" s="196"/>
      <c r="O74" s="86"/>
      <c r="P74" s="86"/>
    </row>
    <row r="75">
      <c r="A75" s="207" t="s">
        <v>276</v>
      </c>
      <c r="L75" s="208" t="s">
        <v>277</v>
      </c>
      <c r="O75" s="209" t="s">
        <v>278</v>
      </c>
      <c r="P75" s="7"/>
      <c r="Q75" s="7"/>
      <c r="R75" s="8"/>
    </row>
    <row r="76">
      <c r="A76" s="210" t="s">
        <v>279</v>
      </c>
      <c r="B76" s="43"/>
      <c r="C76" s="44"/>
      <c r="D76" s="210" t="s">
        <v>280</v>
      </c>
      <c r="E76" s="43"/>
      <c r="F76" s="43"/>
      <c r="G76" s="44"/>
      <c r="H76" s="210" t="s">
        <v>281</v>
      </c>
      <c r="I76" s="43"/>
      <c r="J76" s="43"/>
      <c r="K76" s="44"/>
      <c r="O76" s="211" t="s">
        <v>282</v>
      </c>
      <c r="P76" s="212" t="s">
        <v>283</v>
      </c>
      <c r="Q76" s="212" t="s">
        <v>284</v>
      </c>
      <c r="R76" s="213"/>
    </row>
    <row r="77">
      <c r="A77" s="214" t="s">
        <v>285</v>
      </c>
      <c r="B77" s="43"/>
      <c r="C77" s="44"/>
      <c r="D77" s="214" t="s">
        <v>286</v>
      </c>
      <c r="E77" s="43"/>
      <c r="F77" s="43"/>
      <c r="G77" s="44"/>
      <c r="H77" s="214" t="s">
        <v>287</v>
      </c>
      <c r="I77" s="43"/>
      <c r="J77" s="43"/>
      <c r="K77" s="44"/>
      <c r="O77" s="215" t="s">
        <v>288</v>
      </c>
      <c r="P77" s="216" t="s">
        <v>78</v>
      </c>
      <c r="Q77" s="79" t="s">
        <v>289</v>
      </c>
      <c r="R77" s="20"/>
    </row>
    <row r="78">
      <c r="A78" s="214" t="s">
        <v>290</v>
      </c>
      <c r="B78" s="43"/>
      <c r="C78" s="44"/>
      <c r="D78" s="214" t="s">
        <v>291</v>
      </c>
      <c r="E78" s="43"/>
      <c r="F78" s="43"/>
      <c r="G78" s="44"/>
      <c r="H78" s="214" t="s">
        <v>292</v>
      </c>
      <c r="I78" s="43"/>
      <c r="J78" s="43"/>
      <c r="K78" s="44"/>
      <c r="L78" s="208" t="s">
        <v>293</v>
      </c>
      <c r="O78" s="215" t="s">
        <v>294</v>
      </c>
      <c r="P78" s="216" t="s">
        <v>78</v>
      </c>
      <c r="Q78" s="79" t="s">
        <v>289</v>
      </c>
      <c r="R78" s="20"/>
    </row>
    <row r="79">
      <c r="A79" s="214" t="s">
        <v>295</v>
      </c>
      <c r="B79" s="43"/>
      <c r="C79" s="44"/>
      <c r="D79" s="214" t="s">
        <v>296</v>
      </c>
      <c r="E79" s="43"/>
      <c r="F79" s="43"/>
      <c r="G79" s="44"/>
      <c r="H79" s="214" t="s">
        <v>297</v>
      </c>
      <c r="I79" s="43"/>
      <c r="J79" s="43"/>
      <c r="K79" s="44"/>
      <c r="L79" s="208"/>
      <c r="M79" s="208"/>
      <c r="O79" s="215" t="s">
        <v>298</v>
      </c>
      <c r="P79" s="216" t="s">
        <v>157</v>
      </c>
      <c r="Q79" s="79" t="s">
        <v>289</v>
      </c>
      <c r="R79" s="20"/>
    </row>
    <row r="80">
      <c r="A80" s="214" t="s">
        <v>299</v>
      </c>
      <c r="B80" s="43"/>
      <c r="C80" s="44"/>
      <c r="D80" s="214" t="s">
        <v>300</v>
      </c>
      <c r="E80" s="43"/>
      <c r="F80" s="43"/>
      <c r="G80" s="44"/>
      <c r="H80" s="217" t="s">
        <v>301</v>
      </c>
      <c r="I80" s="43"/>
      <c r="J80" s="43"/>
      <c r="K80" s="44"/>
      <c r="L80" s="208"/>
      <c r="M80" s="208"/>
      <c r="O80" s="215" t="s">
        <v>302</v>
      </c>
      <c r="P80" s="216" t="s">
        <v>157</v>
      </c>
      <c r="Q80" s="79" t="s">
        <v>303</v>
      </c>
      <c r="R80" s="20"/>
    </row>
    <row r="81">
      <c r="A81" s="214" t="s">
        <v>304</v>
      </c>
      <c r="B81" s="43"/>
      <c r="C81" s="44"/>
      <c r="D81" s="214" t="s">
        <v>305</v>
      </c>
      <c r="E81" s="43"/>
      <c r="F81" s="43"/>
      <c r="G81" s="44"/>
      <c r="H81" s="214" t="s">
        <v>306</v>
      </c>
      <c r="I81" s="43"/>
      <c r="J81" s="43"/>
      <c r="K81" s="44"/>
      <c r="L81" s="208"/>
      <c r="M81" s="208"/>
      <c r="O81" s="215" t="s">
        <v>307</v>
      </c>
      <c r="P81" s="216" t="s">
        <v>157</v>
      </c>
      <c r="Q81" s="79" t="s">
        <v>308</v>
      </c>
      <c r="R81" s="20"/>
    </row>
    <row r="82">
      <c r="A82" s="214" t="s">
        <v>309</v>
      </c>
      <c r="B82" s="43"/>
      <c r="C82" s="44"/>
      <c r="D82" s="214" t="s">
        <v>310</v>
      </c>
      <c r="E82" s="43"/>
      <c r="F82" s="43"/>
      <c r="G82" s="44"/>
      <c r="H82" s="214" t="s">
        <v>311</v>
      </c>
      <c r="I82" s="43"/>
      <c r="J82" s="43"/>
      <c r="K82" s="44"/>
      <c r="L82" s="208"/>
      <c r="M82" s="208"/>
      <c r="O82" s="216" t="s">
        <v>312</v>
      </c>
      <c r="P82" s="216" t="s">
        <v>2</v>
      </c>
      <c r="Q82" s="79" t="s">
        <v>313</v>
      </c>
      <c r="R82" s="20"/>
    </row>
    <row r="83">
      <c r="A83" s="214" t="s">
        <v>314</v>
      </c>
      <c r="B83" s="43"/>
      <c r="C83" s="44"/>
      <c r="D83" s="214" t="s">
        <v>315</v>
      </c>
      <c r="E83" s="43"/>
      <c r="F83" s="43"/>
      <c r="G83" s="44"/>
      <c r="H83" s="214" t="s">
        <v>316</v>
      </c>
      <c r="I83" s="43"/>
      <c r="J83" s="43"/>
      <c r="K83" s="44"/>
      <c r="L83" s="208"/>
      <c r="M83" s="208"/>
      <c r="O83" s="216" t="s">
        <v>317</v>
      </c>
      <c r="P83" s="216" t="s">
        <v>1</v>
      </c>
      <c r="Q83" s="79" t="s">
        <v>318</v>
      </c>
      <c r="R83" s="164"/>
    </row>
    <row r="84">
      <c r="A84" s="214" t="s">
        <v>319</v>
      </c>
      <c r="B84" s="43"/>
      <c r="C84" s="44"/>
      <c r="D84" s="214" t="s">
        <v>320</v>
      </c>
      <c r="E84" s="43"/>
      <c r="F84" s="43"/>
      <c r="G84" s="44"/>
      <c r="H84" s="214" t="s">
        <v>321</v>
      </c>
      <c r="I84" s="43"/>
      <c r="J84" s="43"/>
      <c r="K84" s="44"/>
      <c r="O84" s="216" t="s">
        <v>322</v>
      </c>
      <c r="P84" s="216" t="s">
        <v>78</v>
      </c>
      <c r="Q84" s="79" t="s">
        <v>323</v>
      </c>
      <c r="R84" s="164"/>
    </row>
    <row r="85">
      <c r="A85" s="214" t="s">
        <v>324</v>
      </c>
      <c r="B85" s="43"/>
      <c r="C85" s="44"/>
      <c r="D85" s="214" t="s">
        <v>325</v>
      </c>
      <c r="E85" s="43"/>
      <c r="F85" s="43"/>
      <c r="G85" s="44"/>
      <c r="H85" s="214" t="s">
        <v>326</v>
      </c>
      <c r="I85" s="43"/>
      <c r="J85" s="43"/>
      <c r="K85" s="44"/>
      <c r="O85" s="218" t="s">
        <v>327</v>
      </c>
      <c r="P85" s="218" t="s">
        <v>2</v>
      </c>
      <c r="Q85" s="219" t="s">
        <v>328</v>
      </c>
      <c r="R85" s="38"/>
    </row>
    <row r="86">
      <c r="A86" s="214" t="s">
        <v>329</v>
      </c>
      <c r="B86" s="43"/>
      <c r="C86" s="44"/>
      <c r="D86" s="214" t="s">
        <v>330</v>
      </c>
      <c r="E86" s="43"/>
      <c r="F86" s="43"/>
      <c r="G86" s="44"/>
      <c r="H86" s="214" t="s">
        <v>331</v>
      </c>
      <c r="I86" s="43"/>
      <c r="J86" s="43"/>
      <c r="K86" s="44"/>
      <c r="O86" s="86"/>
      <c r="P86" s="86"/>
    </row>
    <row r="87">
      <c r="O87" s="86"/>
      <c r="P87" s="86"/>
    </row>
    <row r="88">
      <c r="A88" s="210" t="s">
        <v>332</v>
      </c>
      <c r="B88" s="43"/>
      <c r="C88" s="43"/>
      <c r="D88" s="44"/>
      <c r="E88" s="210" t="s">
        <v>333</v>
      </c>
      <c r="F88" s="43"/>
      <c r="G88" s="43"/>
      <c r="H88" s="44"/>
      <c r="I88" s="210" t="s">
        <v>334</v>
      </c>
      <c r="J88" s="43"/>
      <c r="K88" s="43"/>
      <c r="L88" s="44"/>
      <c r="O88" s="210" t="s">
        <v>335</v>
      </c>
      <c r="P88" s="44"/>
      <c r="Q88" s="41"/>
      <c r="R88" s="41"/>
    </row>
    <row r="89">
      <c r="A89" s="214" t="s">
        <v>336</v>
      </c>
      <c r="B89" s="43"/>
      <c r="C89" s="43"/>
      <c r="D89" s="44"/>
      <c r="E89" s="217" t="s">
        <v>337</v>
      </c>
      <c r="F89" s="43"/>
      <c r="G89" s="43"/>
      <c r="H89" s="44"/>
      <c r="I89" s="217" t="s">
        <v>337</v>
      </c>
      <c r="J89" s="43"/>
      <c r="K89" s="43"/>
      <c r="L89" s="44"/>
      <c r="O89" s="217" t="s">
        <v>337</v>
      </c>
      <c r="P89" s="44"/>
      <c r="Q89" s="41"/>
      <c r="R89" s="41"/>
    </row>
    <row r="90">
      <c r="A90" s="214" t="s">
        <v>338</v>
      </c>
      <c r="B90" s="43"/>
      <c r="C90" s="43"/>
      <c r="D90" s="44"/>
      <c r="E90" s="217" t="s">
        <v>339</v>
      </c>
      <c r="F90" s="43"/>
      <c r="G90" s="43"/>
      <c r="H90" s="44"/>
      <c r="I90" s="217" t="s">
        <v>339</v>
      </c>
      <c r="J90" s="43"/>
      <c r="K90" s="43"/>
      <c r="L90" s="44"/>
      <c r="O90" s="217" t="s">
        <v>339</v>
      </c>
      <c r="P90" s="44"/>
      <c r="Q90" s="41"/>
      <c r="R90" s="41"/>
    </row>
    <row r="91">
      <c r="A91" s="214" t="s">
        <v>340</v>
      </c>
      <c r="B91" s="43"/>
      <c r="C91" s="43"/>
      <c r="D91" s="44"/>
      <c r="E91" s="217" t="s">
        <v>341</v>
      </c>
      <c r="F91" s="43"/>
      <c r="G91" s="43"/>
      <c r="H91" s="44"/>
      <c r="I91" s="217" t="s">
        <v>341</v>
      </c>
      <c r="J91" s="43"/>
      <c r="K91" s="43"/>
      <c r="L91" s="44"/>
      <c r="O91" s="217" t="s">
        <v>341</v>
      </c>
      <c r="P91" s="44"/>
      <c r="Q91" s="41"/>
      <c r="R91" s="41"/>
    </row>
    <row r="92">
      <c r="A92" s="217" t="s">
        <v>301</v>
      </c>
      <c r="B92" s="43"/>
      <c r="C92" s="43"/>
      <c r="D92" s="44"/>
      <c r="E92" s="217" t="s">
        <v>301</v>
      </c>
      <c r="F92" s="43"/>
      <c r="G92" s="43"/>
      <c r="H92" s="44"/>
      <c r="I92" s="217" t="s">
        <v>301</v>
      </c>
      <c r="J92" s="43"/>
      <c r="K92" s="43"/>
      <c r="L92" s="44"/>
      <c r="O92" s="217" t="s">
        <v>301</v>
      </c>
      <c r="P92" s="44"/>
      <c r="Q92" s="41"/>
      <c r="R92" s="41"/>
    </row>
    <row r="93">
      <c r="A93" s="214" t="s">
        <v>342</v>
      </c>
      <c r="B93" s="43"/>
      <c r="C93" s="43"/>
      <c r="D93" s="44"/>
      <c r="E93" s="214" t="s">
        <v>343</v>
      </c>
      <c r="F93" s="43"/>
      <c r="G93" s="43"/>
      <c r="H93" s="44"/>
      <c r="I93" s="214" t="s">
        <v>344</v>
      </c>
      <c r="J93" s="43"/>
      <c r="K93" s="43"/>
      <c r="L93" s="44"/>
      <c r="O93" s="214" t="s">
        <v>345</v>
      </c>
      <c r="P93" s="44"/>
      <c r="Q93" s="41"/>
      <c r="R93" s="41"/>
    </row>
    <row r="94">
      <c r="A94" s="214" t="s">
        <v>346</v>
      </c>
      <c r="B94" s="43"/>
      <c r="C94" s="43"/>
      <c r="D94" s="44"/>
      <c r="E94" s="217" t="s">
        <v>347</v>
      </c>
      <c r="F94" s="43"/>
      <c r="G94" s="43"/>
      <c r="H94" s="44"/>
      <c r="I94" s="217" t="s">
        <v>347</v>
      </c>
      <c r="J94" s="43"/>
      <c r="K94" s="43"/>
      <c r="L94" s="44"/>
      <c r="O94" s="217" t="s">
        <v>347</v>
      </c>
      <c r="P94" s="44"/>
      <c r="Q94" s="41"/>
      <c r="R94" s="41"/>
    </row>
    <row r="95">
      <c r="A95" s="214" t="s">
        <v>348</v>
      </c>
      <c r="B95" s="43"/>
      <c r="C95" s="43"/>
      <c r="D95" s="44"/>
      <c r="E95" s="214" t="s">
        <v>349</v>
      </c>
      <c r="F95" s="43"/>
      <c r="G95" s="43"/>
      <c r="H95" s="44"/>
      <c r="I95" s="214" t="s">
        <v>350</v>
      </c>
      <c r="J95" s="43"/>
      <c r="K95" s="43"/>
      <c r="L95" s="44"/>
      <c r="O95" s="214" t="s">
        <v>351</v>
      </c>
      <c r="P95" s="44"/>
      <c r="Q95" s="41"/>
      <c r="R95" s="41"/>
    </row>
    <row r="96">
      <c r="A96" s="214" t="s">
        <v>352</v>
      </c>
      <c r="B96" s="43"/>
      <c r="C96" s="43"/>
      <c r="D96" s="44"/>
      <c r="E96" s="217" t="s">
        <v>353</v>
      </c>
      <c r="F96" s="43"/>
      <c r="G96" s="43"/>
      <c r="H96" s="44"/>
      <c r="I96" s="217" t="s">
        <v>353</v>
      </c>
      <c r="J96" s="43"/>
      <c r="K96" s="43"/>
      <c r="L96" s="44"/>
      <c r="O96" s="217" t="s">
        <v>353</v>
      </c>
      <c r="P96" s="44"/>
      <c r="Q96" s="41"/>
      <c r="R96" s="41"/>
    </row>
    <row r="97">
      <c r="A97" s="217" t="s">
        <v>354</v>
      </c>
      <c r="B97" s="43"/>
      <c r="C97" s="43"/>
      <c r="D97" s="44"/>
      <c r="E97" s="217" t="s">
        <v>354</v>
      </c>
      <c r="F97" s="43"/>
      <c r="G97" s="43"/>
      <c r="H97" s="44"/>
      <c r="I97" s="217" t="s">
        <v>354</v>
      </c>
      <c r="J97" s="43"/>
      <c r="K97" s="43"/>
      <c r="L97" s="44"/>
      <c r="O97" s="217" t="s">
        <v>354</v>
      </c>
      <c r="P97" s="44"/>
      <c r="Q97" s="41"/>
      <c r="R97" s="41"/>
    </row>
    <row r="98">
      <c r="A98" s="217" t="s">
        <v>355</v>
      </c>
      <c r="B98" s="43"/>
      <c r="C98" s="43"/>
      <c r="D98" s="44"/>
      <c r="E98" s="217" t="s">
        <v>355</v>
      </c>
      <c r="F98" s="43"/>
      <c r="G98" s="43"/>
      <c r="H98" s="44"/>
      <c r="I98" s="217" t="s">
        <v>355</v>
      </c>
      <c r="J98" s="43"/>
      <c r="K98" s="43"/>
      <c r="L98" s="44"/>
      <c r="O98" s="217" t="s">
        <v>355</v>
      </c>
      <c r="P98" s="44"/>
      <c r="Q98" s="41"/>
      <c r="R98" s="41"/>
    </row>
    <row r="99">
      <c r="O99" s="86"/>
      <c r="P99" s="86"/>
    </row>
    <row r="100">
      <c r="O100" s="86"/>
      <c r="P100" s="86"/>
    </row>
    <row r="101">
      <c r="O101" s="86"/>
      <c r="P101" s="86"/>
    </row>
    <row r="102">
      <c r="O102" s="86"/>
      <c r="P102" s="86"/>
    </row>
    <row r="103">
      <c r="O103" s="86"/>
      <c r="P103" s="86"/>
    </row>
    <row r="104">
      <c r="O104" s="86"/>
      <c r="P104" s="86"/>
    </row>
    <row r="105">
      <c r="O105" s="86"/>
      <c r="P105" s="86"/>
    </row>
    <row r="106">
      <c r="O106" s="86"/>
      <c r="P106" s="86"/>
    </row>
    <row r="107">
      <c r="O107" s="86"/>
      <c r="P107" s="86"/>
    </row>
    <row r="108">
      <c r="O108" s="86"/>
      <c r="P108" s="86"/>
    </row>
    <row r="109">
      <c r="O109" s="86"/>
      <c r="P109" s="86"/>
    </row>
    <row r="110">
      <c r="O110" s="86"/>
      <c r="P110" s="86"/>
    </row>
    <row r="111">
      <c r="O111" s="86"/>
      <c r="P111" s="86"/>
    </row>
    <row r="112">
      <c r="O112" s="86"/>
      <c r="P112" s="86"/>
    </row>
    <row r="113">
      <c r="O113" s="86"/>
      <c r="P113" s="86"/>
    </row>
    <row r="114">
      <c r="O114" s="86"/>
      <c r="P114" s="86"/>
    </row>
    <row r="115">
      <c r="A115" s="220" t="s">
        <v>356</v>
      </c>
      <c r="B115" s="43"/>
      <c r="C115" s="43"/>
      <c r="D115" s="43"/>
      <c r="E115" s="43"/>
      <c r="F115" s="43"/>
      <c r="G115" s="43"/>
      <c r="H115" s="43"/>
      <c r="I115" s="43"/>
      <c r="J115" s="43"/>
      <c r="K115" s="44"/>
      <c r="O115" s="86"/>
      <c r="P115" s="86"/>
    </row>
    <row r="116">
      <c r="A116" s="221" t="s">
        <v>357</v>
      </c>
      <c r="B116" s="139"/>
      <c r="C116" s="222"/>
      <c r="D116" s="223" t="s">
        <v>358</v>
      </c>
      <c r="E116" s="139"/>
      <c r="F116" s="139"/>
      <c r="G116" s="222"/>
      <c r="H116" s="223" t="s">
        <v>359</v>
      </c>
      <c r="I116" s="139"/>
      <c r="J116" s="139"/>
      <c r="K116" s="222"/>
      <c r="O116" s="86"/>
      <c r="P116" s="86"/>
    </row>
    <row r="117">
      <c r="A117" s="224" t="s">
        <v>360</v>
      </c>
      <c r="C117" s="225"/>
      <c r="D117" s="224" t="s">
        <v>361</v>
      </c>
      <c r="G117" s="225"/>
      <c r="H117" s="224" t="s">
        <v>362</v>
      </c>
      <c r="K117" s="225"/>
      <c r="O117" s="86"/>
      <c r="P117" s="86"/>
    </row>
    <row r="118">
      <c r="A118" s="224" t="s">
        <v>363</v>
      </c>
      <c r="C118" s="225"/>
      <c r="D118" s="224" t="s">
        <v>364</v>
      </c>
      <c r="G118" s="225"/>
      <c r="H118" s="224" t="s">
        <v>365</v>
      </c>
      <c r="K118" s="225"/>
      <c r="O118" s="86"/>
      <c r="P118" s="86"/>
    </row>
    <row r="119">
      <c r="A119" s="224" t="s">
        <v>366</v>
      </c>
      <c r="C119" s="225"/>
      <c r="D119" s="224" t="s">
        <v>367</v>
      </c>
      <c r="G119" s="225"/>
      <c r="H119" s="224" t="s">
        <v>368</v>
      </c>
      <c r="K119" s="225"/>
      <c r="O119" s="86"/>
      <c r="P119" s="86"/>
    </row>
    <row r="120">
      <c r="A120" s="224" t="s">
        <v>369</v>
      </c>
      <c r="C120" s="225"/>
      <c r="D120" s="224" t="s">
        <v>370</v>
      </c>
      <c r="G120" s="225"/>
      <c r="H120" s="224" t="s">
        <v>371</v>
      </c>
      <c r="K120" s="225"/>
      <c r="O120" s="86"/>
      <c r="P120" s="86"/>
    </row>
    <row r="121">
      <c r="A121" s="224" t="s">
        <v>372</v>
      </c>
      <c r="C121" s="225"/>
      <c r="D121" s="224" t="s">
        <v>373</v>
      </c>
      <c r="G121" s="225"/>
      <c r="H121" s="226" t="s">
        <v>374</v>
      </c>
      <c r="K121" s="225"/>
      <c r="O121" s="86"/>
      <c r="P121" s="86"/>
    </row>
    <row r="122">
      <c r="A122" s="224" t="s">
        <v>375</v>
      </c>
      <c r="C122" s="225"/>
      <c r="D122" s="224" t="s">
        <v>376</v>
      </c>
      <c r="G122" s="225"/>
      <c r="H122" s="226" t="s">
        <v>377</v>
      </c>
      <c r="K122" s="225"/>
      <c r="O122" s="86"/>
      <c r="P122" s="86"/>
    </row>
    <row r="123">
      <c r="A123" s="224" t="s">
        <v>378</v>
      </c>
      <c r="C123" s="225"/>
      <c r="D123" s="224" t="s">
        <v>379</v>
      </c>
      <c r="G123" s="225"/>
      <c r="H123" s="226" t="s">
        <v>380</v>
      </c>
      <c r="K123" s="225"/>
      <c r="O123" s="86"/>
      <c r="P123" s="86"/>
    </row>
    <row r="124">
      <c r="A124" s="224" t="s">
        <v>381</v>
      </c>
      <c r="C124" s="225"/>
      <c r="D124" s="224" t="s">
        <v>382</v>
      </c>
      <c r="G124" s="225"/>
      <c r="H124" s="226" t="s">
        <v>383</v>
      </c>
      <c r="K124" s="225"/>
      <c r="O124" s="86"/>
      <c r="P124" s="86"/>
    </row>
    <row r="125">
      <c r="A125" s="224" t="s">
        <v>384</v>
      </c>
      <c r="C125" s="225"/>
      <c r="D125" s="224" t="s">
        <v>385</v>
      </c>
      <c r="G125" s="225"/>
      <c r="H125" s="226" t="s">
        <v>386</v>
      </c>
      <c r="K125" s="225"/>
      <c r="O125" s="86"/>
      <c r="P125" s="86"/>
    </row>
    <row r="126">
      <c r="A126" s="227" t="s">
        <v>387</v>
      </c>
      <c r="B126" s="139"/>
      <c r="C126" s="222"/>
      <c r="D126" s="227" t="s">
        <v>388</v>
      </c>
      <c r="E126" s="139"/>
      <c r="F126" s="139"/>
      <c r="G126" s="222"/>
      <c r="H126" s="228" t="s">
        <v>389</v>
      </c>
      <c r="I126" s="139"/>
      <c r="J126" s="139"/>
      <c r="K126" s="222"/>
      <c r="O126" s="86"/>
      <c r="P126" s="86"/>
    </row>
    <row r="127">
      <c r="A127" s="227" t="s">
        <v>390</v>
      </c>
      <c r="B127" s="139"/>
      <c r="C127" s="222"/>
      <c r="O127" s="86"/>
      <c r="P127" s="86"/>
    </row>
    <row r="128">
      <c r="O128" s="86"/>
      <c r="P128" s="86"/>
    </row>
    <row r="129">
      <c r="O129" s="86"/>
      <c r="P129" s="86"/>
    </row>
    <row r="130">
      <c r="O130" s="86"/>
      <c r="P130" s="86"/>
    </row>
    <row r="131">
      <c r="O131" s="86"/>
      <c r="P131" s="86"/>
    </row>
    <row r="132">
      <c r="O132" s="86"/>
      <c r="P132" s="86"/>
    </row>
    <row r="133">
      <c r="O133" s="86"/>
      <c r="P133" s="86"/>
    </row>
    <row r="134">
      <c r="O134" s="86"/>
      <c r="P134" s="86"/>
    </row>
    <row r="135">
      <c r="O135" s="86"/>
      <c r="P135" s="86"/>
    </row>
    <row r="136">
      <c r="O136" s="86"/>
      <c r="P136" s="86"/>
    </row>
    <row r="137">
      <c r="O137" s="86"/>
      <c r="P137" s="86"/>
    </row>
    <row r="138">
      <c r="O138" s="86"/>
      <c r="P138" s="86"/>
    </row>
    <row r="139">
      <c r="O139" s="86"/>
      <c r="P139" s="86"/>
    </row>
    <row r="140">
      <c r="O140" s="86"/>
      <c r="P140" s="86"/>
    </row>
    <row r="141">
      <c r="O141" s="86"/>
      <c r="P141" s="86"/>
    </row>
    <row r="142">
      <c r="O142" s="86"/>
      <c r="P142" s="86"/>
    </row>
    <row r="143">
      <c r="O143" s="86"/>
      <c r="P143" s="86"/>
    </row>
    <row r="144">
      <c r="O144" s="86"/>
      <c r="P144" s="86"/>
    </row>
    <row r="145">
      <c r="O145" s="86"/>
      <c r="P145" s="86"/>
    </row>
    <row r="146">
      <c r="O146" s="86"/>
      <c r="P146" s="86"/>
    </row>
    <row r="147">
      <c r="O147" s="86"/>
      <c r="P147" s="86"/>
    </row>
    <row r="148">
      <c r="O148" s="86"/>
      <c r="P148" s="86"/>
    </row>
    <row r="149">
      <c r="O149" s="86"/>
      <c r="P149" s="86"/>
    </row>
    <row r="150">
      <c r="O150" s="86"/>
      <c r="P150" s="86"/>
    </row>
    <row r="151">
      <c r="O151" s="86"/>
      <c r="P151" s="86"/>
    </row>
    <row r="152">
      <c r="O152" s="86"/>
      <c r="P152" s="86"/>
    </row>
    <row r="153">
      <c r="O153" s="86"/>
      <c r="P153" s="86"/>
    </row>
    <row r="154">
      <c r="O154" s="86"/>
      <c r="P154" s="86"/>
    </row>
    <row r="155">
      <c r="O155" s="86"/>
      <c r="P155" s="86"/>
    </row>
    <row r="156">
      <c r="O156" s="86"/>
      <c r="P156" s="86"/>
    </row>
    <row r="157">
      <c r="O157" s="86"/>
      <c r="P157" s="86"/>
    </row>
    <row r="158">
      <c r="O158" s="86"/>
      <c r="P158" s="86"/>
    </row>
    <row r="159">
      <c r="O159" s="86"/>
      <c r="P159" s="86"/>
    </row>
    <row r="160">
      <c r="O160" s="86"/>
      <c r="P160" s="86"/>
    </row>
    <row r="161">
      <c r="O161" s="86"/>
      <c r="P161" s="86"/>
    </row>
    <row r="162">
      <c r="O162" s="86"/>
      <c r="P162" s="86"/>
    </row>
    <row r="163">
      <c r="O163" s="86"/>
      <c r="P163" s="86"/>
    </row>
    <row r="164">
      <c r="O164" s="86"/>
      <c r="P164" s="86"/>
    </row>
    <row r="165">
      <c r="O165" s="86"/>
      <c r="P165" s="86"/>
    </row>
    <row r="166">
      <c r="O166" s="86"/>
      <c r="P166" s="86"/>
    </row>
    <row r="167">
      <c r="O167" s="86"/>
      <c r="P167" s="86"/>
    </row>
    <row r="168">
      <c r="O168" s="86"/>
      <c r="P168" s="86"/>
    </row>
    <row r="169">
      <c r="O169" s="86"/>
      <c r="P169" s="86"/>
    </row>
    <row r="170">
      <c r="O170" s="86"/>
      <c r="P170" s="86"/>
    </row>
    <row r="171">
      <c r="O171" s="86"/>
      <c r="P171" s="86"/>
    </row>
    <row r="172">
      <c r="O172" s="86"/>
      <c r="P172" s="86"/>
    </row>
    <row r="173">
      <c r="O173" s="86"/>
      <c r="P173" s="86"/>
    </row>
    <row r="174">
      <c r="O174" s="86"/>
      <c r="P174" s="86"/>
    </row>
    <row r="175">
      <c r="O175" s="86"/>
      <c r="P175" s="86"/>
    </row>
    <row r="176">
      <c r="O176" s="86"/>
      <c r="P176" s="86"/>
    </row>
    <row r="177">
      <c r="O177" s="86"/>
      <c r="P177" s="86"/>
    </row>
    <row r="178">
      <c r="O178" s="86"/>
      <c r="P178" s="86"/>
    </row>
    <row r="179">
      <c r="O179" s="86"/>
      <c r="P179" s="86"/>
    </row>
    <row r="180">
      <c r="O180" s="86"/>
      <c r="P180" s="86"/>
    </row>
    <row r="181">
      <c r="O181" s="86"/>
      <c r="P181" s="86"/>
    </row>
    <row r="182">
      <c r="O182" s="86"/>
      <c r="P182" s="86"/>
    </row>
    <row r="183">
      <c r="O183" s="86"/>
      <c r="P183" s="86"/>
    </row>
    <row r="184">
      <c r="O184" s="86"/>
      <c r="P184" s="86"/>
    </row>
    <row r="185">
      <c r="O185" s="86"/>
      <c r="P185" s="86"/>
    </row>
    <row r="186">
      <c r="O186" s="86"/>
      <c r="P186" s="86"/>
    </row>
    <row r="187">
      <c r="O187" s="86"/>
      <c r="P187" s="86"/>
    </row>
    <row r="188">
      <c r="O188" s="86"/>
      <c r="P188" s="86"/>
    </row>
    <row r="189">
      <c r="O189" s="86"/>
      <c r="P189" s="86"/>
    </row>
    <row r="190">
      <c r="O190" s="86"/>
      <c r="P190" s="86"/>
    </row>
    <row r="191">
      <c r="O191" s="86"/>
      <c r="P191" s="86"/>
    </row>
    <row r="192">
      <c r="O192" s="86"/>
      <c r="P192" s="86"/>
    </row>
    <row r="193">
      <c r="O193" s="86"/>
      <c r="P193" s="86"/>
    </row>
    <row r="194">
      <c r="O194" s="86"/>
      <c r="P194" s="86"/>
    </row>
    <row r="195">
      <c r="O195" s="86"/>
      <c r="P195" s="86"/>
    </row>
    <row r="196">
      <c r="O196" s="86"/>
      <c r="P196" s="86"/>
    </row>
    <row r="197">
      <c r="O197" s="86"/>
      <c r="P197" s="86"/>
    </row>
    <row r="198">
      <c r="O198" s="86"/>
      <c r="P198" s="86"/>
    </row>
    <row r="199">
      <c r="O199" s="86"/>
      <c r="P199" s="86"/>
    </row>
    <row r="200">
      <c r="O200" s="86"/>
      <c r="P200" s="86"/>
    </row>
    <row r="201">
      <c r="O201" s="86"/>
      <c r="P201" s="86"/>
    </row>
    <row r="202">
      <c r="O202" s="86"/>
      <c r="P202" s="86"/>
    </row>
    <row r="203">
      <c r="O203" s="86"/>
      <c r="P203" s="86"/>
    </row>
    <row r="204">
      <c r="O204" s="86"/>
      <c r="P204" s="86"/>
    </row>
    <row r="205">
      <c r="O205" s="86"/>
      <c r="P205" s="86"/>
    </row>
    <row r="206">
      <c r="O206" s="86"/>
      <c r="P206" s="86"/>
    </row>
    <row r="207">
      <c r="O207" s="86"/>
      <c r="P207" s="86"/>
    </row>
    <row r="208">
      <c r="O208" s="86"/>
      <c r="P208" s="86"/>
    </row>
    <row r="209">
      <c r="O209" s="86"/>
      <c r="P209" s="86"/>
    </row>
    <row r="210">
      <c r="O210" s="86"/>
      <c r="P210" s="86"/>
    </row>
    <row r="211">
      <c r="O211" s="86"/>
      <c r="P211" s="86"/>
    </row>
    <row r="212">
      <c r="O212" s="86"/>
      <c r="P212" s="86"/>
    </row>
    <row r="213">
      <c r="O213" s="86"/>
      <c r="P213" s="86"/>
    </row>
    <row r="214">
      <c r="O214" s="86"/>
      <c r="P214" s="86"/>
    </row>
    <row r="215">
      <c r="O215" s="86"/>
      <c r="P215" s="86"/>
    </row>
    <row r="216">
      <c r="O216" s="86"/>
      <c r="P216" s="86"/>
    </row>
    <row r="217">
      <c r="O217" s="86"/>
      <c r="P217" s="86"/>
    </row>
    <row r="218">
      <c r="O218" s="86"/>
      <c r="P218" s="86"/>
    </row>
    <row r="219">
      <c r="O219" s="86"/>
      <c r="P219" s="86"/>
    </row>
    <row r="220">
      <c r="O220" s="86"/>
      <c r="P220" s="86"/>
    </row>
    <row r="221">
      <c r="O221" s="86"/>
      <c r="P221" s="86"/>
    </row>
    <row r="222">
      <c r="O222" s="86"/>
      <c r="P222" s="86"/>
    </row>
    <row r="223">
      <c r="O223" s="86"/>
      <c r="P223" s="86"/>
    </row>
    <row r="224">
      <c r="O224" s="86"/>
      <c r="P224" s="86"/>
    </row>
    <row r="225">
      <c r="O225" s="86"/>
      <c r="P225" s="86"/>
    </row>
    <row r="226">
      <c r="O226" s="86"/>
      <c r="P226" s="86"/>
    </row>
    <row r="227">
      <c r="O227" s="86"/>
      <c r="P227" s="86"/>
    </row>
    <row r="228">
      <c r="O228" s="86"/>
      <c r="P228" s="86"/>
    </row>
    <row r="229">
      <c r="O229" s="86"/>
      <c r="P229" s="86"/>
    </row>
    <row r="230">
      <c r="O230" s="86"/>
      <c r="P230" s="86"/>
    </row>
    <row r="231">
      <c r="O231" s="86"/>
      <c r="P231" s="86"/>
    </row>
    <row r="232">
      <c r="O232" s="86"/>
      <c r="P232" s="86"/>
    </row>
    <row r="233">
      <c r="O233" s="86"/>
      <c r="P233" s="86"/>
    </row>
    <row r="234">
      <c r="O234" s="86"/>
      <c r="P234" s="86"/>
    </row>
    <row r="235">
      <c r="O235" s="86"/>
      <c r="P235" s="86"/>
    </row>
    <row r="236">
      <c r="O236" s="86"/>
      <c r="P236" s="86"/>
    </row>
    <row r="237">
      <c r="O237" s="86"/>
      <c r="P237" s="86"/>
    </row>
    <row r="238">
      <c r="O238" s="86"/>
      <c r="P238" s="86"/>
    </row>
    <row r="239">
      <c r="O239" s="86"/>
      <c r="P239" s="86"/>
    </row>
    <row r="240">
      <c r="O240" s="86"/>
      <c r="P240" s="86"/>
    </row>
    <row r="241">
      <c r="O241" s="86"/>
      <c r="P241" s="86"/>
    </row>
    <row r="242">
      <c r="O242" s="86"/>
      <c r="P242" s="86"/>
    </row>
    <row r="243">
      <c r="O243" s="86"/>
      <c r="P243" s="86"/>
    </row>
    <row r="244">
      <c r="O244" s="86"/>
      <c r="P244" s="86"/>
    </row>
    <row r="245">
      <c r="O245" s="86"/>
      <c r="P245" s="86"/>
    </row>
    <row r="246">
      <c r="O246" s="86"/>
      <c r="P246" s="86"/>
    </row>
    <row r="247">
      <c r="O247" s="86"/>
      <c r="P247" s="86"/>
    </row>
    <row r="248">
      <c r="O248" s="86"/>
      <c r="P248" s="86"/>
    </row>
    <row r="249">
      <c r="O249" s="86"/>
      <c r="P249" s="86"/>
    </row>
    <row r="250">
      <c r="O250" s="86"/>
      <c r="P250" s="86"/>
    </row>
    <row r="251">
      <c r="O251" s="86"/>
      <c r="P251" s="86"/>
    </row>
    <row r="252">
      <c r="O252" s="86"/>
      <c r="P252" s="86"/>
    </row>
    <row r="253">
      <c r="O253" s="86"/>
      <c r="P253" s="86"/>
    </row>
    <row r="254">
      <c r="O254" s="86"/>
      <c r="P254" s="86"/>
    </row>
    <row r="255">
      <c r="O255" s="86"/>
      <c r="P255" s="86"/>
    </row>
    <row r="256">
      <c r="O256" s="86"/>
      <c r="P256" s="86"/>
    </row>
    <row r="257">
      <c r="O257" s="86"/>
      <c r="P257" s="86"/>
    </row>
    <row r="258">
      <c r="O258" s="86"/>
      <c r="P258" s="86"/>
    </row>
    <row r="259">
      <c r="O259" s="86"/>
      <c r="P259" s="86"/>
    </row>
    <row r="260">
      <c r="O260" s="86"/>
      <c r="P260" s="86"/>
    </row>
    <row r="261">
      <c r="O261" s="86"/>
      <c r="P261" s="86"/>
    </row>
    <row r="262">
      <c r="O262" s="86"/>
      <c r="P262" s="86"/>
    </row>
    <row r="263">
      <c r="O263" s="86"/>
      <c r="P263" s="86"/>
    </row>
    <row r="264">
      <c r="O264" s="86"/>
      <c r="P264" s="86"/>
    </row>
    <row r="265">
      <c r="O265" s="86"/>
      <c r="P265" s="86"/>
    </row>
    <row r="266">
      <c r="O266" s="86"/>
      <c r="P266" s="86"/>
    </row>
    <row r="267">
      <c r="O267" s="86"/>
      <c r="P267" s="86"/>
    </row>
    <row r="268">
      <c r="O268" s="86"/>
      <c r="P268" s="86"/>
    </row>
    <row r="269">
      <c r="O269" s="86"/>
      <c r="P269" s="86"/>
    </row>
    <row r="270">
      <c r="O270" s="86"/>
      <c r="P270" s="86"/>
    </row>
    <row r="271">
      <c r="O271" s="86"/>
      <c r="P271" s="86"/>
    </row>
    <row r="272">
      <c r="O272" s="86"/>
      <c r="P272" s="86"/>
    </row>
    <row r="273">
      <c r="O273" s="86"/>
      <c r="P273" s="86"/>
    </row>
    <row r="274">
      <c r="O274" s="86"/>
      <c r="P274" s="86"/>
    </row>
    <row r="275">
      <c r="O275" s="86"/>
      <c r="P275" s="86"/>
    </row>
    <row r="276">
      <c r="O276" s="86"/>
      <c r="P276" s="86"/>
    </row>
    <row r="277">
      <c r="O277" s="86"/>
      <c r="P277" s="86"/>
    </row>
    <row r="278">
      <c r="O278" s="86"/>
      <c r="P278" s="86"/>
    </row>
    <row r="279">
      <c r="O279" s="86"/>
      <c r="P279" s="86"/>
    </row>
    <row r="280">
      <c r="O280" s="86"/>
      <c r="P280" s="86"/>
    </row>
    <row r="281">
      <c r="O281" s="86"/>
      <c r="P281" s="86"/>
    </row>
    <row r="282">
      <c r="O282" s="86"/>
      <c r="P282" s="86"/>
    </row>
    <row r="283">
      <c r="O283" s="86"/>
      <c r="P283" s="86"/>
    </row>
    <row r="284">
      <c r="O284" s="86"/>
      <c r="P284" s="86"/>
    </row>
    <row r="285">
      <c r="O285" s="86"/>
      <c r="P285" s="86"/>
    </row>
    <row r="286">
      <c r="O286" s="86"/>
      <c r="P286" s="86"/>
    </row>
    <row r="287">
      <c r="O287" s="86"/>
      <c r="P287" s="86"/>
    </row>
    <row r="288">
      <c r="O288" s="86"/>
      <c r="P288" s="86"/>
    </row>
    <row r="289">
      <c r="O289" s="86"/>
      <c r="P289" s="86"/>
    </row>
    <row r="290">
      <c r="O290" s="86"/>
      <c r="P290" s="86"/>
    </row>
    <row r="291">
      <c r="O291" s="86"/>
      <c r="P291" s="86"/>
    </row>
    <row r="292">
      <c r="O292" s="86"/>
      <c r="P292" s="86"/>
    </row>
    <row r="293">
      <c r="O293" s="86"/>
      <c r="P293" s="86"/>
    </row>
    <row r="294">
      <c r="O294" s="86"/>
      <c r="P294" s="86"/>
    </row>
    <row r="295">
      <c r="O295" s="86"/>
      <c r="P295" s="86"/>
    </row>
    <row r="296">
      <c r="O296" s="86"/>
      <c r="P296" s="86"/>
    </row>
    <row r="297">
      <c r="O297" s="86"/>
      <c r="P297" s="86"/>
    </row>
    <row r="298">
      <c r="O298" s="86"/>
      <c r="P298" s="86"/>
    </row>
    <row r="299">
      <c r="O299" s="86"/>
      <c r="P299" s="86"/>
    </row>
    <row r="300">
      <c r="O300" s="86"/>
      <c r="P300" s="86"/>
    </row>
    <row r="301">
      <c r="O301" s="86"/>
      <c r="P301" s="86"/>
    </row>
    <row r="302">
      <c r="O302" s="86"/>
      <c r="P302" s="86"/>
    </row>
    <row r="303">
      <c r="O303" s="86"/>
      <c r="P303" s="86"/>
    </row>
    <row r="304">
      <c r="O304" s="86"/>
      <c r="P304" s="86"/>
    </row>
    <row r="305">
      <c r="O305" s="86"/>
      <c r="P305" s="86"/>
    </row>
    <row r="306">
      <c r="O306" s="86"/>
      <c r="P306" s="86"/>
    </row>
    <row r="307">
      <c r="O307" s="86"/>
      <c r="P307" s="86"/>
    </row>
    <row r="308">
      <c r="O308" s="86"/>
      <c r="P308" s="86"/>
    </row>
    <row r="309">
      <c r="O309" s="86"/>
      <c r="P309" s="86"/>
    </row>
    <row r="310">
      <c r="O310" s="86"/>
      <c r="P310" s="86"/>
    </row>
    <row r="311">
      <c r="O311" s="86"/>
      <c r="P311" s="86"/>
    </row>
    <row r="312">
      <c r="O312" s="86"/>
      <c r="P312" s="86"/>
    </row>
    <row r="313">
      <c r="O313" s="86"/>
      <c r="P313" s="86"/>
    </row>
    <row r="314">
      <c r="O314" s="86"/>
      <c r="P314" s="86"/>
    </row>
    <row r="315">
      <c r="O315" s="86"/>
      <c r="P315" s="86"/>
    </row>
    <row r="316">
      <c r="O316" s="86"/>
      <c r="P316" s="86"/>
    </row>
    <row r="317">
      <c r="O317" s="86"/>
      <c r="P317" s="86"/>
    </row>
    <row r="318">
      <c r="O318" s="86"/>
      <c r="P318" s="86"/>
    </row>
    <row r="319">
      <c r="O319" s="86"/>
      <c r="P319" s="86"/>
    </row>
    <row r="320">
      <c r="O320" s="86"/>
      <c r="P320" s="86"/>
    </row>
    <row r="321">
      <c r="O321" s="86"/>
      <c r="P321" s="86"/>
    </row>
    <row r="322">
      <c r="O322" s="86"/>
      <c r="P322" s="86"/>
    </row>
    <row r="323">
      <c r="O323" s="86"/>
      <c r="P323" s="86"/>
    </row>
    <row r="324">
      <c r="O324" s="86"/>
      <c r="P324" s="86"/>
    </row>
    <row r="325">
      <c r="O325" s="86"/>
      <c r="P325" s="86"/>
    </row>
    <row r="326">
      <c r="O326" s="86"/>
      <c r="P326" s="86"/>
    </row>
    <row r="327">
      <c r="O327" s="86"/>
      <c r="P327" s="86"/>
    </row>
    <row r="328">
      <c r="O328" s="86"/>
      <c r="P328" s="86"/>
    </row>
    <row r="329">
      <c r="O329" s="86"/>
      <c r="P329" s="86"/>
    </row>
    <row r="330">
      <c r="O330" s="86"/>
      <c r="P330" s="86"/>
    </row>
    <row r="331">
      <c r="O331" s="86"/>
      <c r="P331" s="86"/>
    </row>
    <row r="332">
      <c r="O332" s="86"/>
      <c r="P332" s="86"/>
    </row>
    <row r="333">
      <c r="O333" s="86"/>
      <c r="P333" s="86"/>
    </row>
    <row r="334">
      <c r="O334" s="86"/>
      <c r="P334" s="86"/>
    </row>
    <row r="335">
      <c r="O335" s="86"/>
      <c r="P335" s="86"/>
    </row>
    <row r="336">
      <c r="O336" s="86"/>
      <c r="P336" s="86"/>
    </row>
    <row r="337">
      <c r="O337" s="86"/>
      <c r="P337" s="86"/>
    </row>
    <row r="338">
      <c r="O338" s="86"/>
      <c r="P338" s="86"/>
    </row>
    <row r="339">
      <c r="O339" s="86"/>
      <c r="P339" s="86"/>
    </row>
    <row r="340">
      <c r="O340" s="86"/>
      <c r="P340" s="86"/>
    </row>
    <row r="341">
      <c r="O341" s="86"/>
      <c r="P341" s="86"/>
    </row>
    <row r="342">
      <c r="O342" s="86"/>
      <c r="P342" s="86"/>
    </row>
    <row r="343">
      <c r="O343" s="86"/>
      <c r="P343" s="86"/>
    </row>
    <row r="344">
      <c r="O344" s="86"/>
      <c r="P344" s="86"/>
    </row>
    <row r="345">
      <c r="O345" s="86"/>
      <c r="P345" s="86"/>
    </row>
    <row r="346">
      <c r="O346" s="86"/>
      <c r="P346" s="86"/>
    </row>
    <row r="347">
      <c r="O347" s="86"/>
      <c r="P347" s="86"/>
    </row>
    <row r="348">
      <c r="O348" s="86"/>
      <c r="P348" s="86"/>
    </row>
    <row r="349">
      <c r="O349" s="86"/>
      <c r="P349" s="86"/>
    </row>
    <row r="350">
      <c r="O350" s="86"/>
      <c r="P350" s="86"/>
    </row>
    <row r="351">
      <c r="O351" s="86"/>
      <c r="P351" s="86"/>
    </row>
    <row r="352">
      <c r="O352" s="86"/>
      <c r="P352" s="86"/>
    </row>
    <row r="353">
      <c r="O353" s="86"/>
      <c r="P353" s="86"/>
    </row>
    <row r="354">
      <c r="O354" s="86"/>
      <c r="P354" s="86"/>
    </row>
    <row r="355">
      <c r="O355" s="86"/>
      <c r="P355" s="86"/>
    </row>
    <row r="356">
      <c r="O356" s="86"/>
      <c r="P356" s="86"/>
    </row>
    <row r="357">
      <c r="O357" s="86"/>
      <c r="P357" s="86"/>
    </row>
    <row r="358">
      <c r="O358" s="86"/>
      <c r="P358" s="86"/>
    </row>
    <row r="359">
      <c r="O359" s="86"/>
      <c r="P359" s="86"/>
    </row>
    <row r="360">
      <c r="O360" s="86"/>
      <c r="P360" s="86"/>
    </row>
    <row r="361">
      <c r="O361" s="86"/>
      <c r="P361" s="86"/>
    </row>
    <row r="362">
      <c r="O362" s="86"/>
      <c r="P362" s="86"/>
    </row>
    <row r="363">
      <c r="O363" s="86"/>
      <c r="P363" s="86"/>
    </row>
    <row r="364">
      <c r="O364" s="86"/>
      <c r="P364" s="86"/>
    </row>
    <row r="365">
      <c r="O365" s="86"/>
      <c r="P365" s="86"/>
    </row>
    <row r="366">
      <c r="O366" s="86"/>
      <c r="P366" s="86"/>
    </row>
    <row r="367">
      <c r="O367" s="86"/>
      <c r="P367" s="86"/>
    </row>
    <row r="368">
      <c r="O368" s="86"/>
      <c r="P368" s="86"/>
    </row>
    <row r="369">
      <c r="O369" s="86"/>
      <c r="P369" s="86"/>
    </row>
    <row r="370">
      <c r="O370" s="86"/>
      <c r="P370" s="86"/>
    </row>
    <row r="371">
      <c r="O371" s="86"/>
      <c r="P371" s="86"/>
    </row>
    <row r="372">
      <c r="O372" s="86"/>
      <c r="P372" s="86"/>
    </row>
    <row r="373">
      <c r="O373" s="86"/>
      <c r="P373" s="86"/>
    </row>
    <row r="374">
      <c r="O374" s="86"/>
      <c r="P374" s="86"/>
    </row>
    <row r="375">
      <c r="O375" s="86"/>
      <c r="P375" s="86"/>
    </row>
    <row r="376">
      <c r="O376" s="86"/>
      <c r="P376" s="86"/>
    </row>
    <row r="377">
      <c r="O377" s="86"/>
      <c r="P377" s="86"/>
    </row>
    <row r="378">
      <c r="O378" s="86"/>
      <c r="P378" s="86"/>
    </row>
    <row r="379">
      <c r="O379" s="86"/>
      <c r="P379" s="86"/>
    </row>
    <row r="380">
      <c r="O380" s="86"/>
      <c r="P380" s="86"/>
    </row>
    <row r="381">
      <c r="O381" s="86"/>
      <c r="P381" s="86"/>
    </row>
    <row r="382">
      <c r="O382" s="86"/>
      <c r="P382" s="86"/>
    </row>
    <row r="383">
      <c r="O383" s="86"/>
      <c r="P383" s="86"/>
    </row>
    <row r="384">
      <c r="O384" s="86"/>
      <c r="P384" s="86"/>
    </row>
    <row r="385">
      <c r="O385" s="86"/>
      <c r="P385" s="86"/>
    </row>
    <row r="386">
      <c r="O386" s="86"/>
      <c r="P386" s="86"/>
    </row>
    <row r="387">
      <c r="O387" s="86"/>
      <c r="P387" s="86"/>
    </row>
    <row r="388">
      <c r="O388" s="86"/>
      <c r="P388" s="86"/>
    </row>
    <row r="389">
      <c r="O389" s="86"/>
      <c r="P389" s="86"/>
    </row>
    <row r="390">
      <c r="O390" s="86"/>
      <c r="P390" s="86"/>
    </row>
    <row r="391">
      <c r="O391" s="86"/>
      <c r="P391" s="86"/>
    </row>
    <row r="392">
      <c r="O392" s="86"/>
      <c r="P392" s="86"/>
    </row>
    <row r="393">
      <c r="O393" s="86"/>
      <c r="P393" s="86"/>
    </row>
    <row r="394">
      <c r="O394" s="86"/>
      <c r="P394" s="86"/>
    </row>
    <row r="395">
      <c r="O395" s="86"/>
      <c r="P395" s="86"/>
    </row>
    <row r="396">
      <c r="O396" s="86"/>
      <c r="P396" s="86"/>
    </row>
    <row r="397">
      <c r="O397" s="86"/>
      <c r="P397" s="86"/>
    </row>
    <row r="398">
      <c r="O398" s="86"/>
      <c r="P398" s="86"/>
    </row>
    <row r="399">
      <c r="O399" s="86"/>
      <c r="P399" s="86"/>
    </row>
    <row r="400">
      <c r="O400" s="86"/>
      <c r="P400" s="86"/>
    </row>
    <row r="401">
      <c r="O401" s="86"/>
      <c r="P401" s="86"/>
    </row>
    <row r="402">
      <c r="O402" s="86"/>
      <c r="P402" s="86"/>
    </row>
    <row r="403">
      <c r="O403" s="86"/>
      <c r="P403" s="86"/>
    </row>
    <row r="404">
      <c r="O404" s="86"/>
      <c r="P404" s="86"/>
    </row>
    <row r="405">
      <c r="O405" s="86"/>
      <c r="P405" s="86"/>
    </row>
    <row r="406">
      <c r="O406" s="86"/>
      <c r="P406" s="86"/>
    </row>
    <row r="407">
      <c r="O407" s="86"/>
      <c r="P407" s="86"/>
    </row>
    <row r="408">
      <c r="O408" s="86"/>
      <c r="P408" s="86"/>
    </row>
    <row r="409">
      <c r="O409" s="86"/>
      <c r="P409" s="86"/>
    </row>
    <row r="410">
      <c r="O410" s="86"/>
      <c r="P410" s="86"/>
    </row>
    <row r="411">
      <c r="O411" s="86"/>
      <c r="P411" s="86"/>
    </row>
    <row r="412">
      <c r="O412" s="86"/>
      <c r="P412" s="86"/>
    </row>
    <row r="413">
      <c r="O413" s="86"/>
      <c r="P413" s="86"/>
    </row>
    <row r="414">
      <c r="O414" s="86"/>
      <c r="P414" s="86"/>
    </row>
    <row r="415">
      <c r="O415" s="86"/>
      <c r="P415" s="86"/>
    </row>
    <row r="416">
      <c r="O416" s="86"/>
      <c r="P416" s="86"/>
    </row>
    <row r="417">
      <c r="O417" s="86"/>
      <c r="P417" s="86"/>
    </row>
    <row r="418">
      <c r="O418" s="86"/>
      <c r="P418" s="86"/>
    </row>
    <row r="419">
      <c r="O419" s="86"/>
      <c r="P419" s="86"/>
    </row>
    <row r="420">
      <c r="O420" s="86"/>
      <c r="P420" s="86"/>
    </row>
    <row r="421">
      <c r="O421" s="86"/>
      <c r="P421" s="86"/>
    </row>
    <row r="422">
      <c r="O422" s="86"/>
      <c r="P422" s="86"/>
    </row>
    <row r="423">
      <c r="O423" s="86"/>
      <c r="P423" s="86"/>
    </row>
    <row r="424">
      <c r="O424" s="86"/>
      <c r="P424" s="86"/>
    </row>
    <row r="425">
      <c r="O425" s="86"/>
      <c r="P425" s="86"/>
    </row>
    <row r="426">
      <c r="O426" s="86"/>
      <c r="P426" s="86"/>
    </row>
    <row r="427">
      <c r="O427" s="86"/>
      <c r="P427" s="86"/>
    </row>
    <row r="428">
      <c r="O428" s="86"/>
      <c r="P428" s="86"/>
    </row>
    <row r="429">
      <c r="O429" s="86"/>
      <c r="P429" s="86"/>
    </row>
    <row r="430">
      <c r="O430" s="86"/>
      <c r="P430" s="86"/>
    </row>
    <row r="431">
      <c r="O431" s="86"/>
      <c r="P431" s="86"/>
    </row>
    <row r="432">
      <c r="O432" s="86"/>
      <c r="P432" s="86"/>
    </row>
    <row r="433">
      <c r="O433" s="86"/>
      <c r="P433" s="86"/>
    </row>
    <row r="434">
      <c r="O434" s="86"/>
      <c r="P434" s="86"/>
    </row>
    <row r="435">
      <c r="O435" s="86"/>
      <c r="P435" s="86"/>
    </row>
    <row r="436">
      <c r="O436" s="86"/>
      <c r="P436" s="86"/>
    </row>
    <row r="437">
      <c r="O437" s="86"/>
      <c r="P437" s="86"/>
    </row>
    <row r="438">
      <c r="O438" s="86"/>
      <c r="P438" s="86"/>
    </row>
    <row r="439">
      <c r="O439" s="86"/>
      <c r="P439" s="86"/>
    </row>
    <row r="440">
      <c r="O440" s="86"/>
      <c r="P440" s="86"/>
    </row>
    <row r="441">
      <c r="O441" s="86"/>
      <c r="P441" s="86"/>
    </row>
    <row r="442">
      <c r="O442" s="86"/>
      <c r="P442" s="86"/>
    </row>
    <row r="443">
      <c r="O443" s="86"/>
      <c r="P443" s="86"/>
    </row>
    <row r="444">
      <c r="O444" s="86"/>
      <c r="P444" s="86"/>
    </row>
    <row r="445">
      <c r="O445" s="86"/>
      <c r="P445" s="86"/>
    </row>
    <row r="446">
      <c r="O446" s="86"/>
      <c r="P446" s="86"/>
    </row>
    <row r="447">
      <c r="O447" s="86"/>
      <c r="P447" s="86"/>
    </row>
    <row r="448">
      <c r="O448" s="86"/>
      <c r="P448" s="86"/>
    </row>
    <row r="449">
      <c r="O449" s="86"/>
      <c r="P449" s="86"/>
    </row>
    <row r="450">
      <c r="O450" s="86"/>
      <c r="P450" s="86"/>
    </row>
    <row r="451">
      <c r="O451" s="86"/>
      <c r="P451" s="86"/>
    </row>
    <row r="452">
      <c r="O452" s="86"/>
      <c r="P452" s="86"/>
    </row>
    <row r="453">
      <c r="O453" s="86"/>
      <c r="P453" s="86"/>
    </row>
    <row r="454">
      <c r="O454" s="86"/>
      <c r="P454" s="86"/>
    </row>
    <row r="455">
      <c r="O455" s="86"/>
      <c r="P455" s="86"/>
    </row>
    <row r="456">
      <c r="O456" s="86"/>
      <c r="P456" s="86"/>
    </row>
    <row r="457">
      <c r="O457" s="86"/>
      <c r="P457" s="86"/>
    </row>
    <row r="458">
      <c r="O458" s="86"/>
      <c r="P458" s="86"/>
    </row>
    <row r="459">
      <c r="O459" s="86"/>
      <c r="P459" s="86"/>
    </row>
    <row r="460">
      <c r="O460" s="86"/>
      <c r="P460" s="86"/>
    </row>
    <row r="461">
      <c r="O461" s="86"/>
      <c r="P461" s="86"/>
    </row>
    <row r="462">
      <c r="O462" s="86"/>
      <c r="P462" s="86"/>
    </row>
    <row r="463">
      <c r="O463" s="86"/>
      <c r="P463" s="86"/>
    </row>
    <row r="464">
      <c r="O464" s="86"/>
      <c r="P464" s="86"/>
    </row>
    <row r="465">
      <c r="O465" s="86"/>
      <c r="P465" s="86"/>
    </row>
    <row r="466">
      <c r="O466" s="86"/>
      <c r="P466" s="86"/>
    </row>
    <row r="467">
      <c r="O467" s="86"/>
      <c r="P467" s="86"/>
    </row>
    <row r="468">
      <c r="O468" s="86"/>
      <c r="P468" s="86"/>
    </row>
    <row r="469">
      <c r="O469" s="86"/>
      <c r="P469" s="86"/>
    </row>
    <row r="470">
      <c r="O470" s="86"/>
      <c r="P470" s="86"/>
    </row>
    <row r="471">
      <c r="O471" s="86"/>
      <c r="P471" s="86"/>
    </row>
    <row r="472">
      <c r="O472" s="86"/>
      <c r="P472" s="86"/>
    </row>
    <row r="473">
      <c r="O473" s="86"/>
      <c r="P473" s="86"/>
    </row>
    <row r="474">
      <c r="O474" s="86"/>
      <c r="P474" s="86"/>
    </row>
    <row r="475">
      <c r="O475" s="86"/>
      <c r="P475" s="86"/>
    </row>
    <row r="476">
      <c r="O476" s="86"/>
      <c r="P476" s="86"/>
    </row>
    <row r="477">
      <c r="O477" s="86"/>
      <c r="P477" s="86"/>
    </row>
    <row r="478">
      <c r="O478" s="86"/>
      <c r="P478" s="86"/>
    </row>
    <row r="479">
      <c r="O479" s="86"/>
      <c r="P479" s="86"/>
    </row>
    <row r="480">
      <c r="O480" s="86"/>
      <c r="P480" s="86"/>
    </row>
    <row r="481">
      <c r="O481" s="86"/>
      <c r="P481" s="86"/>
    </row>
    <row r="482">
      <c r="O482" s="86"/>
      <c r="P482" s="86"/>
    </row>
    <row r="483">
      <c r="O483" s="86"/>
      <c r="P483" s="86"/>
    </row>
    <row r="484">
      <c r="O484" s="86"/>
      <c r="P484" s="86"/>
    </row>
    <row r="485">
      <c r="O485" s="86"/>
      <c r="P485" s="86"/>
    </row>
    <row r="486">
      <c r="O486" s="86"/>
      <c r="P486" s="86"/>
    </row>
    <row r="487">
      <c r="O487" s="86"/>
      <c r="P487" s="86"/>
    </row>
    <row r="488">
      <c r="O488" s="86"/>
      <c r="P488" s="86"/>
    </row>
    <row r="489">
      <c r="O489" s="86"/>
      <c r="P489" s="86"/>
    </row>
    <row r="490">
      <c r="O490" s="86"/>
      <c r="P490" s="86"/>
    </row>
    <row r="491">
      <c r="O491" s="86"/>
      <c r="P491" s="86"/>
    </row>
    <row r="492">
      <c r="O492" s="86"/>
      <c r="P492" s="86"/>
    </row>
    <row r="493">
      <c r="O493" s="86"/>
      <c r="P493" s="86"/>
    </row>
    <row r="494">
      <c r="O494" s="86"/>
      <c r="P494" s="86"/>
    </row>
    <row r="495">
      <c r="O495" s="86"/>
      <c r="P495" s="86"/>
    </row>
    <row r="496">
      <c r="O496" s="86"/>
      <c r="P496" s="86"/>
    </row>
    <row r="497">
      <c r="O497" s="86"/>
      <c r="P497" s="86"/>
    </row>
    <row r="498">
      <c r="O498" s="86"/>
      <c r="P498" s="86"/>
    </row>
    <row r="499">
      <c r="O499" s="86"/>
      <c r="P499" s="86"/>
    </row>
    <row r="500">
      <c r="O500" s="86"/>
      <c r="P500" s="86"/>
    </row>
    <row r="501">
      <c r="O501" s="86"/>
      <c r="P501" s="86"/>
    </row>
    <row r="502">
      <c r="O502" s="86"/>
      <c r="P502" s="86"/>
    </row>
    <row r="503">
      <c r="O503" s="86"/>
      <c r="P503" s="86"/>
    </row>
    <row r="504">
      <c r="O504" s="86"/>
      <c r="P504" s="86"/>
    </row>
    <row r="505">
      <c r="O505" s="86"/>
      <c r="P505" s="86"/>
    </row>
    <row r="506">
      <c r="O506" s="86"/>
      <c r="P506" s="86"/>
    </row>
    <row r="507">
      <c r="O507" s="86"/>
      <c r="P507" s="86"/>
    </row>
    <row r="508">
      <c r="O508" s="86"/>
      <c r="P508" s="86"/>
    </row>
    <row r="509">
      <c r="O509" s="86"/>
      <c r="P509" s="86"/>
    </row>
    <row r="510">
      <c r="O510" s="86"/>
      <c r="P510" s="86"/>
    </row>
    <row r="511">
      <c r="O511" s="86"/>
      <c r="P511" s="86"/>
    </row>
    <row r="512">
      <c r="O512" s="86"/>
      <c r="P512" s="86"/>
    </row>
    <row r="513">
      <c r="O513" s="86"/>
      <c r="P513" s="86"/>
    </row>
    <row r="514">
      <c r="O514" s="86"/>
      <c r="P514" s="86"/>
    </row>
    <row r="515">
      <c r="O515" s="86"/>
      <c r="P515" s="86"/>
    </row>
    <row r="516">
      <c r="O516" s="86"/>
      <c r="P516" s="86"/>
    </row>
    <row r="517">
      <c r="O517" s="86"/>
      <c r="P517" s="86"/>
    </row>
    <row r="518">
      <c r="O518" s="86"/>
      <c r="P518" s="86"/>
    </row>
    <row r="519">
      <c r="O519" s="86"/>
      <c r="P519" s="86"/>
    </row>
    <row r="520">
      <c r="O520" s="86"/>
      <c r="P520" s="86"/>
    </row>
    <row r="521">
      <c r="O521" s="86"/>
      <c r="P521" s="86"/>
    </row>
    <row r="522">
      <c r="O522" s="86"/>
      <c r="P522" s="86"/>
    </row>
    <row r="523">
      <c r="O523" s="86"/>
      <c r="P523" s="86"/>
    </row>
    <row r="524">
      <c r="O524" s="86"/>
      <c r="P524" s="86"/>
    </row>
    <row r="525">
      <c r="O525" s="86"/>
      <c r="P525" s="86"/>
    </row>
    <row r="526">
      <c r="O526" s="86"/>
      <c r="P526" s="86"/>
    </row>
    <row r="527">
      <c r="O527" s="86"/>
      <c r="P527" s="86"/>
    </row>
    <row r="528">
      <c r="O528" s="86"/>
      <c r="P528" s="86"/>
    </row>
    <row r="529">
      <c r="O529" s="86"/>
      <c r="P529" s="86"/>
    </row>
    <row r="530">
      <c r="O530" s="86"/>
      <c r="P530" s="86"/>
    </row>
    <row r="531">
      <c r="O531" s="86"/>
      <c r="P531" s="86"/>
    </row>
    <row r="532">
      <c r="O532" s="86"/>
      <c r="P532" s="86"/>
    </row>
    <row r="533">
      <c r="O533" s="86"/>
      <c r="P533" s="86"/>
    </row>
    <row r="534">
      <c r="O534" s="86"/>
      <c r="P534" s="86"/>
    </row>
    <row r="535">
      <c r="O535" s="86"/>
      <c r="P535" s="86"/>
    </row>
    <row r="536">
      <c r="O536" s="86"/>
      <c r="P536" s="86"/>
    </row>
    <row r="537">
      <c r="O537" s="86"/>
      <c r="P537" s="86"/>
    </row>
    <row r="538">
      <c r="O538" s="86"/>
      <c r="P538" s="86"/>
    </row>
    <row r="539">
      <c r="O539" s="86"/>
      <c r="P539" s="86"/>
    </row>
    <row r="540">
      <c r="O540" s="86"/>
      <c r="P540" s="86"/>
    </row>
    <row r="541">
      <c r="O541" s="86"/>
      <c r="P541" s="86"/>
    </row>
    <row r="542">
      <c r="O542" s="86"/>
      <c r="P542" s="86"/>
    </row>
    <row r="543">
      <c r="O543" s="86"/>
      <c r="P543" s="86"/>
    </row>
    <row r="544">
      <c r="O544" s="86"/>
      <c r="P544" s="86"/>
    </row>
    <row r="545">
      <c r="O545" s="86"/>
      <c r="P545" s="86"/>
    </row>
    <row r="546">
      <c r="O546" s="86"/>
      <c r="P546" s="86"/>
    </row>
    <row r="547">
      <c r="O547" s="86"/>
      <c r="P547" s="86"/>
    </row>
    <row r="548">
      <c r="O548" s="86"/>
      <c r="P548" s="86"/>
    </row>
    <row r="549">
      <c r="O549" s="86"/>
      <c r="P549" s="86"/>
    </row>
    <row r="550">
      <c r="O550" s="86"/>
      <c r="P550" s="86"/>
    </row>
    <row r="551">
      <c r="O551" s="86"/>
      <c r="P551" s="86"/>
    </row>
    <row r="552">
      <c r="O552" s="86"/>
      <c r="P552" s="86"/>
    </row>
    <row r="553">
      <c r="O553" s="86"/>
      <c r="P553" s="86"/>
    </row>
    <row r="554">
      <c r="O554" s="86"/>
      <c r="P554" s="86"/>
    </row>
    <row r="555">
      <c r="O555" s="86"/>
      <c r="P555" s="86"/>
    </row>
    <row r="556">
      <c r="O556" s="86"/>
      <c r="P556" s="86"/>
    </row>
    <row r="557">
      <c r="O557" s="86"/>
      <c r="P557" s="86"/>
    </row>
    <row r="558">
      <c r="O558" s="86"/>
      <c r="P558" s="86"/>
    </row>
    <row r="559">
      <c r="O559" s="86"/>
      <c r="P559" s="86"/>
    </row>
    <row r="560">
      <c r="O560" s="86"/>
      <c r="P560" s="86"/>
    </row>
    <row r="561">
      <c r="O561" s="86"/>
      <c r="P561" s="86"/>
    </row>
    <row r="562">
      <c r="O562" s="86"/>
      <c r="P562" s="86"/>
    </row>
    <row r="563">
      <c r="O563" s="86"/>
      <c r="P563" s="86"/>
    </row>
    <row r="564">
      <c r="O564" s="86"/>
      <c r="P564" s="86"/>
    </row>
    <row r="565">
      <c r="O565" s="86"/>
      <c r="P565" s="86"/>
    </row>
    <row r="566">
      <c r="O566" s="86"/>
      <c r="P566" s="86"/>
    </row>
    <row r="567">
      <c r="O567" s="86"/>
      <c r="P567" s="86"/>
    </row>
    <row r="568">
      <c r="O568" s="86"/>
      <c r="P568" s="86"/>
    </row>
    <row r="569">
      <c r="O569" s="86"/>
      <c r="P569" s="86"/>
    </row>
    <row r="570">
      <c r="O570" s="86"/>
      <c r="P570" s="86"/>
    </row>
    <row r="571">
      <c r="O571" s="86"/>
      <c r="P571" s="86"/>
    </row>
    <row r="572">
      <c r="O572" s="86"/>
      <c r="P572" s="86"/>
    </row>
    <row r="573">
      <c r="O573" s="86"/>
      <c r="P573" s="86"/>
    </row>
    <row r="574">
      <c r="O574" s="86"/>
      <c r="P574" s="86"/>
    </row>
    <row r="575">
      <c r="O575" s="86"/>
      <c r="P575" s="86"/>
    </row>
    <row r="576">
      <c r="O576" s="86"/>
      <c r="P576" s="86"/>
    </row>
    <row r="577">
      <c r="O577" s="86"/>
      <c r="P577" s="86"/>
    </row>
    <row r="578">
      <c r="O578" s="86"/>
      <c r="P578" s="86"/>
    </row>
    <row r="579">
      <c r="O579" s="86"/>
      <c r="P579" s="86"/>
    </row>
    <row r="580">
      <c r="O580" s="86"/>
      <c r="P580" s="86"/>
    </row>
    <row r="581">
      <c r="O581" s="86"/>
      <c r="P581" s="86"/>
    </row>
    <row r="582">
      <c r="O582" s="86"/>
      <c r="P582" s="86"/>
    </row>
    <row r="583">
      <c r="O583" s="86"/>
      <c r="P583" s="86"/>
    </row>
    <row r="584">
      <c r="O584" s="86"/>
      <c r="P584" s="86"/>
    </row>
    <row r="585">
      <c r="O585" s="86"/>
      <c r="P585" s="86"/>
    </row>
    <row r="586">
      <c r="O586" s="86"/>
      <c r="P586" s="86"/>
    </row>
    <row r="587">
      <c r="O587" s="86"/>
      <c r="P587" s="86"/>
    </row>
    <row r="588">
      <c r="O588" s="86"/>
      <c r="P588" s="86"/>
    </row>
    <row r="589">
      <c r="O589" s="86"/>
      <c r="P589" s="86"/>
    </row>
    <row r="590">
      <c r="O590" s="86"/>
      <c r="P590" s="86"/>
    </row>
    <row r="591">
      <c r="O591" s="86"/>
      <c r="P591" s="86"/>
    </row>
    <row r="592">
      <c r="O592" s="86"/>
      <c r="P592" s="86"/>
    </row>
    <row r="593">
      <c r="O593" s="86"/>
      <c r="P593" s="86"/>
    </row>
    <row r="594">
      <c r="O594" s="86"/>
      <c r="P594" s="86"/>
    </row>
    <row r="595">
      <c r="O595" s="86"/>
      <c r="P595" s="86"/>
    </row>
    <row r="596">
      <c r="O596" s="86"/>
      <c r="P596" s="86"/>
    </row>
    <row r="597">
      <c r="O597" s="86"/>
      <c r="P597" s="86"/>
    </row>
    <row r="598">
      <c r="O598" s="86"/>
      <c r="P598" s="86"/>
    </row>
    <row r="599">
      <c r="O599" s="86"/>
      <c r="P599" s="86"/>
    </row>
    <row r="600">
      <c r="O600" s="86"/>
      <c r="P600" s="86"/>
    </row>
    <row r="601">
      <c r="O601" s="86"/>
      <c r="P601" s="86"/>
    </row>
    <row r="602">
      <c r="O602" s="86"/>
      <c r="P602" s="86"/>
    </row>
    <row r="603">
      <c r="O603" s="86"/>
      <c r="P603" s="86"/>
    </row>
    <row r="604">
      <c r="O604" s="86"/>
      <c r="P604" s="86"/>
    </row>
    <row r="605">
      <c r="O605" s="86"/>
      <c r="P605" s="86"/>
    </row>
    <row r="606">
      <c r="O606" s="86"/>
      <c r="P606" s="86"/>
    </row>
    <row r="607">
      <c r="O607" s="86"/>
      <c r="P607" s="86"/>
    </row>
    <row r="608">
      <c r="O608" s="86"/>
      <c r="P608" s="86"/>
    </row>
    <row r="609">
      <c r="O609" s="86"/>
      <c r="P609" s="86"/>
    </row>
    <row r="610">
      <c r="O610" s="86"/>
      <c r="P610" s="86"/>
    </row>
    <row r="611">
      <c r="O611" s="86"/>
      <c r="P611" s="86"/>
    </row>
    <row r="612">
      <c r="O612" s="86"/>
      <c r="P612" s="86"/>
    </row>
    <row r="613">
      <c r="O613" s="86"/>
      <c r="P613" s="86"/>
    </row>
    <row r="614">
      <c r="O614" s="86"/>
      <c r="P614" s="86"/>
    </row>
    <row r="615">
      <c r="O615" s="86"/>
      <c r="P615" s="86"/>
    </row>
    <row r="616">
      <c r="O616" s="86"/>
      <c r="P616" s="86"/>
    </row>
    <row r="617">
      <c r="O617" s="86"/>
      <c r="P617" s="86"/>
    </row>
    <row r="618">
      <c r="O618" s="86"/>
      <c r="P618" s="86"/>
    </row>
    <row r="619">
      <c r="O619" s="86"/>
      <c r="P619" s="86"/>
    </row>
    <row r="620">
      <c r="O620" s="86"/>
      <c r="P620" s="86"/>
    </row>
    <row r="621">
      <c r="O621" s="86"/>
      <c r="P621" s="86"/>
    </row>
    <row r="622">
      <c r="O622" s="86"/>
      <c r="P622" s="86"/>
    </row>
    <row r="623">
      <c r="O623" s="86"/>
      <c r="P623" s="86"/>
    </row>
    <row r="624">
      <c r="O624" s="86"/>
      <c r="P624" s="86"/>
    </row>
    <row r="625">
      <c r="O625" s="86"/>
      <c r="P625" s="86"/>
    </row>
    <row r="626">
      <c r="O626" s="86"/>
      <c r="P626" s="86"/>
    </row>
    <row r="627">
      <c r="O627" s="86"/>
      <c r="P627" s="86"/>
    </row>
    <row r="628">
      <c r="O628" s="86"/>
      <c r="P628" s="86"/>
    </row>
    <row r="629">
      <c r="O629" s="86"/>
      <c r="P629" s="86"/>
    </row>
    <row r="630">
      <c r="O630" s="86"/>
      <c r="P630" s="86"/>
    </row>
    <row r="631">
      <c r="O631" s="86"/>
      <c r="P631" s="86"/>
    </row>
    <row r="632">
      <c r="O632" s="86"/>
      <c r="P632" s="86"/>
    </row>
    <row r="633">
      <c r="O633" s="86"/>
      <c r="P633" s="86"/>
    </row>
    <row r="634">
      <c r="O634" s="86"/>
      <c r="P634" s="86"/>
    </row>
    <row r="635">
      <c r="O635" s="86"/>
      <c r="P635" s="86"/>
    </row>
    <row r="636">
      <c r="O636" s="86"/>
      <c r="P636" s="86"/>
    </row>
    <row r="637">
      <c r="O637" s="86"/>
      <c r="P637" s="86"/>
    </row>
    <row r="638">
      <c r="O638" s="86"/>
      <c r="P638" s="86"/>
    </row>
    <row r="639">
      <c r="O639" s="86"/>
      <c r="P639" s="86"/>
    </row>
    <row r="640">
      <c r="O640" s="86"/>
      <c r="P640" s="86"/>
    </row>
    <row r="641">
      <c r="O641" s="86"/>
      <c r="P641" s="86"/>
    </row>
    <row r="642">
      <c r="O642" s="86"/>
      <c r="P642" s="86"/>
    </row>
    <row r="643">
      <c r="O643" s="86"/>
      <c r="P643" s="86"/>
    </row>
    <row r="644">
      <c r="O644" s="86"/>
      <c r="P644" s="86"/>
    </row>
    <row r="645">
      <c r="O645" s="86"/>
      <c r="P645" s="86"/>
    </row>
    <row r="646">
      <c r="O646" s="86"/>
      <c r="P646" s="86"/>
    </row>
    <row r="647">
      <c r="O647" s="86"/>
      <c r="P647" s="86"/>
    </row>
    <row r="648">
      <c r="O648" s="86"/>
      <c r="P648" s="86"/>
    </row>
    <row r="649">
      <c r="O649" s="86"/>
      <c r="P649" s="86"/>
    </row>
    <row r="650">
      <c r="O650" s="86"/>
      <c r="P650" s="86"/>
    </row>
    <row r="651">
      <c r="O651" s="86"/>
      <c r="P651" s="86"/>
    </row>
    <row r="652">
      <c r="O652" s="86"/>
      <c r="P652" s="86"/>
    </row>
    <row r="653">
      <c r="O653" s="86"/>
      <c r="P653" s="86"/>
    </row>
    <row r="654">
      <c r="O654" s="86"/>
      <c r="P654" s="86"/>
    </row>
    <row r="655">
      <c r="O655" s="86"/>
      <c r="P655" s="86"/>
    </row>
    <row r="656">
      <c r="O656" s="86"/>
      <c r="P656" s="86"/>
    </row>
    <row r="657">
      <c r="O657" s="86"/>
      <c r="P657" s="86"/>
    </row>
    <row r="658">
      <c r="O658" s="86"/>
      <c r="P658" s="86"/>
    </row>
    <row r="659">
      <c r="O659" s="86"/>
      <c r="P659" s="86"/>
    </row>
    <row r="660">
      <c r="O660" s="86"/>
      <c r="P660" s="86"/>
    </row>
    <row r="661">
      <c r="O661" s="86"/>
      <c r="P661" s="86"/>
    </row>
    <row r="662">
      <c r="O662" s="86"/>
      <c r="P662" s="86"/>
    </row>
    <row r="663">
      <c r="O663" s="86"/>
      <c r="P663" s="86"/>
    </row>
    <row r="664">
      <c r="O664" s="86"/>
      <c r="P664" s="86"/>
    </row>
    <row r="665">
      <c r="O665" s="86"/>
      <c r="P665" s="86"/>
    </row>
    <row r="666">
      <c r="O666" s="86"/>
      <c r="P666" s="86"/>
    </row>
    <row r="667">
      <c r="O667" s="86"/>
      <c r="P667" s="86"/>
    </row>
    <row r="668">
      <c r="O668" s="86"/>
      <c r="P668" s="86"/>
    </row>
    <row r="669">
      <c r="O669" s="86"/>
      <c r="P669" s="86"/>
    </row>
    <row r="670">
      <c r="O670" s="86"/>
      <c r="P670" s="86"/>
    </row>
    <row r="671">
      <c r="O671" s="86"/>
      <c r="P671" s="86"/>
    </row>
    <row r="672">
      <c r="O672" s="86"/>
      <c r="P672" s="86"/>
    </row>
    <row r="673">
      <c r="O673" s="86"/>
      <c r="P673" s="86"/>
    </row>
    <row r="674">
      <c r="O674" s="86"/>
      <c r="P674" s="86"/>
    </row>
    <row r="675">
      <c r="O675" s="86"/>
      <c r="P675" s="86"/>
    </row>
    <row r="676">
      <c r="O676" s="86"/>
      <c r="P676" s="86"/>
    </row>
    <row r="677">
      <c r="O677" s="86"/>
      <c r="P677" s="86"/>
    </row>
    <row r="678">
      <c r="O678" s="86"/>
      <c r="P678" s="86"/>
    </row>
    <row r="679">
      <c r="O679" s="86"/>
      <c r="P679" s="86"/>
    </row>
    <row r="680">
      <c r="O680" s="86"/>
      <c r="P680" s="86"/>
    </row>
    <row r="681">
      <c r="O681" s="86"/>
      <c r="P681" s="86"/>
    </row>
    <row r="682">
      <c r="O682" s="86"/>
      <c r="P682" s="86"/>
    </row>
    <row r="683">
      <c r="O683" s="86"/>
      <c r="P683" s="86"/>
    </row>
    <row r="684">
      <c r="O684" s="86"/>
      <c r="P684" s="86"/>
    </row>
    <row r="685">
      <c r="O685" s="86"/>
      <c r="P685" s="86"/>
    </row>
    <row r="686">
      <c r="O686" s="86"/>
      <c r="P686" s="86"/>
    </row>
    <row r="687">
      <c r="O687" s="86"/>
      <c r="P687" s="86"/>
    </row>
    <row r="688">
      <c r="O688" s="86"/>
      <c r="P688" s="86"/>
    </row>
    <row r="689">
      <c r="O689" s="86"/>
      <c r="P689" s="86"/>
    </row>
    <row r="690">
      <c r="O690" s="86"/>
      <c r="P690" s="86"/>
    </row>
    <row r="691">
      <c r="O691" s="86"/>
      <c r="P691" s="86"/>
    </row>
    <row r="692">
      <c r="O692" s="86"/>
      <c r="P692" s="86"/>
    </row>
    <row r="693">
      <c r="O693" s="86"/>
      <c r="P693" s="86"/>
    </row>
    <row r="694">
      <c r="O694" s="86"/>
      <c r="P694" s="86"/>
    </row>
    <row r="695">
      <c r="O695" s="86"/>
      <c r="P695" s="86"/>
    </row>
    <row r="696">
      <c r="O696" s="86"/>
      <c r="P696" s="86"/>
    </row>
    <row r="697">
      <c r="O697" s="86"/>
      <c r="P697" s="86"/>
    </row>
    <row r="698">
      <c r="O698" s="86"/>
      <c r="P698" s="86"/>
    </row>
    <row r="699">
      <c r="O699" s="86"/>
      <c r="P699" s="86"/>
    </row>
    <row r="700">
      <c r="O700" s="86"/>
      <c r="P700" s="86"/>
    </row>
    <row r="701">
      <c r="O701" s="86"/>
      <c r="P701" s="86"/>
    </row>
    <row r="702">
      <c r="O702" s="86"/>
      <c r="P702" s="86"/>
    </row>
    <row r="703">
      <c r="O703" s="86"/>
      <c r="P703" s="86"/>
    </row>
    <row r="704">
      <c r="O704" s="86"/>
      <c r="P704" s="86"/>
    </row>
    <row r="705">
      <c r="O705" s="86"/>
      <c r="P705" s="86"/>
    </row>
    <row r="706">
      <c r="O706" s="86"/>
      <c r="P706" s="86"/>
    </row>
    <row r="707">
      <c r="O707" s="86"/>
      <c r="P707" s="86"/>
    </row>
    <row r="708">
      <c r="O708" s="86"/>
      <c r="P708" s="86"/>
    </row>
    <row r="709">
      <c r="O709" s="86"/>
      <c r="P709" s="86"/>
    </row>
    <row r="710">
      <c r="O710" s="86"/>
      <c r="P710" s="86"/>
    </row>
    <row r="711">
      <c r="O711" s="86"/>
      <c r="P711" s="86"/>
    </row>
    <row r="712">
      <c r="O712" s="86"/>
      <c r="P712" s="86"/>
    </row>
    <row r="713">
      <c r="O713" s="86"/>
      <c r="P713" s="86"/>
    </row>
    <row r="714">
      <c r="O714" s="86"/>
      <c r="P714" s="86"/>
    </row>
    <row r="715">
      <c r="O715" s="86"/>
      <c r="P715" s="86"/>
    </row>
    <row r="716">
      <c r="O716" s="86"/>
      <c r="P716" s="86"/>
    </row>
    <row r="717">
      <c r="O717" s="86"/>
      <c r="P717" s="86"/>
    </row>
    <row r="718">
      <c r="O718" s="86"/>
      <c r="P718" s="86"/>
    </row>
    <row r="719">
      <c r="O719" s="86"/>
      <c r="P719" s="86"/>
    </row>
    <row r="720">
      <c r="O720" s="86"/>
      <c r="P720" s="86"/>
    </row>
    <row r="721">
      <c r="O721" s="86"/>
      <c r="P721" s="86"/>
    </row>
    <row r="722">
      <c r="O722" s="86"/>
      <c r="P722" s="86"/>
    </row>
    <row r="723">
      <c r="O723" s="86"/>
      <c r="P723" s="86"/>
    </row>
    <row r="724">
      <c r="O724" s="86"/>
      <c r="P724" s="86"/>
    </row>
    <row r="725">
      <c r="O725" s="86"/>
      <c r="P725" s="86"/>
    </row>
    <row r="726">
      <c r="O726" s="86"/>
      <c r="P726" s="86"/>
    </row>
    <row r="727">
      <c r="O727" s="86"/>
      <c r="P727" s="86"/>
    </row>
    <row r="728">
      <c r="O728" s="86"/>
      <c r="P728" s="86"/>
    </row>
    <row r="729">
      <c r="O729" s="86"/>
      <c r="P729" s="86"/>
    </row>
    <row r="730">
      <c r="O730" s="86"/>
      <c r="P730" s="86"/>
    </row>
    <row r="731">
      <c r="O731" s="86"/>
      <c r="P731" s="86"/>
    </row>
    <row r="732">
      <c r="O732" s="86"/>
      <c r="P732" s="86"/>
    </row>
    <row r="733">
      <c r="O733" s="86"/>
      <c r="P733" s="86"/>
    </row>
    <row r="734">
      <c r="O734" s="86"/>
      <c r="P734" s="86"/>
    </row>
    <row r="735">
      <c r="O735" s="86"/>
      <c r="P735" s="86"/>
    </row>
    <row r="736">
      <c r="O736" s="86"/>
      <c r="P736" s="86"/>
    </row>
    <row r="737">
      <c r="O737" s="86"/>
      <c r="P737" s="86"/>
    </row>
    <row r="738">
      <c r="O738" s="86"/>
      <c r="P738" s="86"/>
    </row>
    <row r="739">
      <c r="O739" s="86"/>
      <c r="P739" s="86"/>
    </row>
    <row r="740">
      <c r="O740" s="86"/>
      <c r="P740" s="86"/>
    </row>
    <row r="741">
      <c r="O741" s="86"/>
      <c r="P741" s="86"/>
    </row>
    <row r="742">
      <c r="O742" s="86"/>
      <c r="P742" s="86"/>
    </row>
    <row r="743">
      <c r="O743" s="86"/>
      <c r="P743" s="86"/>
    </row>
    <row r="744">
      <c r="O744" s="86"/>
      <c r="P744" s="86"/>
    </row>
    <row r="745">
      <c r="O745" s="86"/>
      <c r="P745" s="86"/>
    </row>
    <row r="746">
      <c r="O746" s="86"/>
      <c r="P746" s="86"/>
    </row>
    <row r="747">
      <c r="O747" s="86"/>
      <c r="P747" s="86"/>
    </row>
    <row r="748">
      <c r="O748" s="86"/>
      <c r="P748" s="86"/>
    </row>
    <row r="749">
      <c r="O749" s="86"/>
      <c r="P749" s="86"/>
    </row>
    <row r="750">
      <c r="O750" s="86"/>
      <c r="P750" s="86"/>
    </row>
    <row r="751">
      <c r="O751" s="86"/>
      <c r="P751" s="86"/>
    </row>
    <row r="752">
      <c r="O752" s="86"/>
      <c r="P752" s="86"/>
    </row>
    <row r="753">
      <c r="O753" s="86"/>
      <c r="P753" s="86"/>
    </row>
    <row r="754">
      <c r="O754" s="86"/>
      <c r="P754" s="86"/>
    </row>
    <row r="755">
      <c r="O755" s="86"/>
      <c r="P755" s="86"/>
    </row>
    <row r="756">
      <c r="O756" s="86"/>
      <c r="P756" s="86"/>
    </row>
    <row r="757">
      <c r="O757" s="86"/>
      <c r="P757" s="86"/>
    </row>
    <row r="758">
      <c r="O758" s="86"/>
      <c r="P758" s="86"/>
    </row>
    <row r="759">
      <c r="O759" s="86"/>
      <c r="P759" s="86"/>
    </row>
    <row r="760">
      <c r="O760" s="86"/>
      <c r="P760" s="86"/>
    </row>
    <row r="761">
      <c r="O761" s="86"/>
      <c r="P761" s="86"/>
    </row>
    <row r="762">
      <c r="O762" s="86"/>
      <c r="P762" s="86"/>
    </row>
    <row r="763">
      <c r="O763" s="86"/>
      <c r="P763" s="86"/>
    </row>
    <row r="764">
      <c r="O764" s="86"/>
      <c r="P764" s="86"/>
    </row>
    <row r="765">
      <c r="O765" s="86"/>
      <c r="P765" s="86"/>
    </row>
    <row r="766">
      <c r="O766" s="86"/>
      <c r="P766" s="86"/>
    </row>
    <row r="767">
      <c r="O767" s="86"/>
      <c r="P767" s="86"/>
    </row>
    <row r="768">
      <c r="O768" s="86"/>
      <c r="P768" s="86"/>
    </row>
    <row r="769">
      <c r="O769" s="86"/>
      <c r="P769" s="86"/>
    </row>
    <row r="770">
      <c r="O770" s="86"/>
      <c r="P770" s="86"/>
    </row>
    <row r="771">
      <c r="O771" s="86"/>
      <c r="P771" s="86"/>
    </row>
    <row r="772">
      <c r="O772" s="86"/>
      <c r="P772" s="86"/>
    </row>
    <row r="773">
      <c r="O773" s="86"/>
      <c r="P773" s="86"/>
    </row>
    <row r="774">
      <c r="O774" s="86"/>
      <c r="P774" s="86"/>
    </row>
    <row r="775">
      <c r="O775" s="86"/>
      <c r="P775" s="86"/>
    </row>
    <row r="776">
      <c r="O776" s="86"/>
      <c r="P776" s="86"/>
    </row>
    <row r="777">
      <c r="O777" s="86"/>
      <c r="P777" s="86"/>
    </row>
    <row r="778">
      <c r="O778" s="86"/>
      <c r="P778" s="86"/>
    </row>
    <row r="779">
      <c r="O779" s="86"/>
      <c r="P779" s="86"/>
    </row>
    <row r="780">
      <c r="O780" s="86"/>
      <c r="P780" s="86"/>
    </row>
    <row r="781">
      <c r="O781" s="86"/>
      <c r="P781" s="86"/>
    </row>
    <row r="782">
      <c r="O782" s="86"/>
      <c r="P782" s="86"/>
    </row>
    <row r="783">
      <c r="O783" s="86"/>
      <c r="P783" s="86"/>
    </row>
    <row r="784">
      <c r="O784" s="86"/>
      <c r="P784" s="86"/>
    </row>
    <row r="785">
      <c r="O785" s="86"/>
      <c r="P785" s="86"/>
    </row>
    <row r="786">
      <c r="O786" s="86"/>
      <c r="P786" s="86"/>
    </row>
    <row r="787">
      <c r="O787" s="86"/>
      <c r="P787" s="86"/>
    </row>
    <row r="788">
      <c r="O788" s="86"/>
      <c r="P788" s="86"/>
    </row>
    <row r="789">
      <c r="O789" s="86"/>
      <c r="P789" s="86"/>
    </row>
    <row r="790">
      <c r="O790" s="86"/>
      <c r="P790" s="86"/>
    </row>
    <row r="791">
      <c r="O791" s="86"/>
      <c r="P791" s="86"/>
    </row>
    <row r="792">
      <c r="O792" s="86"/>
      <c r="P792" s="86"/>
    </row>
    <row r="793">
      <c r="O793" s="86"/>
      <c r="P793" s="86"/>
    </row>
    <row r="794">
      <c r="O794" s="86"/>
      <c r="P794" s="86"/>
    </row>
    <row r="795">
      <c r="O795" s="86"/>
      <c r="P795" s="86"/>
    </row>
    <row r="796">
      <c r="O796" s="86"/>
      <c r="P796" s="86"/>
    </row>
    <row r="797">
      <c r="O797" s="86"/>
      <c r="P797" s="86"/>
    </row>
    <row r="798">
      <c r="O798" s="86"/>
      <c r="P798" s="86"/>
    </row>
    <row r="799">
      <c r="O799" s="86"/>
      <c r="P799" s="86"/>
    </row>
    <row r="800">
      <c r="O800" s="86"/>
      <c r="P800" s="86"/>
    </row>
    <row r="801">
      <c r="O801" s="86"/>
      <c r="P801" s="86"/>
    </row>
    <row r="802">
      <c r="O802" s="86"/>
      <c r="P802" s="86"/>
    </row>
    <row r="803">
      <c r="O803" s="86"/>
      <c r="P803" s="86"/>
    </row>
    <row r="804">
      <c r="O804" s="86"/>
      <c r="P804" s="86"/>
    </row>
    <row r="805">
      <c r="O805" s="86"/>
      <c r="P805" s="86"/>
    </row>
    <row r="806">
      <c r="O806" s="86"/>
      <c r="P806" s="86"/>
    </row>
    <row r="807">
      <c r="O807" s="86"/>
      <c r="P807" s="86"/>
    </row>
    <row r="808">
      <c r="O808" s="86"/>
      <c r="P808" s="86"/>
    </row>
    <row r="809">
      <c r="O809" s="86"/>
      <c r="P809" s="86"/>
    </row>
    <row r="810">
      <c r="O810" s="86"/>
      <c r="P810" s="86"/>
    </row>
    <row r="811">
      <c r="O811" s="86"/>
      <c r="P811" s="86"/>
    </row>
    <row r="812">
      <c r="O812" s="86"/>
      <c r="P812" s="86"/>
    </row>
    <row r="813">
      <c r="O813" s="86"/>
      <c r="P813" s="86"/>
    </row>
    <row r="814">
      <c r="O814" s="86"/>
      <c r="P814" s="86"/>
    </row>
    <row r="815">
      <c r="O815" s="86"/>
      <c r="P815" s="86"/>
    </row>
    <row r="816">
      <c r="O816" s="86"/>
      <c r="P816" s="86"/>
    </row>
    <row r="817">
      <c r="O817" s="86"/>
      <c r="P817" s="86"/>
    </row>
    <row r="818">
      <c r="O818" s="86"/>
      <c r="P818" s="86"/>
    </row>
    <row r="819">
      <c r="O819" s="86"/>
      <c r="P819" s="86"/>
    </row>
    <row r="820">
      <c r="O820" s="86"/>
      <c r="P820" s="86"/>
    </row>
    <row r="821">
      <c r="O821" s="86"/>
      <c r="P821" s="86"/>
    </row>
    <row r="822">
      <c r="O822" s="86"/>
      <c r="P822" s="86"/>
    </row>
    <row r="823">
      <c r="O823" s="86"/>
      <c r="P823" s="86"/>
    </row>
    <row r="824">
      <c r="O824" s="86"/>
      <c r="P824" s="86"/>
    </row>
    <row r="825">
      <c r="O825" s="86"/>
      <c r="P825" s="86"/>
    </row>
    <row r="826">
      <c r="O826" s="86"/>
      <c r="P826" s="86"/>
    </row>
    <row r="827">
      <c r="O827" s="86"/>
      <c r="P827" s="86"/>
    </row>
    <row r="828">
      <c r="O828" s="86"/>
      <c r="P828" s="86"/>
    </row>
    <row r="829">
      <c r="O829" s="86"/>
      <c r="P829" s="86"/>
    </row>
    <row r="830">
      <c r="O830" s="86"/>
      <c r="P830" s="86"/>
    </row>
    <row r="831">
      <c r="O831" s="86"/>
      <c r="P831" s="86"/>
    </row>
    <row r="832">
      <c r="O832" s="86"/>
      <c r="P832" s="86"/>
    </row>
    <row r="833">
      <c r="O833" s="86"/>
      <c r="P833" s="86"/>
    </row>
    <row r="834">
      <c r="O834" s="86"/>
      <c r="P834" s="86"/>
    </row>
    <row r="835">
      <c r="O835" s="86"/>
      <c r="P835" s="86"/>
    </row>
    <row r="836">
      <c r="O836" s="86"/>
      <c r="P836" s="86"/>
    </row>
    <row r="837">
      <c r="O837" s="86"/>
      <c r="P837" s="86"/>
    </row>
    <row r="838">
      <c r="O838" s="86"/>
      <c r="P838" s="86"/>
    </row>
    <row r="839">
      <c r="O839" s="86"/>
      <c r="P839" s="86"/>
    </row>
    <row r="840">
      <c r="O840" s="86"/>
      <c r="P840" s="86"/>
    </row>
    <row r="841">
      <c r="O841" s="86"/>
      <c r="P841" s="86"/>
    </row>
    <row r="842">
      <c r="O842" s="86"/>
      <c r="P842" s="86"/>
    </row>
    <row r="843">
      <c r="O843" s="86"/>
      <c r="P843" s="86"/>
    </row>
    <row r="844">
      <c r="O844" s="86"/>
      <c r="P844" s="86"/>
    </row>
    <row r="845">
      <c r="O845" s="86"/>
      <c r="P845" s="86"/>
    </row>
    <row r="846">
      <c r="O846" s="86"/>
      <c r="P846" s="86"/>
    </row>
    <row r="847">
      <c r="O847" s="86"/>
      <c r="P847" s="86"/>
    </row>
    <row r="848">
      <c r="O848" s="86"/>
      <c r="P848" s="86"/>
    </row>
    <row r="849">
      <c r="O849" s="86"/>
      <c r="P849" s="86"/>
    </row>
    <row r="850">
      <c r="O850" s="86"/>
      <c r="P850" s="86"/>
    </row>
    <row r="851">
      <c r="O851" s="86"/>
      <c r="P851" s="86"/>
    </row>
    <row r="852">
      <c r="O852" s="86"/>
      <c r="P852" s="86"/>
    </row>
    <row r="853">
      <c r="O853" s="86"/>
      <c r="P853" s="86"/>
    </row>
    <row r="854">
      <c r="O854" s="86"/>
      <c r="P854" s="86"/>
    </row>
    <row r="855">
      <c r="O855" s="86"/>
      <c r="P855" s="86"/>
    </row>
    <row r="856">
      <c r="O856" s="86"/>
      <c r="P856" s="86"/>
    </row>
    <row r="857">
      <c r="O857" s="86"/>
      <c r="P857" s="86"/>
    </row>
    <row r="858">
      <c r="O858" s="86"/>
      <c r="P858" s="86"/>
    </row>
    <row r="859">
      <c r="O859" s="86"/>
      <c r="P859" s="86"/>
    </row>
    <row r="860">
      <c r="O860" s="86"/>
      <c r="P860" s="86"/>
    </row>
    <row r="861">
      <c r="O861" s="86"/>
      <c r="P861" s="86"/>
    </row>
    <row r="862">
      <c r="O862" s="86"/>
      <c r="P862" s="86"/>
    </row>
    <row r="863">
      <c r="O863" s="86"/>
      <c r="P863" s="86"/>
    </row>
    <row r="864">
      <c r="O864" s="86"/>
      <c r="P864" s="86"/>
    </row>
    <row r="865">
      <c r="O865" s="86"/>
      <c r="P865" s="86"/>
    </row>
    <row r="866">
      <c r="O866" s="86"/>
      <c r="P866" s="86"/>
    </row>
    <row r="867">
      <c r="O867" s="86"/>
      <c r="P867" s="86"/>
    </row>
    <row r="868">
      <c r="O868" s="86"/>
      <c r="P868" s="86"/>
    </row>
    <row r="869">
      <c r="O869" s="86"/>
      <c r="P869" s="86"/>
    </row>
    <row r="870">
      <c r="O870" s="86"/>
      <c r="P870" s="86"/>
    </row>
    <row r="871">
      <c r="O871" s="86"/>
      <c r="P871" s="86"/>
    </row>
    <row r="872">
      <c r="O872" s="86"/>
      <c r="P872" s="86"/>
    </row>
    <row r="873">
      <c r="O873" s="86"/>
      <c r="P873" s="86"/>
    </row>
    <row r="874">
      <c r="O874" s="86"/>
      <c r="P874" s="86"/>
    </row>
    <row r="875">
      <c r="O875" s="86"/>
      <c r="P875" s="86"/>
    </row>
    <row r="876">
      <c r="O876" s="86"/>
      <c r="P876" s="86"/>
    </row>
    <row r="877">
      <c r="O877" s="86"/>
      <c r="P877" s="86"/>
    </row>
    <row r="878">
      <c r="O878" s="86"/>
      <c r="P878" s="86"/>
    </row>
    <row r="879">
      <c r="O879" s="86"/>
      <c r="P879" s="86"/>
    </row>
    <row r="880">
      <c r="O880" s="86"/>
      <c r="P880" s="86"/>
    </row>
    <row r="881">
      <c r="O881" s="86"/>
      <c r="P881" s="86"/>
    </row>
    <row r="882">
      <c r="O882" s="86"/>
      <c r="P882" s="86"/>
    </row>
    <row r="883">
      <c r="O883" s="86"/>
      <c r="P883" s="86"/>
    </row>
    <row r="884">
      <c r="O884" s="86"/>
      <c r="P884" s="86"/>
    </row>
    <row r="885">
      <c r="O885" s="86"/>
      <c r="P885" s="86"/>
    </row>
    <row r="886">
      <c r="O886" s="86"/>
      <c r="P886" s="86"/>
    </row>
    <row r="887">
      <c r="O887" s="86"/>
      <c r="P887" s="86"/>
    </row>
    <row r="888">
      <c r="O888" s="86"/>
      <c r="P888" s="86"/>
    </row>
    <row r="889">
      <c r="O889" s="86"/>
      <c r="P889" s="86"/>
    </row>
    <row r="890">
      <c r="O890" s="86"/>
      <c r="P890" s="86"/>
    </row>
    <row r="891">
      <c r="O891" s="86"/>
      <c r="P891" s="86"/>
    </row>
    <row r="892">
      <c r="O892" s="86"/>
      <c r="P892" s="86"/>
    </row>
    <row r="893">
      <c r="O893" s="86"/>
      <c r="P893" s="86"/>
    </row>
    <row r="894">
      <c r="O894" s="86"/>
      <c r="P894" s="86"/>
    </row>
    <row r="895">
      <c r="O895" s="86"/>
      <c r="P895" s="86"/>
    </row>
    <row r="896">
      <c r="O896" s="86"/>
      <c r="P896" s="86"/>
    </row>
    <row r="897">
      <c r="O897" s="86"/>
      <c r="P897" s="86"/>
    </row>
    <row r="898">
      <c r="O898" s="86"/>
      <c r="P898" s="86"/>
    </row>
    <row r="899">
      <c r="O899" s="86"/>
      <c r="P899" s="86"/>
    </row>
    <row r="900">
      <c r="O900" s="86"/>
      <c r="P900" s="86"/>
    </row>
    <row r="901">
      <c r="O901" s="86"/>
      <c r="P901" s="86"/>
    </row>
    <row r="902">
      <c r="O902" s="86"/>
      <c r="P902" s="86"/>
    </row>
    <row r="903">
      <c r="O903" s="86"/>
      <c r="P903" s="86"/>
    </row>
    <row r="904">
      <c r="O904" s="86"/>
      <c r="P904" s="86"/>
    </row>
    <row r="905">
      <c r="O905" s="86"/>
      <c r="P905" s="86"/>
    </row>
    <row r="906">
      <c r="O906" s="86"/>
      <c r="P906" s="86"/>
    </row>
    <row r="907">
      <c r="O907" s="86"/>
      <c r="P907" s="86"/>
    </row>
    <row r="908">
      <c r="O908" s="86"/>
      <c r="P908" s="86"/>
    </row>
    <row r="909">
      <c r="O909" s="86"/>
      <c r="P909" s="86"/>
    </row>
    <row r="910">
      <c r="O910" s="86"/>
      <c r="P910" s="86"/>
    </row>
    <row r="911">
      <c r="O911" s="86"/>
      <c r="P911" s="86"/>
    </row>
    <row r="912">
      <c r="O912" s="86"/>
      <c r="P912" s="86"/>
    </row>
    <row r="913">
      <c r="O913" s="86"/>
      <c r="P913" s="86"/>
    </row>
    <row r="914">
      <c r="O914" s="86"/>
      <c r="P914" s="86"/>
    </row>
    <row r="915">
      <c r="O915" s="86"/>
      <c r="P915" s="86"/>
    </row>
    <row r="916">
      <c r="O916" s="86"/>
      <c r="P916" s="86"/>
    </row>
    <row r="917">
      <c r="O917" s="86"/>
      <c r="P917" s="86"/>
    </row>
    <row r="918">
      <c r="O918" s="86"/>
      <c r="P918" s="86"/>
    </row>
    <row r="919">
      <c r="O919" s="86"/>
      <c r="P919" s="86"/>
    </row>
    <row r="920">
      <c r="O920" s="86"/>
      <c r="P920" s="86"/>
    </row>
    <row r="921">
      <c r="O921" s="86"/>
      <c r="P921" s="86"/>
    </row>
    <row r="922">
      <c r="O922" s="86"/>
      <c r="P922" s="86"/>
    </row>
    <row r="923">
      <c r="O923" s="86"/>
      <c r="P923" s="86"/>
    </row>
    <row r="924">
      <c r="O924" s="86"/>
      <c r="P924" s="86"/>
    </row>
    <row r="925">
      <c r="O925" s="86"/>
      <c r="P925" s="86"/>
    </row>
    <row r="926">
      <c r="O926" s="86"/>
      <c r="P926" s="86"/>
    </row>
    <row r="927">
      <c r="O927" s="86"/>
      <c r="P927" s="86"/>
    </row>
    <row r="928">
      <c r="O928" s="86"/>
      <c r="P928" s="86"/>
    </row>
    <row r="929">
      <c r="O929" s="86"/>
      <c r="P929" s="86"/>
    </row>
    <row r="930">
      <c r="O930" s="86"/>
      <c r="P930" s="86"/>
    </row>
    <row r="931">
      <c r="O931" s="86"/>
      <c r="P931" s="86"/>
    </row>
    <row r="932">
      <c r="O932" s="86"/>
      <c r="P932" s="86"/>
    </row>
    <row r="933">
      <c r="O933" s="86"/>
      <c r="P933" s="86"/>
    </row>
    <row r="934">
      <c r="O934" s="86"/>
      <c r="P934" s="86"/>
    </row>
    <row r="935">
      <c r="O935" s="86"/>
      <c r="P935" s="86"/>
    </row>
    <row r="936">
      <c r="O936" s="86"/>
      <c r="P936" s="86"/>
    </row>
    <row r="937">
      <c r="O937" s="86"/>
      <c r="P937" s="86"/>
    </row>
    <row r="938">
      <c r="O938" s="86"/>
      <c r="P938" s="86"/>
    </row>
    <row r="939">
      <c r="O939" s="86"/>
      <c r="P939" s="86"/>
    </row>
    <row r="940">
      <c r="O940" s="86"/>
      <c r="P940" s="86"/>
    </row>
    <row r="941">
      <c r="O941" s="86"/>
      <c r="P941" s="86"/>
    </row>
    <row r="942">
      <c r="O942" s="86"/>
      <c r="P942" s="86"/>
    </row>
    <row r="943">
      <c r="O943" s="86"/>
      <c r="P943" s="86"/>
    </row>
    <row r="944">
      <c r="O944" s="86"/>
      <c r="P944" s="86"/>
    </row>
    <row r="945">
      <c r="O945" s="86"/>
      <c r="P945" s="86"/>
    </row>
    <row r="946">
      <c r="O946" s="86"/>
      <c r="P946" s="86"/>
    </row>
    <row r="947">
      <c r="O947" s="86"/>
      <c r="P947" s="86"/>
    </row>
    <row r="948">
      <c r="O948" s="86"/>
      <c r="P948" s="86"/>
    </row>
    <row r="949">
      <c r="O949" s="86"/>
      <c r="P949" s="86"/>
    </row>
    <row r="950">
      <c r="O950" s="86"/>
      <c r="P950" s="86"/>
    </row>
    <row r="951">
      <c r="O951" s="86"/>
      <c r="P951" s="86"/>
    </row>
    <row r="952">
      <c r="O952" s="86"/>
      <c r="P952" s="86"/>
    </row>
    <row r="953">
      <c r="O953" s="86"/>
      <c r="P953" s="86"/>
    </row>
    <row r="954">
      <c r="O954" s="86"/>
      <c r="P954" s="86"/>
    </row>
    <row r="955">
      <c r="O955" s="86"/>
      <c r="P955" s="86"/>
    </row>
    <row r="956">
      <c r="O956" s="86"/>
      <c r="P956" s="86"/>
    </row>
    <row r="957">
      <c r="O957" s="86"/>
      <c r="P957" s="86"/>
    </row>
    <row r="958">
      <c r="O958" s="86"/>
      <c r="P958" s="86"/>
    </row>
    <row r="959">
      <c r="O959" s="86"/>
      <c r="P959" s="86"/>
    </row>
    <row r="960">
      <c r="O960" s="86"/>
      <c r="P960" s="86"/>
    </row>
    <row r="961">
      <c r="O961" s="86"/>
      <c r="P961" s="86"/>
    </row>
    <row r="962">
      <c r="O962" s="86"/>
      <c r="P962" s="86"/>
    </row>
    <row r="963">
      <c r="O963" s="86"/>
      <c r="P963" s="86"/>
    </row>
    <row r="964">
      <c r="O964" s="86"/>
      <c r="P964" s="86"/>
    </row>
    <row r="965">
      <c r="O965" s="86"/>
      <c r="P965" s="86"/>
    </row>
    <row r="966">
      <c r="O966" s="86"/>
      <c r="P966" s="86"/>
    </row>
    <row r="967">
      <c r="O967" s="86"/>
      <c r="P967" s="86"/>
    </row>
    <row r="968">
      <c r="O968" s="86"/>
      <c r="P968" s="86"/>
    </row>
    <row r="969">
      <c r="O969" s="86"/>
      <c r="P969" s="86"/>
    </row>
    <row r="970">
      <c r="O970" s="86"/>
      <c r="P970" s="86"/>
    </row>
    <row r="971">
      <c r="O971" s="86"/>
      <c r="P971" s="86"/>
    </row>
    <row r="972">
      <c r="O972" s="86"/>
      <c r="P972" s="86"/>
    </row>
    <row r="973">
      <c r="O973" s="86"/>
      <c r="P973" s="86"/>
    </row>
    <row r="974">
      <c r="O974" s="86"/>
      <c r="P974" s="86"/>
    </row>
    <row r="975">
      <c r="O975" s="86"/>
      <c r="P975" s="86"/>
    </row>
    <row r="976">
      <c r="O976" s="86"/>
      <c r="P976" s="86"/>
    </row>
    <row r="977">
      <c r="O977" s="86"/>
      <c r="P977" s="86"/>
    </row>
    <row r="978">
      <c r="O978" s="86"/>
      <c r="P978" s="86"/>
    </row>
    <row r="979">
      <c r="O979" s="86"/>
      <c r="P979" s="86"/>
    </row>
    <row r="980">
      <c r="O980" s="86"/>
      <c r="P980" s="86"/>
    </row>
    <row r="981">
      <c r="O981" s="86"/>
      <c r="P981" s="86"/>
    </row>
    <row r="982">
      <c r="O982" s="86"/>
      <c r="P982" s="86"/>
    </row>
    <row r="983">
      <c r="O983" s="86"/>
      <c r="P983" s="86"/>
    </row>
    <row r="984">
      <c r="O984" s="86"/>
      <c r="P984" s="86"/>
    </row>
    <row r="985">
      <c r="O985" s="86"/>
      <c r="P985" s="86"/>
    </row>
    <row r="986">
      <c r="O986" s="86"/>
      <c r="P986" s="86"/>
    </row>
    <row r="987">
      <c r="O987" s="86"/>
      <c r="P987" s="86"/>
    </row>
    <row r="988">
      <c r="O988" s="86"/>
      <c r="P988" s="86"/>
    </row>
    <row r="989">
      <c r="O989" s="86"/>
      <c r="P989" s="86"/>
    </row>
    <row r="990">
      <c r="O990" s="86"/>
      <c r="P990" s="86"/>
    </row>
    <row r="991">
      <c r="O991" s="86"/>
      <c r="P991" s="86"/>
    </row>
    <row r="992">
      <c r="O992" s="86"/>
      <c r="P992" s="86"/>
    </row>
    <row r="993">
      <c r="O993" s="86"/>
      <c r="P993" s="86"/>
    </row>
    <row r="994">
      <c r="O994" s="86"/>
      <c r="P994" s="86"/>
    </row>
  </sheetData>
  <mergeCells count="175">
    <mergeCell ref="O98:P98"/>
    <mergeCell ref="H121:K121"/>
    <mergeCell ref="H124:K124"/>
    <mergeCell ref="H125:K125"/>
    <mergeCell ref="E1:F1"/>
    <mergeCell ref="G1:H1"/>
    <mergeCell ref="J1:M15"/>
    <mergeCell ref="N1:N994"/>
    <mergeCell ref="O1:P1"/>
    <mergeCell ref="S1:T1"/>
    <mergeCell ref="H3:H7"/>
    <mergeCell ref="H126:K126"/>
    <mergeCell ref="O92:P92"/>
    <mergeCell ref="E93:H93"/>
    <mergeCell ref="I93:L93"/>
    <mergeCell ref="O93:P93"/>
    <mergeCell ref="E94:H94"/>
    <mergeCell ref="I94:L94"/>
    <mergeCell ref="O94:P94"/>
    <mergeCell ref="E95:H95"/>
    <mergeCell ref="I95:L95"/>
    <mergeCell ref="O95:P95"/>
    <mergeCell ref="E96:H96"/>
    <mergeCell ref="I96:L96"/>
    <mergeCell ref="O96:P96"/>
    <mergeCell ref="E97:H97"/>
    <mergeCell ref="I97:L97"/>
    <mergeCell ref="O97:P97"/>
    <mergeCell ref="E98:H98"/>
    <mergeCell ref="I98:L98"/>
    <mergeCell ref="H122:K122"/>
    <mergeCell ref="H123:K123"/>
    <mergeCell ref="A28:B28"/>
    <mergeCell ref="A29:B29"/>
    <mergeCell ref="H17:I17"/>
    <mergeCell ref="H18:I18"/>
    <mergeCell ref="A22:E22"/>
    <mergeCell ref="A23:C23"/>
    <mergeCell ref="A25:B25"/>
    <mergeCell ref="A26:B26"/>
    <mergeCell ref="A27:B27"/>
    <mergeCell ref="C1:D1"/>
    <mergeCell ref="C9:D9"/>
    <mergeCell ref="D11:D15"/>
    <mergeCell ref="A1:B1"/>
    <mergeCell ref="B3:B7"/>
    <mergeCell ref="A9:B9"/>
    <mergeCell ref="B11:B15"/>
    <mergeCell ref="A30:B30"/>
    <mergeCell ref="A31:B31"/>
    <mergeCell ref="A32:B32"/>
    <mergeCell ref="D3:D7"/>
    <mergeCell ref="F3:F7"/>
    <mergeCell ref="A8:I8"/>
    <mergeCell ref="S8:U8"/>
    <mergeCell ref="S9:U9"/>
    <mergeCell ref="G9:H9"/>
    <mergeCell ref="F11:F15"/>
    <mergeCell ref="H11:H15"/>
    <mergeCell ref="H16:I16"/>
    <mergeCell ref="J16:M16"/>
    <mergeCell ref="R21:R22"/>
    <mergeCell ref="R26:R27"/>
    <mergeCell ref="A33:B33"/>
    <mergeCell ref="A34:B34"/>
    <mergeCell ref="C42:E42"/>
    <mergeCell ref="C43:E43"/>
    <mergeCell ref="A53:A54"/>
    <mergeCell ref="A55:A56"/>
    <mergeCell ref="A57:A58"/>
    <mergeCell ref="A59:A60"/>
    <mergeCell ref="A61:A62"/>
    <mergeCell ref="A63:A64"/>
    <mergeCell ref="A65:A66"/>
    <mergeCell ref="A67:A68"/>
    <mergeCell ref="A69:A70"/>
    <mergeCell ref="A71:A72"/>
    <mergeCell ref="A75:K75"/>
    <mergeCell ref="A76:C76"/>
    <mergeCell ref="D76:G76"/>
    <mergeCell ref="D77:G77"/>
    <mergeCell ref="L75:M77"/>
    <mergeCell ref="O75:R75"/>
    <mergeCell ref="Q76:R76"/>
    <mergeCell ref="Q77:R77"/>
    <mergeCell ref="H76:K76"/>
    <mergeCell ref="H77:K77"/>
    <mergeCell ref="H78:K78"/>
    <mergeCell ref="L78:M78"/>
    <mergeCell ref="H80:K80"/>
    <mergeCell ref="Q80:R80"/>
    <mergeCell ref="H81:K81"/>
    <mergeCell ref="Q81:R81"/>
    <mergeCell ref="H82:K82"/>
    <mergeCell ref="Q82:R82"/>
    <mergeCell ref="H83:K83"/>
    <mergeCell ref="H84:K84"/>
    <mergeCell ref="Q78:R78"/>
    <mergeCell ref="H79:K79"/>
    <mergeCell ref="Q79:R79"/>
    <mergeCell ref="H85:K85"/>
    <mergeCell ref="H86:K86"/>
    <mergeCell ref="E88:H88"/>
    <mergeCell ref="I88:L88"/>
    <mergeCell ref="O88:P88"/>
    <mergeCell ref="E89:H89"/>
    <mergeCell ref="I89:L89"/>
    <mergeCell ref="O89:P89"/>
    <mergeCell ref="E90:H90"/>
    <mergeCell ref="I90:L90"/>
    <mergeCell ref="O90:P90"/>
    <mergeCell ref="E91:H91"/>
    <mergeCell ref="I91:L91"/>
    <mergeCell ref="O91:P91"/>
    <mergeCell ref="E92:H92"/>
    <mergeCell ref="I92:L92"/>
    <mergeCell ref="D120:G120"/>
    <mergeCell ref="H120:K120"/>
    <mergeCell ref="A118:C118"/>
    <mergeCell ref="D118:G118"/>
    <mergeCell ref="H118:K118"/>
    <mergeCell ref="A119:C119"/>
    <mergeCell ref="D119:G119"/>
    <mergeCell ref="H119:K119"/>
    <mergeCell ref="A120:C120"/>
    <mergeCell ref="A124:C124"/>
    <mergeCell ref="A125:C125"/>
    <mergeCell ref="A126:C126"/>
    <mergeCell ref="A127:C127"/>
    <mergeCell ref="A121:C121"/>
    <mergeCell ref="D121:G121"/>
    <mergeCell ref="A122:C122"/>
    <mergeCell ref="D122:G122"/>
    <mergeCell ref="A123:C123"/>
    <mergeCell ref="D123:G123"/>
    <mergeCell ref="D124:G124"/>
    <mergeCell ref="A77:C77"/>
    <mergeCell ref="A78:C78"/>
    <mergeCell ref="D78:G78"/>
    <mergeCell ref="A79:C79"/>
    <mergeCell ref="D79:G79"/>
    <mergeCell ref="A80:C80"/>
    <mergeCell ref="D80:G80"/>
    <mergeCell ref="D85:G85"/>
    <mergeCell ref="D86:G86"/>
    <mergeCell ref="A81:C81"/>
    <mergeCell ref="D81:G81"/>
    <mergeCell ref="A82:C82"/>
    <mergeCell ref="D82:G82"/>
    <mergeCell ref="A83:C83"/>
    <mergeCell ref="D83:G83"/>
    <mergeCell ref="D84:G84"/>
    <mergeCell ref="A84:C84"/>
    <mergeCell ref="A85:C85"/>
    <mergeCell ref="A86:C86"/>
    <mergeCell ref="A88:D88"/>
    <mergeCell ref="A89:D89"/>
    <mergeCell ref="A90:D90"/>
    <mergeCell ref="A91:D91"/>
    <mergeCell ref="A92:D92"/>
    <mergeCell ref="A93:D93"/>
    <mergeCell ref="A94:D94"/>
    <mergeCell ref="A95:D95"/>
    <mergeCell ref="A96:D96"/>
    <mergeCell ref="A97:D97"/>
    <mergeCell ref="A98:D98"/>
    <mergeCell ref="A115:K115"/>
    <mergeCell ref="A116:C116"/>
    <mergeCell ref="D116:G116"/>
    <mergeCell ref="H116:K116"/>
    <mergeCell ref="A117:C117"/>
    <mergeCell ref="D117:G117"/>
    <mergeCell ref="H117:K117"/>
    <mergeCell ref="D125:G125"/>
    <mergeCell ref="D126:G126"/>
  </mergeCells>
  <hyperlinks>
    <hyperlink r:id="rId1" ref="J1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workbookViewId="0"/>
  </sheetViews>
  <sheetFormatPr customHeight="1" defaultColWidth="12.63" defaultRowHeight="15.75"/>
  <cols>
    <col customWidth="1" min="1" max="1" width="19.88"/>
    <col customWidth="1" min="2" max="2" width="2.25"/>
    <col customWidth="1" min="3" max="3" width="19.13"/>
    <col customWidth="1" min="4" max="4" width="2.75"/>
    <col customWidth="1" min="5" max="5" width="19.63"/>
    <col customWidth="1" min="6" max="6" width="2.63"/>
    <col customWidth="1" min="7" max="7" width="17.88"/>
    <col customWidth="1" min="8" max="8" width="2.5"/>
    <col customWidth="1" min="9" max="9" width="20.13"/>
    <col customWidth="1" min="10" max="10" width="3.88"/>
    <col customWidth="1" min="11" max="11" width="8.0"/>
    <col customWidth="1" min="12" max="12" width="3.63"/>
    <col customWidth="1" min="13" max="13" width="1.5"/>
    <col customWidth="1" min="14" max="14" width="28.0"/>
    <col customWidth="1" min="15" max="15" width="5.13"/>
    <col customWidth="1" min="16" max="16" width="27.13"/>
    <col customWidth="1" min="17" max="17" width="4.88"/>
    <col customWidth="1" min="18" max="18" width="26.25"/>
    <col customWidth="1" min="19" max="19" width="6.13"/>
    <col customWidth="1" min="20" max="20" width="26.13"/>
  </cols>
  <sheetData>
    <row r="1">
      <c r="A1" s="1" t="s">
        <v>59</v>
      </c>
      <c r="B1" s="2"/>
      <c r="C1" s="1" t="s">
        <v>1</v>
      </c>
      <c r="D1" s="3"/>
      <c r="E1" s="1" t="s">
        <v>2</v>
      </c>
      <c r="F1" s="2"/>
      <c r="G1" s="4" t="s">
        <v>3</v>
      </c>
      <c r="H1" s="2"/>
      <c r="I1" s="5" t="s">
        <v>73</v>
      </c>
      <c r="J1" s="6">
        <v>2027.0</v>
      </c>
      <c r="K1" s="7"/>
      <c r="L1" s="8"/>
      <c r="M1" s="9"/>
      <c r="N1" s="108" t="s">
        <v>391</v>
      </c>
      <c r="O1" s="109"/>
      <c r="P1" s="110"/>
      <c r="Q1" s="13"/>
      <c r="R1" s="14" t="s">
        <v>7</v>
      </c>
      <c r="S1" s="15"/>
      <c r="T1" s="16" t="s">
        <v>8</v>
      </c>
    </row>
    <row r="2">
      <c r="A2" s="26" t="s">
        <v>392</v>
      </c>
      <c r="B2" s="229"/>
      <c r="C2" s="18" t="s">
        <v>9</v>
      </c>
      <c r="D2" s="230"/>
      <c r="E2" s="26" t="s">
        <v>393</v>
      </c>
      <c r="F2" s="230"/>
      <c r="G2" s="26" t="s">
        <v>14</v>
      </c>
      <c r="H2" s="230"/>
      <c r="J2" s="19"/>
      <c r="L2" s="20"/>
      <c r="N2" s="231"/>
      <c r="O2" s="22" t="s">
        <v>11</v>
      </c>
      <c r="P2" s="232"/>
      <c r="Q2" s="24"/>
      <c r="R2" s="24"/>
      <c r="S2" s="24"/>
      <c r="T2" s="24"/>
    </row>
    <row r="3">
      <c r="A3" s="26" t="s">
        <v>18</v>
      </c>
      <c r="B3" s="25"/>
      <c r="C3" s="18" t="s">
        <v>45</v>
      </c>
      <c r="D3" s="25"/>
      <c r="E3" s="31" t="s">
        <v>15</v>
      </c>
      <c r="F3" s="25"/>
      <c r="H3" s="25"/>
      <c r="J3" s="19"/>
      <c r="L3" s="20"/>
      <c r="N3" s="27"/>
      <c r="O3" s="233"/>
      <c r="P3" s="29"/>
      <c r="Q3" s="24"/>
      <c r="R3" s="24"/>
      <c r="S3" s="24"/>
      <c r="T3" s="24"/>
    </row>
    <row r="4">
      <c r="B4" s="30"/>
      <c r="D4" s="30"/>
      <c r="E4" s="18" t="s">
        <v>42</v>
      </c>
      <c r="F4" s="30"/>
      <c r="H4" s="30"/>
      <c r="J4" s="19"/>
      <c r="L4" s="20"/>
      <c r="Q4" s="24"/>
      <c r="R4" s="24"/>
      <c r="S4" s="24"/>
      <c r="T4" s="24"/>
    </row>
    <row r="5">
      <c r="B5" s="30"/>
      <c r="D5" s="30"/>
      <c r="F5" s="30"/>
      <c r="G5" s="32"/>
      <c r="H5" s="30"/>
      <c r="J5" s="19"/>
      <c r="L5" s="20"/>
      <c r="N5" s="41"/>
      <c r="O5" s="41"/>
      <c r="P5" s="41"/>
      <c r="Q5" s="24"/>
    </row>
    <row r="6">
      <c r="B6" s="30"/>
      <c r="D6" s="30"/>
      <c r="F6" s="30"/>
      <c r="H6" s="30"/>
      <c r="J6" s="19"/>
      <c r="L6" s="20"/>
    </row>
    <row r="7">
      <c r="A7" s="41"/>
      <c r="B7" s="40"/>
      <c r="C7" s="41"/>
      <c r="D7" s="40"/>
      <c r="E7" s="41"/>
      <c r="F7" s="40"/>
      <c r="G7" s="41"/>
      <c r="H7" s="40"/>
      <c r="I7" s="41"/>
      <c r="J7" s="19"/>
      <c r="L7" s="20"/>
      <c r="N7" s="41"/>
      <c r="O7" s="41"/>
    </row>
    <row r="8">
      <c r="A8" s="42">
        <v>2027.0</v>
      </c>
      <c r="B8" s="43"/>
      <c r="C8" s="43"/>
      <c r="D8" s="43"/>
      <c r="E8" s="43"/>
      <c r="F8" s="43"/>
      <c r="G8" s="43"/>
      <c r="H8" s="43"/>
      <c r="I8" s="44"/>
      <c r="J8" s="19"/>
      <c r="L8" s="20"/>
      <c r="N8" s="41"/>
      <c r="O8" s="41"/>
    </row>
    <row r="9">
      <c r="A9" s="45" t="s">
        <v>22</v>
      </c>
      <c r="B9" s="46"/>
      <c r="C9" s="47" t="s">
        <v>78</v>
      </c>
      <c r="D9" s="46"/>
      <c r="E9" s="48" t="s">
        <v>24</v>
      </c>
      <c r="F9" s="49"/>
      <c r="G9" s="47" t="s">
        <v>84</v>
      </c>
      <c r="H9" s="46"/>
      <c r="I9" s="50" t="s">
        <v>26</v>
      </c>
      <c r="J9" s="19"/>
      <c r="L9" s="20"/>
      <c r="N9" s="41"/>
      <c r="O9" s="41"/>
      <c r="P9" s="41"/>
    </row>
    <row r="10">
      <c r="A10" s="26" t="s">
        <v>119</v>
      </c>
      <c r="B10" s="234"/>
      <c r="C10" s="124" t="s">
        <v>394</v>
      </c>
      <c r="D10" s="234"/>
      <c r="E10" s="26" t="s">
        <v>395</v>
      </c>
      <c r="F10" s="235"/>
      <c r="H10" s="234"/>
      <c r="I10" s="18" t="s">
        <v>32</v>
      </c>
      <c r="J10" s="19"/>
      <c r="L10" s="20"/>
      <c r="N10" s="41"/>
    </row>
    <row r="11">
      <c r="B11" s="25"/>
      <c r="D11" s="25"/>
      <c r="E11" s="26" t="s">
        <v>396</v>
      </c>
      <c r="F11" s="25"/>
      <c r="H11" s="25"/>
      <c r="I11" s="18" t="s">
        <v>40</v>
      </c>
      <c r="J11" s="19"/>
      <c r="L11" s="20"/>
    </row>
    <row r="12">
      <c r="B12" s="30"/>
      <c r="D12" s="30"/>
      <c r="E12" s="31" t="s">
        <v>35</v>
      </c>
      <c r="F12" s="30"/>
      <c r="H12" s="30"/>
      <c r="I12" s="60"/>
      <c r="J12" s="19"/>
      <c r="L12" s="20"/>
      <c r="N12" s="41"/>
      <c r="O12" s="41"/>
      <c r="P12" s="41"/>
    </row>
    <row r="13">
      <c r="B13" s="30"/>
      <c r="C13" s="24"/>
      <c r="D13" s="30"/>
      <c r="E13" s="31" t="s">
        <v>38</v>
      </c>
      <c r="F13" s="30"/>
      <c r="H13" s="30"/>
      <c r="I13" s="236"/>
      <c r="J13" s="19"/>
      <c r="L13" s="20"/>
    </row>
    <row r="14">
      <c r="A14" s="24"/>
      <c r="B14" s="30"/>
      <c r="C14" s="24"/>
      <c r="D14" s="30"/>
      <c r="E14" s="18" t="s">
        <v>46</v>
      </c>
      <c r="F14" s="30"/>
      <c r="G14" s="41"/>
      <c r="H14" s="30"/>
      <c r="I14" s="237"/>
      <c r="J14" s="63"/>
      <c r="K14" s="64"/>
      <c r="L14" s="46"/>
      <c r="N14" s="41"/>
      <c r="O14" s="41"/>
      <c r="P14" s="41"/>
    </row>
    <row r="15">
      <c r="A15" s="65"/>
      <c r="B15" s="66"/>
      <c r="C15" s="67"/>
      <c r="D15" s="66"/>
      <c r="E15" s="18" t="s">
        <v>43</v>
      </c>
      <c r="F15" s="66"/>
      <c r="G15" s="67"/>
      <c r="H15" s="66"/>
      <c r="I15" s="238"/>
      <c r="J15" s="239" t="s">
        <v>47</v>
      </c>
      <c r="N15" s="41"/>
    </row>
    <row r="16">
      <c r="A16" s="18" t="s">
        <v>48</v>
      </c>
      <c r="B16" s="18"/>
      <c r="C16" s="72"/>
      <c r="D16" s="18"/>
      <c r="E16" s="240" t="s">
        <v>397</v>
      </c>
      <c r="F16" s="24"/>
      <c r="G16" s="18"/>
      <c r="H16" s="241" t="s">
        <v>49</v>
      </c>
      <c r="I16" s="76"/>
      <c r="O16" s="41"/>
    </row>
    <row r="17">
      <c r="A17" s="26" t="s">
        <v>398</v>
      </c>
      <c r="D17" s="18"/>
      <c r="E17" s="242" t="s">
        <v>39</v>
      </c>
      <c r="F17" s="18"/>
      <c r="G17" s="18"/>
      <c r="H17" s="75" t="s">
        <v>51</v>
      </c>
      <c r="I17" s="76"/>
      <c r="N17" s="41"/>
      <c r="O17" s="41"/>
      <c r="P17" s="41"/>
    </row>
    <row r="18">
      <c r="A18" s="18"/>
      <c r="B18" s="18"/>
      <c r="C18" s="72"/>
      <c r="D18" s="18"/>
      <c r="E18" s="18"/>
      <c r="F18" s="18"/>
      <c r="G18" s="18"/>
      <c r="H18" s="243" t="s">
        <v>399</v>
      </c>
      <c r="I18" s="78"/>
      <c r="L18" s="79"/>
      <c r="N18" s="41"/>
    </row>
    <row r="19">
      <c r="A19" s="80"/>
      <c r="B19" s="81"/>
      <c r="C19" s="82"/>
      <c r="D19" s="24"/>
      <c r="E19" s="24"/>
      <c r="F19" s="18"/>
      <c r="G19" s="18"/>
      <c r="H19" s="24"/>
      <c r="I19" s="24"/>
      <c r="L19" s="79"/>
      <c r="O19" s="41"/>
      <c r="P19" s="41"/>
      <c r="Q19" s="83"/>
    </row>
    <row r="20">
      <c r="F20" s="79"/>
      <c r="G20" s="79"/>
      <c r="L20" s="79"/>
      <c r="N20" s="41"/>
      <c r="O20" s="41"/>
      <c r="P20" s="41"/>
      <c r="Q20" s="83"/>
    </row>
    <row r="21">
      <c r="A21" s="84"/>
      <c r="L21" s="79"/>
      <c r="N21" s="41"/>
      <c r="O21" s="41"/>
      <c r="P21" s="41"/>
      <c r="Q21" s="83"/>
    </row>
    <row r="22">
      <c r="F22" s="79"/>
      <c r="G22" s="79"/>
      <c r="P22" s="41"/>
    </row>
    <row r="23">
      <c r="A23" s="85"/>
      <c r="F23" s="79"/>
      <c r="G23" s="79"/>
      <c r="P23" s="41"/>
      <c r="Q23" s="83"/>
    </row>
    <row r="24">
      <c r="F24" s="79"/>
      <c r="G24" s="79"/>
      <c r="N24" s="41"/>
      <c r="O24" s="41"/>
      <c r="P24" s="41"/>
    </row>
    <row r="25">
      <c r="A25" s="79"/>
      <c r="B25" s="79"/>
      <c r="C25" s="79"/>
      <c r="D25" s="79"/>
      <c r="E25" s="79"/>
      <c r="F25" s="79"/>
      <c r="G25" s="79"/>
    </row>
    <row r="26">
      <c r="A26" s="79"/>
      <c r="B26" s="79"/>
      <c r="C26" s="79"/>
      <c r="D26" s="79"/>
      <c r="E26" s="79"/>
      <c r="F26" s="79"/>
      <c r="G26" s="79"/>
      <c r="N26" s="41"/>
      <c r="O26" s="41"/>
      <c r="P26" s="41"/>
    </row>
    <row r="27">
      <c r="N27" s="41"/>
      <c r="P27" s="41"/>
    </row>
    <row r="29">
      <c r="N29" s="41"/>
      <c r="O29" s="41"/>
      <c r="P29" s="41"/>
    </row>
    <row r="30">
      <c r="N30" s="41"/>
      <c r="P30" s="41"/>
    </row>
    <row r="31">
      <c r="P31" s="41"/>
    </row>
    <row r="32">
      <c r="N32" s="41"/>
      <c r="P32" s="41"/>
    </row>
    <row r="33">
      <c r="P33" s="41"/>
    </row>
    <row r="34">
      <c r="P34" s="41"/>
    </row>
    <row r="35">
      <c r="P35" s="41"/>
    </row>
    <row r="37">
      <c r="N37" s="41"/>
      <c r="O37" s="41"/>
      <c r="P37" s="41"/>
    </row>
    <row r="38">
      <c r="N38" s="41"/>
    </row>
    <row r="39">
      <c r="N39" s="41"/>
      <c r="P39" s="41"/>
    </row>
    <row r="40">
      <c r="N40" s="41"/>
      <c r="P40" s="41"/>
    </row>
    <row r="41">
      <c r="N41" s="41"/>
      <c r="P41" s="41"/>
    </row>
    <row r="42">
      <c r="P42" s="41"/>
    </row>
    <row r="43">
      <c r="N43" s="41"/>
      <c r="O43" s="41"/>
      <c r="P43" s="41"/>
    </row>
    <row r="44">
      <c r="N44" s="41"/>
      <c r="P44" s="41"/>
    </row>
    <row r="46">
      <c r="N46" s="86"/>
    </row>
    <row r="47">
      <c r="N47" s="86"/>
    </row>
    <row r="48">
      <c r="N48" s="86"/>
    </row>
    <row r="49">
      <c r="N49" s="86"/>
    </row>
    <row r="50">
      <c r="N50" s="86"/>
    </row>
    <row r="51">
      <c r="N51" s="86"/>
    </row>
    <row r="52">
      <c r="N52" s="86"/>
    </row>
    <row r="53">
      <c r="N53" s="86"/>
    </row>
    <row r="54">
      <c r="N54" s="86"/>
    </row>
    <row r="55">
      <c r="N55" s="86"/>
    </row>
    <row r="56">
      <c r="N56" s="86"/>
    </row>
    <row r="57">
      <c r="N57" s="86"/>
    </row>
    <row r="58">
      <c r="N58" s="86"/>
    </row>
    <row r="59">
      <c r="N59" s="86"/>
    </row>
    <row r="60">
      <c r="N60" s="86"/>
    </row>
    <row r="61">
      <c r="N61" s="86"/>
    </row>
    <row r="62">
      <c r="N62" s="86"/>
    </row>
    <row r="63">
      <c r="N63" s="86"/>
    </row>
    <row r="64">
      <c r="N64" s="86"/>
    </row>
    <row r="65">
      <c r="N65" s="86"/>
    </row>
    <row r="66">
      <c r="N66" s="86"/>
    </row>
    <row r="67">
      <c r="N67" s="86"/>
    </row>
    <row r="68">
      <c r="N68" s="86"/>
    </row>
    <row r="69">
      <c r="N69" s="86"/>
    </row>
    <row r="70">
      <c r="N70" s="86"/>
    </row>
    <row r="71">
      <c r="N71" s="86"/>
    </row>
    <row r="72">
      <c r="N72" s="86"/>
    </row>
    <row r="73">
      <c r="N73" s="86"/>
    </row>
    <row r="74">
      <c r="N74" s="86"/>
    </row>
    <row r="75">
      <c r="N75" s="86"/>
    </row>
    <row r="76">
      <c r="N76" s="86"/>
    </row>
    <row r="77">
      <c r="N77" s="86"/>
    </row>
    <row r="78">
      <c r="N78" s="86"/>
    </row>
    <row r="79">
      <c r="N79" s="86"/>
    </row>
    <row r="80">
      <c r="N80" s="86"/>
    </row>
    <row r="81">
      <c r="N81" s="86"/>
    </row>
    <row r="82">
      <c r="N82" s="86"/>
    </row>
    <row r="83">
      <c r="N83" s="86"/>
    </row>
    <row r="84">
      <c r="N84" s="86"/>
    </row>
    <row r="85">
      <c r="N85" s="86"/>
    </row>
    <row r="86">
      <c r="N86" s="86"/>
    </row>
    <row r="87">
      <c r="N87" s="86"/>
    </row>
    <row r="88">
      <c r="N88" s="86"/>
    </row>
    <row r="89">
      <c r="N89" s="86"/>
    </row>
    <row r="90">
      <c r="N90" s="86"/>
    </row>
    <row r="91">
      <c r="N91" s="86"/>
    </row>
    <row r="92">
      <c r="N92" s="86"/>
    </row>
    <row r="93">
      <c r="N93" s="86"/>
    </row>
    <row r="94">
      <c r="N94" s="86"/>
    </row>
    <row r="95">
      <c r="N95" s="86"/>
    </row>
    <row r="96">
      <c r="N96" s="86"/>
    </row>
    <row r="97">
      <c r="N97" s="86"/>
    </row>
    <row r="98">
      <c r="N98" s="86"/>
    </row>
    <row r="99">
      <c r="N99" s="86"/>
    </row>
    <row r="100">
      <c r="N100" s="86"/>
    </row>
    <row r="101">
      <c r="N101" s="86"/>
    </row>
    <row r="102">
      <c r="N102" s="86"/>
    </row>
    <row r="103">
      <c r="N103" s="86"/>
    </row>
    <row r="104">
      <c r="N104" s="86"/>
    </row>
    <row r="105">
      <c r="N105" s="86"/>
    </row>
    <row r="106">
      <c r="N106" s="86"/>
    </row>
    <row r="107">
      <c r="N107" s="86"/>
    </row>
    <row r="108">
      <c r="N108" s="86"/>
    </row>
    <row r="109">
      <c r="N109" s="86"/>
    </row>
    <row r="110">
      <c r="N110" s="86"/>
    </row>
    <row r="111">
      <c r="N111" s="86"/>
    </row>
    <row r="112">
      <c r="N112" s="86"/>
    </row>
    <row r="113">
      <c r="N113" s="86"/>
    </row>
    <row r="114">
      <c r="N114" s="86"/>
    </row>
    <row r="115">
      <c r="N115" s="86"/>
    </row>
    <row r="116">
      <c r="N116" s="86"/>
    </row>
    <row r="117">
      <c r="N117" s="86"/>
    </row>
    <row r="118">
      <c r="N118" s="86"/>
    </row>
    <row r="119">
      <c r="N119" s="86"/>
    </row>
    <row r="120">
      <c r="N120" s="86"/>
    </row>
    <row r="121">
      <c r="N121" s="86"/>
    </row>
    <row r="122">
      <c r="N122" s="86"/>
    </row>
    <row r="123">
      <c r="N123" s="86"/>
    </row>
    <row r="124">
      <c r="N124" s="86"/>
    </row>
    <row r="125">
      <c r="N125" s="86"/>
    </row>
    <row r="126">
      <c r="N126" s="86"/>
    </row>
    <row r="127">
      <c r="N127" s="86"/>
    </row>
    <row r="128">
      <c r="N128" s="86"/>
    </row>
    <row r="129">
      <c r="N129" s="86"/>
    </row>
    <row r="130">
      <c r="N130" s="86"/>
    </row>
    <row r="131">
      <c r="N131" s="86"/>
    </row>
    <row r="132">
      <c r="N132" s="86"/>
    </row>
    <row r="133">
      <c r="N133" s="86"/>
    </row>
    <row r="134">
      <c r="N134" s="86"/>
    </row>
    <row r="135">
      <c r="N135" s="86"/>
    </row>
    <row r="136">
      <c r="N136" s="86"/>
    </row>
    <row r="137">
      <c r="N137" s="86"/>
    </row>
    <row r="138">
      <c r="N138" s="86"/>
    </row>
    <row r="139">
      <c r="N139" s="86"/>
    </row>
    <row r="140">
      <c r="N140" s="86"/>
    </row>
    <row r="141">
      <c r="N141" s="86"/>
    </row>
    <row r="142">
      <c r="N142" s="86"/>
    </row>
    <row r="143">
      <c r="N143" s="86"/>
    </row>
    <row r="144">
      <c r="N144" s="86"/>
    </row>
    <row r="145">
      <c r="N145" s="86"/>
    </row>
    <row r="146">
      <c r="N146" s="86"/>
    </row>
    <row r="147">
      <c r="N147" s="86"/>
    </row>
    <row r="148">
      <c r="N148" s="86"/>
    </row>
    <row r="149">
      <c r="N149" s="86"/>
    </row>
    <row r="150">
      <c r="N150" s="86"/>
    </row>
    <row r="151">
      <c r="N151" s="86"/>
    </row>
    <row r="152">
      <c r="N152" s="86"/>
    </row>
    <row r="153">
      <c r="N153" s="86"/>
    </row>
    <row r="154">
      <c r="N154" s="86"/>
    </row>
    <row r="155">
      <c r="N155" s="86"/>
    </row>
    <row r="156">
      <c r="N156" s="86"/>
    </row>
    <row r="157">
      <c r="N157" s="86"/>
    </row>
    <row r="158">
      <c r="N158" s="86"/>
    </row>
    <row r="159">
      <c r="N159" s="86"/>
    </row>
    <row r="160">
      <c r="N160" s="86"/>
    </row>
    <row r="161">
      <c r="N161" s="86"/>
    </row>
    <row r="162">
      <c r="N162" s="86"/>
    </row>
    <row r="163">
      <c r="N163" s="86"/>
    </row>
    <row r="164">
      <c r="N164" s="86"/>
    </row>
    <row r="165">
      <c r="N165" s="86"/>
    </row>
    <row r="166">
      <c r="N166" s="86"/>
    </row>
    <row r="167">
      <c r="N167" s="86"/>
    </row>
    <row r="168">
      <c r="N168" s="86"/>
    </row>
    <row r="169">
      <c r="N169" s="86"/>
    </row>
    <row r="170">
      <c r="N170" s="86"/>
    </row>
    <row r="171">
      <c r="N171" s="86"/>
    </row>
    <row r="172">
      <c r="N172" s="86"/>
    </row>
    <row r="173">
      <c r="N173" s="86"/>
    </row>
    <row r="174">
      <c r="N174" s="86"/>
    </row>
    <row r="175">
      <c r="N175" s="86"/>
    </row>
    <row r="176">
      <c r="N176" s="86"/>
    </row>
    <row r="177">
      <c r="N177" s="86"/>
    </row>
    <row r="178">
      <c r="N178" s="86"/>
    </row>
    <row r="179">
      <c r="N179" s="86"/>
    </row>
    <row r="180">
      <c r="N180" s="86"/>
    </row>
    <row r="181">
      <c r="N181" s="86"/>
    </row>
    <row r="182">
      <c r="N182" s="86"/>
    </row>
    <row r="183">
      <c r="N183" s="86"/>
    </row>
    <row r="184">
      <c r="N184" s="86"/>
    </row>
    <row r="185">
      <c r="N185" s="86"/>
    </row>
    <row r="186">
      <c r="N186" s="86"/>
    </row>
    <row r="187">
      <c r="N187" s="86"/>
    </row>
    <row r="188">
      <c r="N188" s="86"/>
    </row>
    <row r="189">
      <c r="N189" s="86"/>
    </row>
    <row r="190">
      <c r="N190" s="86"/>
    </row>
    <row r="191">
      <c r="N191" s="86"/>
    </row>
    <row r="192">
      <c r="N192" s="86"/>
    </row>
    <row r="193">
      <c r="N193" s="86"/>
    </row>
    <row r="194">
      <c r="N194" s="86"/>
    </row>
    <row r="195">
      <c r="N195" s="86"/>
    </row>
    <row r="196">
      <c r="N196" s="86"/>
    </row>
    <row r="197">
      <c r="N197" s="86"/>
    </row>
    <row r="198">
      <c r="N198" s="86"/>
    </row>
    <row r="199">
      <c r="N199" s="86"/>
    </row>
    <row r="200">
      <c r="N200" s="86"/>
    </row>
    <row r="201">
      <c r="N201" s="86"/>
    </row>
    <row r="202">
      <c r="N202" s="86"/>
    </row>
    <row r="203">
      <c r="N203" s="86"/>
    </row>
    <row r="204">
      <c r="N204" s="86"/>
    </row>
    <row r="205">
      <c r="N205" s="86"/>
    </row>
    <row r="206">
      <c r="N206" s="86"/>
    </row>
    <row r="207">
      <c r="N207" s="86"/>
    </row>
    <row r="208">
      <c r="N208" s="86"/>
    </row>
    <row r="209">
      <c r="N209" s="86"/>
    </row>
    <row r="210">
      <c r="N210" s="86"/>
    </row>
    <row r="211">
      <c r="N211" s="86"/>
    </row>
    <row r="212">
      <c r="N212" s="86"/>
    </row>
    <row r="213">
      <c r="N213" s="86"/>
    </row>
    <row r="214">
      <c r="N214" s="86"/>
    </row>
    <row r="215">
      <c r="N215" s="86"/>
    </row>
    <row r="216">
      <c r="N216" s="86"/>
    </row>
    <row r="217">
      <c r="N217" s="86"/>
    </row>
    <row r="218">
      <c r="N218" s="86"/>
    </row>
    <row r="219">
      <c r="N219" s="86"/>
    </row>
    <row r="220">
      <c r="N220" s="86"/>
    </row>
    <row r="221">
      <c r="N221" s="86"/>
    </row>
    <row r="222">
      <c r="N222" s="86"/>
    </row>
    <row r="223">
      <c r="N223" s="86"/>
    </row>
    <row r="224">
      <c r="N224" s="86"/>
    </row>
    <row r="225">
      <c r="N225" s="86"/>
    </row>
    <row r="226">
      <c r="N226" s="86"/>
    </row>
    <row r="227">
      <c r="N227" s="86"/>
    </row>
    <row r="228">
      <c r="N228" s="86"/>
    </row>
    <row r="229">
      <c r="N229" s="86"/>
    </row>
    <row r="230">
      <c r="N230" s="86"/>
    </row>
    <row r="231">
      <c r="N231" s="86"/>
    </row>
    <row r="232">
      <c r="N232" s="86"/>
    </row>
    <row r="233">
      <c r="N233" s="86"/>
    </row>
    <row r="234">
      <c r="N234" s="86"/>
    </row>
    <row r="235">
      <c r="N235" s="86"/>
    </row>
    <row r="236">
      <c r="N236" s="86"/>
    </row>
    <row r="237">
      <c r="N237" s="86"/>
    </row>
    <row r="238">
      <c r="N238" s="86"/>
    </row>
    <row r="239">
      <c r="N239" s="86"/>
    </row>
    <row r="240">
      <c r="N240" s="86"/>
    </row>
    <row r="241">
      <c r="N241" s="86"/>
    </row>
    <row r="242">
      <c r="N242" s="86"/>
    </row>
    <row r="243">
      <c r="N243" s="86"/>
    </row>
    <row r="244">
      <c r="N244" s="86"/>
    </row>
    <row r="245">
      <c r="N245" s="86"/>
    </row>
    <row r="246">
      <c r="N246" s="86"/>
    </row>
    <row r="247">
      <c r="N247" s="86"/>
    </row>
    <row r="248">
      <c r="N248" s="86"/>
    </row>
    <row r="249">
      <c r="N249" s="86"/>
    </row>
    <row r="250">
      <c r="N250" s="86"/>
    </row>
    <row r="251">
      <c r="N251" s="86"/>
    </row>
    <row r="252">
      <c r="N252" s="86"/>
    </row>
    <row r="253">
      <c r="N253" s="86"/>
    </row>
    <row r="254">
      <c r="N254" s="86"/>
    </row>
    <row r="255">
      <c r="N255" s="86"/>
    </row>
    <row r="256">
      <c r="N256" s="86"/>
    </row>
    <row r="257">
      <c r="N257" s="86"/>
    </row>
    <row r="258">
      <c r="N258" s="86"/>
    </row>
    <row r="259">
      <c r="N259" s="86"/>
    </row>
    <row r="260">
      <c r="N260" s="86"/>
    </row>
    <row r="261">
      <c r="N261" s="86"/>
    </row>
    <row r="262">
      <c r="N262" s="86"/>
    </row>
    <row r="263">
      <c r="N263" s="86"/>
    </row>
    <row r="264">
      <c r="N264" s="86"/>
    </row>
    <row r="265">
      <c r="N265" s="86"/>
    </row>
    <row r="266">
      <c r="N266" s="86"/>
    </row>
    <row r="267">
      <c r="N267" s="86"/>
    </row>
    <row r="268">
      <c r="N268" s="86"/>
    </row>
    <row r="269">
      <c r="N269" s="86"/>
    </row>
    <row r="270">
      <c r="N270" s="86"/>
    </row>
    <row r="271">
      <c r="N271" s="86"/>
    </row>
    <row r="272">
      <c r="N272" s="86"/>
    </row>
    <row r="273">
      <c r="N273" s="86"/>
    </row>
    <row r="274">
      <c r="N274" s="86"/>
    </row>
    <row r="275">
      <c r="N275" s="86"/>
    </row>
    <row r="276">
      <c r="N276" s="86"/>
    </row>
    <row r="277">
      <c r="N277" s="86"/>
    </row>
    <row r="278">
      <c r="N278" s="86"/>
    </row>
    <row r="279">
      <c r="N279" s="86"/>
    </row>
    <row r="280">
      <c r="N280" s="86"/>
    </row>
    <row r="281">
      <c r="N281" s="86"/>
    </row>
    <row r="282">
      <c r="N282" s="86"/>
    </row>
    <row r="283">
      <c r="N283" s="86"/>
    </row>
    <row r="284">
      <c r="N284" s="86"/>
    </row>
    <row r="285">
      <c r="N285" s="86"/>
    </row>
    <row r="286">
      <c r="N286" s="86"/>
    </row>
    <row r="287">
      <c r="N287" s="86"/>
    </row>
    <row r="288">
      <c r="N288" s="86"/>
    </row>
    <row r="289">
      <c r="N289" s="86"/>
    </row>
    <row r="290">
      <c r="N290" s="86"/>
    </row>
    <row r="291">
      <c r="N291" s="86"/>
    </row>
    <row r="292">
      <c r="N292" s="86"/>
    </row>
    <row r="293">
      <c r="N293" s="86"/>
    </row>
    <row r="294">
      <c r="N294" s="86"/>
    </row>
    <row r="295">
      <c r="N295" s="86"/>
    </row>
    <row r="296">
      <c r="N296" s="86"/>
    </row>
    <row r="297">
      <c r="N297" s="86"/>
    </row>
    <row r="298">
      <c r="N298" s="86"/>
    </row>
    <row r="299">
      <c r="N299" s="86"/>
    </row>
    <row r="300">
      <c r="N300" s="86"/>
    </row>
    <row r="301">
      <c r="N301" s="86"/>
    </row>
    <row r="302">
      <c r="N302" s="86"/>
    </row>
    <row r="303">
      <c r="N303" s="86"/>
    </row>
    <row r="304">
      <c r="N304" s="86"/>
    </row>
    <row r="305">
      <c r="N305" s="86"/>
    </row>
    <row r="306">
      <c r="N306" s="86"/>
    </row>
    <row r="307">
      <c r="N307" s="86"/>
    </row>
    <row r="308">
      <c r="N308" s="86"/>
    </row>
    <row r="309">
      <c r="N309" s="86"/>
    </row>
    <row r="310">
      <c r="N310" s="86"/>
    </row>
    <row r="311">
      <c r="N311" s="86"/>
    </row>
    <row r="312">
      <c r="N312" s="86"/>
    </row>
    <row r="313">
      <c r="N313" s="86"/>
    </row>
    <row r="314">
      <c r="N314" s="86"/>
    </row>
    <row r="315">
      <c r="N315" s="86"/>
    </row>
    <row r="316">
      <c r="N316" s="86"/>
    </row>
    <row r="317">
      <c r="N317" s="86"/>
    </row>
    <row r="318">
      <c r="N318" s="86"/>
    </row>
    <row r="319">
      <c r="N319" s="86"/>
    </row>
    <row r="320">
      <c r="N320" s="86"/>
    </row>
    <row r="321">
      <c r="N321" s="86"/>
    </row>
    <row r="322">
      <c r="N322" s="86"/>
    </row>
    <row r="323">
      <c r="N323" s="86"/>
    </row>
    <row r="324">
      <c r="N324" s="86"/>
    </row>
    <row r="325">
      <c r="N325" s="86"/>
    </row>
    <row r="326">
      <c r="N326" s="86"/>
    </row>
    <row r="327">
      <c r="N327" s="86"/>
    </row>
    <row r="328">
      <c r="N328" s="86"/>
    </row>
    <row r="329">
      <c r="N329" s="86"/>
    </row>
    <row r="330">
      <c r="N330" s="86"/>
    </row>
    <row r="331">
      <c r="N331" s="86"/>
    </row>
    <row r="332">
      <c r="N332" s="86"/>
    </row>
    <row r="333">
      <c r="N333" s="86"/>
    </row>
    <row r="334">
      <c r="N334" s="86"/>
    </row>
    <row r="335">
      <c r="N335" s="86"/>
    </row>
    <row r="336">
      <c r="N336" s="86"/>
    </row>
    <row r="337">
      <c r="N337" s="86"/>
    </row>
    <row r="338">
      <c r="N338" s="86"/>
    </row>
    <row r="339">
      <c r="N339" s="86"/>
    </row>
    <row r="340">
      <c r="N340" s="86"/>
    </row>
    <row r="341">
      <c r="N341" s="86"/>
    </row>
    <row r="342">
      <c r="N342" s="86"/>
    </row>
    <row r="343">
      <c r="N343" s="86"/>
    </row>
    <row r="344">
      <c r="N344" s="86"/>
    </row>
    <row r="345">
      <c r="N345" s="86"/>
    </row>
    <row r="346">
      <c r="N346" s="86"/>
    </row>
    <row r="347">
      <c r="N347" s="86"/>
    </row>
    <row r="348">
      <c r="N348" s="86"/>
    </row>
    <row r="349">
      <c r="N349" s="86"/>
    </row>
    <row r="350">
      <c r="N350" s="86"/>
    </row>
    <row r="351">
      <c r="N351" s="86"/>
    </row>
    <row r="352">
      <c r="N352" s="86"/>
    </row>
    <row r="353">
      <c r="N353" s="86"/>
    </row>
    <row r="354">
      <c r="N354" s="86"/>
    </row>
    <row r="355">
      <c r="N355" s="86"/>
    </row>
    <row r="356">
      <c r="N356" s="86"/>
    </row>
    <row r="357">
      <c r="N357" s="86"/>
    </row>
    <row r="358">
      <c r="N358" s="86"/>
    </row>
    <row r="359">
      <c r="N359" s="86"/>
    </row>
    <row r="360">
      <c r="N360" s="86"/>
    </row>
    <row r="361">
      <c r="N361" s="86"/>
    </row>
    <row r="362">
      <c r="N362" s="86"/>
    </row>
    <row r="363">
      <c r="N363" s="86"/>
    </row>
    <row r="364">
      <c r="N364" s="86"/>
    </row>
    <row r="365">
      <c r="N365" s="86"/>
    </row>
    <row r="366">
      <c r="N366" s="86"/>
    </row>
    <row r="367">
      <c r="N367" s="86"/>
    </row>
    <row r="368">
      <c r="N368" s="86"/>
    </row>
    <row r="369">
      <c r="N369" s="86"/>
    </row>
    <row r="370">
      <c r="N370" s="86"/>
    </row>
    <row r="371">
      <c r="N371" s="86"/>
    </row>
    <row r="372">
      <c r="N372" s="86"/>
    </row>
    <row r="373">
      <c r="N373" s="86"/>
    </row>
    <row r="374">
      <c r="N374" s="86"/>
    </row>
    <row r="375">
      <c r="N375" s="86"/>
    </row>
    <row r="376">
      <c r="N376" s="86"/>
    </row>
    <row r="377">
      <c r="N377" s="86"/>
    </row>
    <row r="378">
      <c r="N378" s="86"/>
    </row>
    <row r="379">
      <c r="N379" s="86"/>
    </row>
    <row r="380">
      <c r="N380" s="86"/>
    </row>
    <row r="381">
      <c r="N381" s="86"/>
    </row>
    <row r="382">
      <c r="N382" s="86"/>
    </row>
    <row r="383">
      <c r="N383" s="86"/>
    </row>
    <row r="384">
      <c r="N384" s="86"/>
    </row>
    <row r="385">
      <c r="N385" s="86"/>
    </row>
    <row r="386">
      <c r="N386" s="86"/>
    </row>
    <row r="387">
      <c r="N387" s="86"/>
    </row>
    <row r="388">
      <c r="N388" s="86"/>
    </row>
    <row r="389">
      <c r="N389" s="86"/>
    </row>
    <row r="390">
      <c r="N390" s="86"/>
    </row>
    <row r="391">
      <c r="N391" s="86"/>
    </row>
    <row r="392">
      <c r="N392" s="86"/>
    </row>
    <row r="393">
      <c r="N393" s="86"/>
    </row>
    <row r="394">
      <c r="N394" s="86"/>
    </row>
    <row r="395">
      <c r="N395" s="86"/>
    </row>
    <row r="396">
      <c r="N396" s="86"/>
    </row>
    <row r="397">
      <c r="N397" s="86"/>
    </row>
    <row r="398">
      <c r="N398" s="86"/>
    </row>
    <row r="399">
      <c r="N399" s="86"/>
    </row>
    <row r="400">
      <c r="N400" s="86"/>
    </row>
    <row r="401">
      <c r="N401" s="86"/>
    </row>
    <row r="402">
      <c r="N402" s="86"/>
    </row>
    <row r="403">
      <c r="N403" s="86"/>
    </row>
    <row r="404">
      <c r="N404" s="86"/>
    </row>
    <row r="405">
      <c r="N405" s="86"/>
    </row>
    <row r="406">
      <c r="N406" s="86"/>
    </row>
    <row r="407">
      <c r="N407" s="86"/>
    </row>
    <row r="408">
      <c r="N408" s="86"/>
    </row>
    <row r="409">
      <c r="N409" s="86"/>
    </row>
    <row r="410">
      <c r="N410" s="86"/>
    </row>
    <row r="411">
      <c r="N411" s="86"/>
    </row>
    <row r="412">
      <c r="N412" s="86"/>
    </row>
    <row r="413">
      <c r="N413" s="86"/>
    </row>
    <row r="414">
      <c r="N414" s="86"/>
    </row>
    <row r="415">
      <c r="N415" s="86"/>
    </row>
    <row r="416">
      <c r="N416" s="86"/>
    </row>
    <row r="417">
      <c r="N417" s="86"/>
    </row>
    <row r="418">
      <c r="N418" s="86"/>
    </row>
    <row r="419">
      <c r="N419" s="86"/>
    </row>
    <row r="420">
      <c r="N420" s="86"/>
    </row>
    <row r="421">
      <c r="N421" s="86"/>
    </row>
    <row r="422">
      <c r="N422" s="86"/>
    </row>
    <row r="423">
      <c r="N423" s="86"/>
    </row>
    <row r="424">
      <c r="N424" s="86"/>
    </row>
    <row r="425">
      <c r="N425" s="86"/>
    </row>
    <row r="426">
      <c r="N426" s="86"/>
    </row>
    <row r="427">
      <c r="N427" s="86"/>
    </row>
    <row r="428">
      <c r="N428" s="86"/>
    </row>
    <row r="429">
      <c r="N429" s="86"/>
    </row>
    <row r="430">
      <c r="N430" s="86"/>
    </row>
    <row r="431">
      <c r="N431" s="86"/>
    </row>
    <row r="432">
      <c r="N432" s="86"/>
    </row>
    <row r="433">
      <c r="N433" s="86"/>
    </row>
    <row r="434">
      <c r="N434" s="86"/>
    </row>
    <row r="435">
      <c r="N435" s="86"/>
    </row>
    <row r="436">
      <c r="N436" s="86"/>
    </row>
    <row r="437">
      <c r="N437" s="86"/>
    </row>
    <row r="438">
      <c r="N438" s="86"/>
    </row>
    <row r="439">
      <c r="N439" s="86"/>
    </row>
    <row r="440">
      <c r="N440" s="86"/>
    </row>
    <row r="441">
      <c r="N441" s="86"/>
    </row>
    <row r="442">
      <c r="N442" s="86"/>
    </row>
    <row r="443">
      <c r="N443" s="86"/>
    </row>
    <row r="444">
      <c r="N444" s="86"/>
    </row>
    <row r="445">
      <c r="N445" s="86"/>
    </row>
    <row r="446">
      <c r="N446" s="86"/>
    </row>
    <row r="447">
      <c r="N447" s="86"/>
    </row>
    <row r="448">
      <c r="N448" s="86"/>
    </row>
    <row r="449">
      <c r="N449" s="86"/>
    </row>
    <row r="450">
      <c r="N450" s="86"/>
    </row>
    <row r="451">
      <c r="N451" s="86"/>
    </row>
    <row r="452">
      <c r="N452" s="86"/>
    </row>
    <row r="453">
      <c r="N453" s="86"/>
    </row>
    <row r="454">
      <c r="N454" s="86"/>
    </row>
    <row r="455">
      <c r="N455" s="86"/>
    </row>
    <row r="456">
      <c r="N456" s="86"/>
    </row>
    <row r="457">
      <c r="N457" s="86"/>
    </row>
    <row r="458">
      <c r="N458" s="86"/>
    </row>
    <row r="459">
      <c r="N459" s="86"/>
    </row>
    <row r="460">
      <c r="N460" s="86"/>
    </row>
    <row r="461">
      <c r="N461" s="86"/>
    </row>
    <row r="462">
      <c r="N462" s="86"/>
    </row>
    <row r="463">
      <c r="N463" s="86"/>
    </row>
    <row r="464">
      <c r="N464" s="86"/>
    </row>
    <row r="465">
      <c r="N465" s="86"/>
    </row>
    <row r="466">
      <c r="N466" s="86"/>
    </row>
    <row r="467">
      <c r="N467" s="86"/>
    </row>
    <row r="468">
      <c r="N468" s="86"/>
    </row>
    <row r="469">
      <c r="N469" s="86"/>
    </row>
    <row r="470">
      <c r="N470" s="86"/>
    </row>
    <row r="471">
      <c r="N471" s="86"/>
    </row>
    <row r="472">
      <c r="N472" s="86"/>
    </row>
    <row r="473">
      <c r="N473" s="86"/>
    </row>
    <row r="474">
      <c r="N474" s="86"/>
    </row>
    <row r="475">
      <c r="N475" s="86"/>
    </row>
    <row r="476">
      <c r="N476" s="86"/>
    </row>
    <row r="477">
      <c r="N477" s="86"/>
    </row>
    <row r="478">
      <c r="N478" s="86"/>
    </row>
    <row r="479">
      <c r="N479" s="86"/>
    </row>
    <row r="480">
      <c r="N480" s="86"/>
    </row>
    <row r="481">
      <c r="N481" s="86"/>
    </row>
    <row r="482">
      <c r="N482" s="86"/>
    </row>
    <row r="483">
      <c r="N483" s="86"/>
    </row>
    <row r="484">
      <c r="N484" s="86"/>
    </row>
    <row r="485">
      <c r="N485" s="86"/>
    </row>
    <row r="486">
      <c r="N486" s="86"/>
    </row>
    <row r="487">
      <c r="N487" s="86"/>
    </row>
    <row r="488">
      <c r="N488" s="86"/>
    </row>
    <row r="489">
      <c r="N489" s="86"/>
    </row>
    <row r="490">
      <c r="N490" s="86"/>
    </row>
    <row r="491">
      <c r="N491" s="86"/>
    </row>
    <row r="492">
      <c r="N492" s="86"/>
    </row>
    <row r="493">
      <c r="N493" s="86"/>
    </row>
    <row r="494">
      <c r="N494" s="86"/>
    </row>
    <row r="495">
      <c r="N495" s="86"/>
    </row>
    <row r="496">
      <c r="N496" s="86"/>
    </row>
    <row r="497">
      <c r="N497" s="86"/>
    </row>
    <row r="498">
      <c r="N498" s="86"/>
    </row>
    <row r="499">
      <c r="N499" s="86"/>
    </row>
    <row r="500">
      <c r="N500" s="86"/>
    </row>
    <row r="501">
      <c r="N501" s="86"/>
    </row>
    <row r="502">
      <c r="N502" s="86"/>
    </row>
    <row r="503">
      <c r="N503" s="86"/>
    </row>
    <row r="504">
      <c r="N504" s="86"/>
    </row>
    <row r="505">
      <c r="N505" s="86"/>
    </row>
    <row r="506">
      <c r="N506" s="86"/>
    </row>
    <row r="507">
      <c r="N507" s="86"/>
    </row>
    <row r="508">
      <c r="N508" s="86"/>
    </row>
    <row r="509">
      <c r="N509" s="86"/>
    </row>
    <row r="510">
      <c r="N510" s="86"/>
    </row>
    <row r="511">
      <c r="N511" s="86"/>
    </row>
    <row r="512">
      <c r="N512" s="86"/>
    </row>
    <row r="513">
      <c r="N513" s="86"/>
    </row>
    <row r="514">
      <c r="N514" s="86"/>
    </row>
    <row r="515">
      <c r="N515" s="86"/>
    </row>
    <row r="516">
      <c r="N516" s="86"/>
    </row>
    <row r="517">
      <c r="N517" s="86"/>
    </row>
    <row r="518">
      <c r="N518" s="86"/>
    </row>
    <row r="519">
      <c r="N519" s="86"/>
    </row>
    <row r="520">
      <c r="N520" s="86"/>
    </row>
    <row r="521">
      <c r="N521" s="86"/>
    </row>
    <row r="522">
      <c r="N522" s="86"/>
    </row>
    <row r="523">
      <c r="N523" s="86"/>
    </row>
    <row r="524">
      <c r="N524" s="86"/>
    </row>
    <row r="525">
      <c r="N525" s="86"/>
    </row>
    <row r="526">
      <c r="N526" s="86"/>
    </row>
    <row r="527">
      <c r="N527" s="86"/>
    </row>
    <row r="528">
      <c r="N528" s="86"/>
    </row>
    <row r="529">
      <c r="N529" s="86"/>
    </row>
    <row r="530">
      <c r="N530" s="86"/>
    </row>
    <row r="531">
      <c r="N531" s="86"/>
    </row>
    <row r="532">
      <c r="N532" s="86"/>
    </row>
    <row r="533">
      <c r="N533" s="86"/>
    </row>
    <row r="534">
      <c r="N534" s="86"/>
    </row>
    <row r="535">
      <c r="N535" s="86"/>
    </row>
    <row r="536">
      <c r="N536" s="86"/>
    </row>
    <row r="537">
      <c r="N537" s="86"/>
    </row>
    <row r="538">
      <c r="N538" s="86"/>
    </row>
    <row r="539">
      <c r="N539" s="86"/>
    </row>
    <row r="540">
      <c r="N540" s="86"/>
    </row>
    <row r="541">
      <c r="N541" s="86"/>
    </row>
    <row r="542">
      <c r="N542" s="86"/>
    </row>
    <row r="543">
      <c r="N543" s="86"/>
    </row>
    <row r="544">
      <c r="N544" s="86"/>
    </row>
    <row r="545">
      <c r="N545" s="86"/>
    </row>
    <row r="546">
      <c r="N546" s="86"/>
    </row>
    <row r="547">
      <c r="N547" s="86"/>
    </row>
    <row r="548">
      <c r="N548" s="86"/>
    </row>
    <row r="549">
      <c r="N549" s="86"/>
    </row>
    <row r="550">
      <c r="N550" s="86"/>
    </row>
    <row r="551">
      <c r="N551" s="86"/>
    </row>
    <row r="552">
      <c r="N552" s="86"/>
    </row>
    <row r="553">
      <c r="N553" s="86"/>
    </row>
    <row r="554">
      <c r="N554" s="86"/>
    </row>
    <row r="555">
      <c r="N555" s="86"/>
    </row>
    <row r="556">
      <c r="N556" s="86"/>
    </row>
    <row r="557">
      <c r="N557" s="86"/>
    </row>
    <row r="558">
      <c r="N558" s="86"/>
    </row>
    <row r="559">
      <c r="N559" s="86"/>
    </row>
    <row r="560">
      <c r="N560" s="86"/>
    </row>
    <row r="561">
      <c r="N561" s="86"/>
    </row>
    <row r="562">
      <c r="N562" s="86"/>
    </row>
    <row r="563">
      <c r="N563" s="86"/>
    </row>
    <row r="564">
      <c r="N564" s="86"/>
    </row>
    <row r="565">
      <c r="N565" s="86"/>
    </row>
    <row r="566">
      <c r="N566" s="86"/>
    </row>
    <row r="567">
      <c r="N567" s="86"/>
    </row>
    <row r="568">
      <c r="N568" s="86"/>
    </row>
    <row r="569">
      <c r="N569" s="86"/>
    </row>
    <row r="570">
      <c r="N570" s="86"/>
    </row>
    <row r="571">
      <c r="N571" s="86"/>
    </row>
    <row r="572">
      <c r="N572" s="86"/>
    </row>
    <row r="573">
      <c r="N573" s="86"/>
    </row>
    <row r="574">
      <c r="N574" s="86"/>
    </row>
    <row r="575">
      <c r="N575" s="86"/>
    </row>
    <row r="576">
      <c r="N576" s="86"/>
    </row>
    <row r="577">
      <c r="N577" s="86"/>
    </row>
    <row r="578">
      <c r="N578" s="86"/>
    </row>
    <row r="579">
      <c r="N579" s="86"/>
    </row>
    <row r="580">
      <c r="N580" s="86"/>
    </row>
    <row r="581">
      <c r="N581" s="86"/>
    </row>
    <row r="582">
      <c r="N582" s="86"/>
    </row>
    <row r="583">
      <c r="N583" s="86"/>
    </row>
    <row r="584">
      <c r="N584" s="86"/>
    </row>
    <row r="585">
      <c r="N585" s="86"/>
    </row>
    <row r="586">
      <c r="N586" s="86"/>
    </row>
    <row r="587">
      <c r="N587" s="86"/>
    </row>
    <row r="588">
      <c r="N588" s="86"/>
    </row>
    <row r="589">
      <c r="N589" s="86"/>
    </row>
    <row r="590">
      <c r="N590" s="86"/>
    </row>
    <row r="591">
      <c r="N591" s="86"/>
    </row>
    <row r="592">
      <c r="N592" s="86"/>
    </row>
    <row r="593">
      <c r="N593" s="86"/>
    </row>
    <row r="594">
      <c r="N594" s="86"/>
    </row>
    <row r="595">
      <c r="N595" s="86"/>
    </row>
    <row r="596">
      <c r="N596" s="86"/>
    </row>
    <row r="597">
      <c r="N597" s="86"/>
    </row>
    <row r="598">
      <c r="N598" s="86"/>
    </row>
    <row r="599">
      <c r="N599" s="86"/>
    </row>
    <row r="600">
      <c r="N600" s="86"/>
    </row>
    <row r="601">
      <c r="N601" s="86"/>
    </row>
    <row r="602">
      <c r="N602" s="86"/>
    </row>
    <row r="603">
      <c r="N603" s="86"/>
    </row>
    <row r="604">
      <c r="N604" s="86"/>
    </row>
    <row r="605">
      <c r="N605" s="86"/>
    </row>
    <row r="606">
      <c r="N606" s="86"/>
    </row>
    <row r="607">
      <c r="N607" s="86"/>
    </row>
    <row r="608">
      <c r="N608" s="86"/>
    </row>
    <row r="609">
      <c r="N609" s="86"/>
    </row>
    <row r="610">
      <c r="N610" s="86"/>
    </row>
    <row r="611">
      <c r="N611" s="86"/>
    </row>
    <row r="612">
      <c r="N612" s="86"/>
    </row>
    <row r="613">
      <c r="N613" s="86"/>
    </row>
    <row r="614">
      <c r="N614" s="86"/>
    </row>
    <row r="615">
      <c r="N615" s="86"/>
    </row>
    <row r="616">
      <c r="N616" s="86"/>
    </row>
    <row r="617">
      <c r="N617" s="86"/>
    </row>
    <row r="618">
      <c r="N618" s="86"/>
    </row>
    <row r="619">
      <c r="N619" s="86"/>
    </row>
    <row r="620">
      <c r="N620" s="86"/>
    </row>
    <row r="621">
      <c r="N621" s="86"/>
    </row>
    <row r="622">
      <c r="N622" s="86"/>
    </row>
    <row r="623">
      <c r="N623" s="86"/>
    </row>
    <row r="624">
      <c r="N624" s="86"/>
    </row>
    <row r="625">
      <c r="N625" s="86"/>
    </row>
    <row r="626">
      <c r="N626" s="86"/>
    </row>
    <row r="627">
      <c r="N627" s="86"/>
    </row>
    <row r="628">
      <c r="N628" s="86"/>
    </row>
    <row r="629">
      <c r="N629" s="86"/>
    </row>
    <row r="630">
      <c r="N630" s="86"/>
    </row>
    <row r="631">
      <c r="N631" s="86"/>
    </row>
    <row r="632">
      <c r="N632" s="86"/>
    </row>
    <row r="633">
      <c r="N633" s="86"/>
    </row>
    <row r="634">
      <c r="N634" s="86"/>
    </row>
    <row r="635">
      <c r="N635" s="86"/>
    </row>
    <row r="636">
      <c r="N636" s="86"/>
    </row>
    <row r="637">
      <c r="N637" s="86"/>
    </row>
    <row r="638">
      <c r="N638" s="86"/>
    </row>
    <row r="639">
      <c r="N639" s="86"/>
    </row>
    <row r="640">
      <c r="N640" s="86"/>
    </row>
    <row r="641">
      <c r="N641" s="86"/>
    </row>
    <row r="642">
      <c r="N642" s="86"/>
    </row>
    <row r="643">
      <c r="N643" s="86"/>
    </row>
    <row r="644">
      <c r="N644" s="86"/>
    </row>
    <row r="645">
      <c r="N645" s="86"/>
    </row>
    <row r="646">
      <c r="N646" s="86"/>
    </row>
    <row r="647">
      <c r="N647" s="86"/>
    </row>
    <row r="648">
      <c r="N648" s="86"/>
    </row>
    <row r="649">
      <c r="N649" s="86"/>
    </row>
    <row r="650">
      <c r="N650" s="86"/>
    </row>
    <row r="651">
      <c r="N651" s="86"/>
    </row>
    <row r="652">
      <c r="N652" s="86"/>
    </row>
    <row r="653">
      <c r="N653" s="86"/>
    </row>
    <row r="654">
      <c r="N654" s="86"/>
    </row>
    <row r="655">
      <c r="N655" s="86"/>
    </row>
    <row r="656">
      <c r="N656" s="86"/>
    </row>
    <row r="657">
      <c r="N657" s="86"/>
    </row>
    <row r="658">
      <c r="N658" s="86"/>
    </row>
    <row r="659">
      <c r="N659" s="86"/>
    </row>
    <row r="660">
      <c r="N660" s="86"/>
    </row>
    <row r="661">
      <c r="N661" s="86"/>
    </row>
    <row r="662">
      <c r="N662" s="86"/>
    </row>
    <row r="663">
      <c r="N663" s="86"/>
    </row>
    <row r="664">
      <c r="N664" s="86"/>
    </row>
    <row r="665">
      <c r="N665" s="86"/>
    </row>
    <row r="666">
      <c r="N666" s="86"/>
    </row>
    <row r="667">
      <c r="N667" s="86"/>
    </row>
    <row r="668">
      <c r="N668" s="86"/>
    </row>
    <row r="669">
      <c r="N669" s="86"/>
    </row>
    <row r="670">
      <c r="N670" s="86"/>
    </row>
    <row r="671">
      <c r="N671" s="86"/>
    </row>
    <row r="672">
      <c r="N672" s="86"/>
    </row>
    <row r="673">
      <c r="N673" s="86"/>
    </row>
    <row r="674">
      <c r="N674" s="86"/>
    </row>
    <row r="675">
      <c r="N675" s="86"/>
    </row>
    <row r="676">
      <c r="N676" s="86"/>
    </row>
    <row r="677">
      <c r="N677" s="86"/>
    </row>
    <row r="678">
      <c r="N678" s="86"/>
    </row>
    <row r="679">
      <c r="N679" s="86"/>
    </row>
    <row r="680">
      <c r="N680" s="86"/>
    </row>
    <row r="681">
      <c r="N681" s="86"/>
    </row>
    <row r="682">
      <c r="N682" s="86"/>
    </row>
    <row r="683">
      <c r="N683" s="86"/>
    </row>
    <row r="684">
      <c r="N684" s="86"/>
    </row>
    <row r="685">
      <c r="N685" s="86"/>
    </row>
    <row r="686">
      <c r="N686" s="86"/>
    </row>
    <row r="687">
      <c r="N687" s="86"/>
    </row>
    <row r="688">
      <c r="N688" s="86"/>
    </row>
    <row r="689">
      <c r="N689" s="86"/>
    </row>
    <row r="690">
      <c r="N690" s="86"/>
    </row>
    <row r="691">
      <c r="N691" s="86"/>
    </row>
    <row r="692">
      <c r="N692" s="86"/>
    </row>
    <row r="693">
      <c r="N693" s="86"/>
    </row>
    <row r="694">
      <c r="N694" s="86"/>
    </row>
    <row r="695">
      <c r="N695" s="86"/>
    </row>
    <row r="696">
      <c r="N696" s="86"/>
    </row>
    <row r="697">
      <c r="N697" s="86"/>
    </row>
    <row r="698">
      <c r="N698" s="86"/>
    </row>
    <row r="699">
      <c r="N699" s="86"/>
    </row>
    <row r="700">
      <c r="N700" s="86"/>
    </row>
    <row r="701">
      <c r="N701" s="86"/>
    </row>
    <row r="702">
      <c r="N702" s="86"/>
    </row>
    <row r="703">
      <c r="N703" s="86"/>
    </row>
    <row r="704">
      <c r="N704" s="86"/>
    </row>
    <row r="705">
      <c r="N705" s="86"/>
    </row>
    <row r="706">
      <c r="N706" s="86"/>
    </row>
    <row r="707">
      <c r="N707" s="86"/>
    </row>
    <row r="708">
      <c r="N708" s="86"/>
    </row>
    <row r="709">
      <c r="N709" s="86"/>
    </row>
    <row r="710">
      <c r="N710" s="86"/>
    </row>
    <row r="711">
      <c r="N711" s="86"/>
    </row>
    <row r="712">
      <c r="N712" s="86"/>
    </row>
    <row r="713">
      <c r="N713" s="86"/>
    </row>
    <row r="714">
      <c r="N714" s="86"/>
    </row>
    <row r="715">
      <c r="N715" s="86"/>
    </row>
    <row r="716">
      <c r="N716" s="86"/>
    </row>
    <row r="717">
      <c r="N717" s="86"/>
    </row>
    <row r="718">
      <c r="N718" s="86"/>
    </row>
    <row r="719">
      <c r="N719" s="86"/>
    </row>
    <row r="720">
      <c r="N720" s="86"/>
    </row>
    <row r="721">
      <c r="N721" s="86"/>
    </row>
    <row r="722">
      <c r="N722" s="86"/>
    </row>
    <row r="723">
      <c r="N723" s="86"/>
    </row>
    <row r="724">
      <c r="N724" s="86"/>
    </row>
    <row r="725">
      <c r="N725" s="86"/>
    </row>
    <row r="726">
      <c r="N726" s="86"/>
    </row>
    <row r="727">
      <c r="N727" s="86"/>
    </row>
    <row r="728">
      <c r="N728" s="86"/>
    </row>
    <row r="729">
      <c r="N729" s="86"/>
    </row>
    <row r="730">
      <c r="N730" s="86"/>
    </row>
    <row r="731">
      <c r="N731" s="86"/>
    </row>
    <row r="732">
      <c r="N732" s="86"/>
    </row>
    <row r="733">
      <c r="N733" s="86"/>
    </row>
    <row r="734">
      <c r="N734" s="86"/>
    </row>
    <row r="735">
      <c r="N735" s="86"/>
    </row>
    <row r="736">
      <c r="N736" s="86"/>
    </row>
    <row r="737">
      <c r="N737" s="86"/>
    </row>
    <row r="738">
      <c r="N738" s="86"/>
    </row>
    <row r="739">
      <c r="N739" s="86"/>
    </row>
    <row r="740">
      <c r="N740" s="86"/>
    </row>
    <row r="741">
      <c r="N741" s="86"/>
    </row>
    <row r="742">
      <c r="N742" s="86"/>
    </row>
    <row r="743">
      <c r="N743" s="86"/>
    </row>
    <row r="744">
      <c r="N744" s="86"/>
    </row>
    <row r="745">
      <c r="N745" s="86"/>
    </row>
    <row r="746">
      <c r="N746" s="86"/>
    </row>
    <row r="747">
      <c r="N747" s="86"/>
    </row>
    <row r="748">
      <c r="N748" s="86"/>
    </row>
    <row r="749">
      <c r="N749" s="86"/>
    </row>
    <row r="750">
      <c r="N750" s="86"/>
    </row>
    <row r="751">
      <c r="N751" s="86"/>
    </row>
    <row r="752">
      <c r="N752" s="86"/>
    </row>
    <row r="753">
      <c r="N753" s="86"/>
    </row>
    <row r="754">
      <c r="N754" s="86"/>
    </row>
    <row r="755">
      <c r="N755" s="86"/>
    </row>
    <row r="756">
      <c r="N756" s="86"/>
    </row>
    <row r="757">
      <c r="N757" s="86"/>
    </row>
    <row r="758">
      <c r="N758" s="86"/>
    </row>
    <row r="759">
      <c r="N759" s="86"/>
    </row>
    <row r="760">
      <c r="N760" s="86"/>
    </row>
    <row r="761">
      <c r="N761" s="86"/>
    </row>
    <row r="762">
      <c r="N762" s="86"/>
    </row>
    <row r="763">
      <c r="N763" s="86"/>
    </row>
    <row r="764">
      <c r="N764" s="86"/>
    </row>
    <row r="765">
      <c r="N765" s="86"/>
    </row>
    <row r="766">
      <c r="N766" s="86"/>
    </row>
    <row r="767">
      <c r="N767" s="86"/>
    </row>
    <row r="768">
      <c r="N768" s="86"/>
    </row>
    <row r="769">
      <c r="N769" s="86"/>
    </row>
    <row r="770">
      <c r="N770" s="86"/>
    </row>
    <row r="771">
      <c r="N771" s="86"/>
    </row>
    <row r="772">
      <c r="N772" s="86"/>
    </row>
    <row r="773">
      <c r="N773" s="86"/>
    </row>
    <row r="774">
      <c r="N774" s="86"/>
    </row>
    <row r="775">
      <c r="N775" s="86"/>
    </row>
    <row r="776">
      <c r="N776" s="86"/>
    </row>
    <row r="777">
      <c r="N777" s="86"/>
    </row>
    <row r="778">
      <c r="N778" s="86"/>
    </row>
    <row r="779">
      <c r="N779" s="86"/>
    </row>
    <row r="780">
      <c r="N780" s="86"/>
    </row>
    <row r="781">
      <c r="N781" s="86"/>
    </row>
    <row r="782">
      <c r="N782" s="86"/>
    </row>
    <row r="783">
      <c r="N783" s="86"/>
    </row>
    <row r="784">
      <c r="N784" s="86"/>
    </row>
    <row r="785">
      <c r="N785" s="86"/>
    </row>
    <row r="786">
      <c r="N786" s="86"/>
    </row>
    <row r="787">
      <c r="N787" s="86"/>
    </row>
    <row r="788">
      <c r="N788" s="86"/>
    </row>
    <row r="789">
      <c r="N789" s="86"/>
    </row>
    <row r="790">
      <c r="N790" s="86"/>
    </row>
    <row r="791">
      <c r="N791" s="86"/>
    </row>
    <row r="792">
      <c r="N792" s="86"/>
    </row>
    <row r="793">
      <c r="N793" s="86"/>
    </row>
    <row r="794">
      <c r="N794" s="86"/>
    </row>
    <row r="795">
      <c r="N795" s="86"/>
    </row>
    <row r="796">
      <c r="N796" s="86"/>
    </row>
    <row r="797">
      <c r="N797" s="86"/>
    </row>
    <row r="798">
      <c r="N798" s="86"/>
    </row>
    <row r="799">
      <c r="N799" s="86"/>
    </row>
    <row r="800">
      <c r="N800" s="86"/>
    </row>
    <row r="801">
      <c r="N801" s="86"/>
    </row>
    <row r="802">
      <c r="N802" s="86"/>
    </row>
    <row r="803">
      <c r="N803" s="86"/>
    </row>
    <row r="804">
      <c r="N804" s="86"/>
    </row>
    <row r="805">
      <c r="N805" s="86"/>
    </row>
    <row r="806">
      <c r="N806" s="86"/>
    </row>
    <row r="807">
      <c r="N807" s="86"/>
    </row>
    <row r="808">
      <c r="N808" s="86"/>
    </row>
    <row r="809">
      <c r="N809" s="86"/>
    </row>
    <row r="810">
      <c r="N810" s="86"/>
    </row>
    <row r="811">
      <c r="N811" s="86"/>
    </row>
    <row r="812">
      <c r="N812" s="86"/>
    </row>
    <row r="813">
      <c r="N813" s="86"/>
    </row>
    <row r="814">
      <c r="N814" s="86"/>
    </row>
    <row r="815">
      <c r="N815" s="86"/>
    </row>
    <row r="816">
      <c r="N816" s="86"/>
    </row>
    <row r="817">
      <c r="N817" s="86"/>
    </row>
    <row r="818">
      <c r="N818" s="86"/>
    </row>
    <row r="819">
      <c r="N819" s="86"/>
    </row>
    <row r="820">
      <c r="N820" s="86"/>
    </row>
    <row r="821">
      <c r="N821" s="86"/>
    </row>
    <row r="822">
      <c r="N822" s="86"/>
    </row>
    <row r="823">
      <c r="N823" s="86"/>
    </row>
    <row r="824">
      <c r="N824" s="86"/>
    </row>
    <row r="825">
      <c r="N825" s="86"/>
    </row>
    <row r="826">
      <c r="N826" s="86"/>
    </row>
    <row r="827">
      <c r="N827" s="86"/>
    </row>
    <row r="828">
      <c r="N828" s="86"/>
    </row>
    <row r="829">
      <c r="N829" s="86"/>
    </row>
    <row r="830">
      <c r="N830" s="86"/>
    </row>
    <row r="831">
      <c r="N831" s="86"/>
    </row>
    <row r="832">
      <c r="N832" s="86"/>
    </row>
    <row r="833">
      <c r="N833" s="86"/>
    </row>
    <row r="834">
      <c r="N834" s="86"/>
    </row>
    <row r="835">
      <c r="N835" s="86"/>
    </row>
    <row r="836">
      <c r="N836" s="86"/>
    </row>
    <row r="837">
      <c r="N837" s="86"/>
    </row>
    <row r="838">
      <c r="N838" s="86"/>
    </row>
    <row r="839">
      <c r="N839" s="86"/>
    </row>
    <row r="840">
      <c r="N840" s="86"/>
    </row>
    <row r="841">
      <c r="N841" s="86"/>
    </row>
    <row r="842">
      <c r="N842" s="86"/>
    </row>
    <row r="843">
      <c r="N843" s="86"/>
    </row>
    <row r="844">
      <c r="N844" s="86"/>
    </row>
    <row r="845">
      <c r="N845" s="86"/>
    </row>
    <row r="846">
      <c r="N846" s="86"/>
    </row>
    <row r="847">
      <c r="N847" s="86"/>
    </row>
    <row r="848">
      <c r="N848" s="86"/>
    </row>
    <row r="849">
      <c r="N849" s="86"/>
    </row>
    <row r="850">
      <c r="N850" s="86"/>
    </row>
    <row r="851">
      <c r="N851" s="86"/>
    </row>
    <row r="852">
      <c r="N852" s="86"/>
    </row>
    <row r="853">
      <c r="N853" s="86"/>
    </row>
    <row r="854">
      <c r="N854" s="86"/>
    </row>
    <row r="855">
      <c r="N855" s="86"/>
    </row>
    <row r="856">
      <c r="N856" s="86"/>
    </row>
    <row r="857">
      <c r="N857" s="86"/>
    </row>
    <row r="858">
      <c r="N858" s="86"/>
    </row>
    <row r="859">
      <c r="N859" s="86"/>
    </row>
    <row r="860">
      <c r="N860" s="86"/>
    </row>
    <row r="861">
      <c r="N861" s="86"/>
    </row>
    <row r="862">
      <c r="N862" s="86"/>
    </row>
    <row r="863">
      <c r="N863" s="86"/>
    </row>
    <row r="864">
      <c r="N864" s="86"/>
    </row>
    <row r="865">
      <c r="N865" s="86"/>
    </row>
    <row r="866">
      <c r="N866" s="86"/>
    </row>
    <row r="867">
      <c r="N867" s="86"/>
    </row>
    <row r="868">
      <c r="N868" s="86"/>
    </row>
    <row r="869">
      <c r="N869" s="86"/>
    </row>
    <row r="870">
      <c r="N870" s="86"/>
    </row>
    <row r="871">
      <c r="N871" s="86"/>
    </row>
    <row r="872">
      <c r="N872" s="86"/>
    </row>
    <row r="873">
      <c r="N873" s="86"/>
    </row>
    <row r="874">
      <c r="N874" s="86"/>
    </row>
    <row r="875">
      <c r="N875" s="86"/>
    </row>
    <row r="876">
      <c r="N876" s="86"/>
    </row>
    <row r="877">
      <c r="N877" s="86"/>
    </row>
    <row r="878">
      <c r="N878" s="86"/>
    </row>
    <row r="879">
      <c r="N879" s="86"/>
    </row>
    <row r="880">
      <c r="N880" s="86"/>
    </row>
    <row r="881">
      <c r="N881" s="86"/>
    </row>
    <row r="882">
      <c r="N882" s="86"/>
    </row>
    <row r="883">
      <c r="N883" s="86"/>
    </row>
    <row r="884">
      <c r="N884" s="86"/>
    </row>
    <row r="885">
      <c r="N885" s="86"/>
    </row>
    <row r="886">
      <c r="N886" s="86"/>
    </row>
    <row r="887">
      <c r="N887" s="86"/>
    </row>
    <row r="888">
      <c r="N888" s="86"/>
    </row>
    <row r="889">
      <c r="N889" s="86"/>
    </row>
    <row r="890">
      <c r="N890" s="86"/>
    </row>
    <row r="891">
      <c r="N891" s="86"/>
    </row>
    <row r="892">
      <c r="N892" s="86"/>
    </row>
    <row r="893">
      <c r="N893" s="86"/>
    </row>
    <row r="894">
      <c r="N894" s="86"/>
    </row>
    <row r="895">
      <c r="N895" s="86"/>
    </row>
    <row r="896">
      <c r="N896" s="86"/>
    </row>
    <row r="897">
      <c r="N897" s="86"/>
    </row>
    <row r="898">
      <c r="N898" s="86"/>
    </row>
    <row r="899">
      <c r="N899" s="86"/>
    </row>
    <row r="900">
      <c r="N900" s="86"/>
    </row>
    <row r="901">
      <c r="N901" s="86"/>
    </row>
    <row r="902">
      <c r="N902" s="86"/>
    </row>
    <row r="903">
      <c r="N903" s="86"/>
    </row>
    <row r="904">
      <c r="N904" s="86"/>
    </row>
    <row r="905">
      <c r="N905" s="86"/>
    </row>
    <row r="906">
      <c r="N906" s="86"/>
    </row>
    <row r="907">
      <c r="N907" s="86"/>
    </row>
    <row r="908">
      <c r="N908" s="86"/>
    </row>
    <row r="909">
      <c r="N909" s="86"/>
    </row>
    <row r="910">
      <c r="N910" s="86"/>
    </row>
    <row r="911">
      <c r="N911" s="86"/>
    </row>
    <row r="912">
      <c r="N912" s="86"/>
    </row>
    <row r="913">
      <c r="N913" s="86"/>
    </row>
    <row r="914">
      <c r="N914" s="86"/>
    </row>
    <row r="915">
      <c r="N915" s="86"/>
    </row>
    <row r="916">
      <c r="N916" s="86"/>
    </row>
    <row r="917">
      <c r="N917" s="86"/>
    </row>
    <row r="918">
      <c r="N918" s="86"/>
    </row>
    <row r="919">
      <c r="N919" s="86"/>
    </row>
    <row r="920">
      <c r="N920" s="86"/>
    </row>
    <row r="921">
      <c r="N921" s="86"/>
    </row>
    <row r="922">
      <c r="N922" s="86"/>
    </row>
    <row r="923">
      <c r="N923" s="86"/>
    </row>
    <row r="924">
      <c r="N924" s="86"/>
    </row>
    <row r="925">
      <c r="N925" s="86"/>
    </row>
    <row r="926">
      <c r="N926" s="86"/>
    </row>
    <row r="927">
      <c r="N927" s="86"/>
    </row>
    <row r="928">
      <c r="N928" s="86"/>
    </row>
    <row r="929">
      <c r="N929" s="86"/>
    </row>
    <row r="930">
      <c r="N930" s="86"/>
    </row>
    <row r="931">
      <c r="N931" s="86"/>
    </row>
    <row r="932">
      <c r="N932" s="86"/>
    </row>
    <row r="933">
      <c r="N933" s="86"/>
    </row>
    <row r="934">
      <c r="N934" s="86"/>
    </row>
    <row r="935">
      <c r="N935" s="86"/>
    </row>
    <row r="936">
      <c r="N936" s="86"/>
    </row>
    <row r="937">
      <c r="N937" s="86"/>
    </row>
    <row r="938">
      <c r="N938" s="86"/>
    </row>
    <row r="939">
      <c r="N939" s="86"/>
    </row>
    <row r="940">
      <c r="N940" s="86"/>
    </row>
    <row r="941">
      <c r="N941" s="86"/>
    </row>
    <row r="942">
      <c r="N942" s="86"/>
    </row>
    <row r="943">
      <c r="N943" s="86"/>
    </row>
    <row r="944">
      <c r="N944" s="86"/>
    </row>
    <row r="945">
      <c r="N945" s="86"/>
    </row>
    <row r="946">
      <c r="N946" s="86"/>
    </row>
    <row r="947">
      <c r="N947" s="86"/>
    </row>
    <row r="948">
      <c r="N948" s="86"/>
    </row>
    <row r="949">
      <c r="N949" s="86"/>
    </row>
    <row r="950">
      <c r="N950" s="86"/>
    </row>
    <row r="951">
      <c r="N951" s="86"/>
    </row>
    <row r="952">
      <c r="N952" s="86"/>
    </row>
    <row r="953">
      <c r="N953" s="86"/>
    </row>
    <row r="954">
      <c r="N954" s="86"/>
    </row>
    <row r="955">
      <c r="N955" s="86"/>
    </row>
    <row r="956">
      <c r="N956" s="86"/>
    </row>
    <row r="957">
      <c r="N957" s="86"/>
    </row>
    <row r="958">
      <c r="N958" s="86"/>
    </row>
    <row r="959">
      <c r="N959" s="86"/>
    </row>
    <row r="960">
      <c r="N960" s="86"/>
    </row>
    <row r="961">
      <c r="N961" s="86"/>
    </row>
    <row r="962">
      <c r="N962" s="86"/>
    </row>
    <row r="963">
      <c r="N963" s="86"/>
    </row>
    <row r="964">
      <c r="N964" s="86"/>
    </row>
    <row r="965">
      <c r="N965" s="86"/>
    </row>
    <row r="966">
      <c r="N966" s="86"/>
    </row>
    <row r="967">
      <c r="N967" s="86"/>
    </row>
    <row r="968">
      <c r="N968" s="86"/>
    </row>
    <row r="969">
      <c r="N969" s="86"/>
    </row>
    <row r="970">
      <c r="N970" s="86"/>
    </row>
    <row r="971">
      <c r="N971" s="86"/>
    </row>
    <row r="972">
      <c r="N972" s="86"/>
    </row>
    <row r="973">
      <c r="N973" s="86"/>
    </row>
    <row r="974">
      <c r="N974" s="86"/>
    </row>
    <row r="975">
      <c r="N975" s="86"/>
    </row>
    <row r="976">
      <c r="N976" s="86"/>
    </row>
    <row r="977">
      <c r="N977" s="86"/>
    </row>
    <row r="978">
      <c r="N978" s="86"/>
    </row>
    <row r="979">
      <c r="N979" s="86"/>
    </row>
    <row r="980">
      <c r="N980" s="86"/>
    </row>
    <row r="981">
      <c r="N981" s="86"/>
    </row>
    <row r="982">
      <c r="N982" s="86"/>
    </row>
    <row r="983">
      <c r="N983" s="86"/>
    </row>
    <row r="984">
      <c r="N984" s="86"/>
    </row>
    <row r="985">
      <c r="N985" s="86"/>
    </row>
    <row r="986">
      <c r="N986" s="86"/>
    </row>
    <row r="987">
      <c r="N987" s="86"/>
    </row>
    <row r="988">
      <c r="N988" s="86"/>
    </row>
    <row r="989">
      <c r="N989" s="86"/>
    </row>
    <row r="990">
      <c r="N990" s="86"/>
    </row>
    <row r="991">
      <c r="N991" s="86"/>
    </row>
    <row r="992">
      <c r="N992" s="86"/>
    </row>
    <row r="993">
      <c r="N993" s="86"/>
    </row>
    <row r="994">
      <c r="N994" s="86"/>
    </row>
  </sheetData>
  <mergeCells count="30">
    <mergeCell ref="A1:B1"/>
    <mergeCell ref="B3:B7"/>
    <mergeCell ref="A9:B9"/>
    <mergeCell ref="B11:B15"/>
    <mergeCell ref="A17:C17"/>
    <mergeCell ref="A21:C21"/>
    <mergeCell ref="A22:E22"/>
    <mergeCell ref="A23:C23"/>
    <mergeCell ref="D3:D7"/>
    <mergeCell ref="F3:F7"/>
    <mergeCell ref="A8:I8"/>
    <mergeCell ref="C1:D1"/>
    <mergeCell ref="C9:D9"/>
    <mergeCell ref="D11:D15"/>
    <mergeCell ref="G9:H9"/>
    <mergeCell ref="F11:F15"/>
    <mergeCell ref="H11:H15"/>
    <mergeCell ref="J15:L15"/>
    <mergeCell ref="H16:I16"/>
    <mergeCell ref="H17:I17"/>
    <mergeCell ref="H18:I18"/>
    <mergeCell ref="Q21:Q22"/>
    <mergeCell ref="Q26:Q27"/>
    <mergeCell ref="E1:F1"/>
    <mergeCell ref="G1:H1"/>
    <mergeCell ref="J1:L14"/>
    <mergeCell ref="M1:M994"/>
    <mergeCell ref="N1:O1"/>
    <mergeCell ref="R1:S1"/>
    <mergeCell ref="H3:H7"/>
  </mergeCells>
  <hyperlinks>
    <hyperlink r:id="rId1" ref="J1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workbookViewId="0"/>
  </sheetViews>
  <sheetFormatPr customHeight="1" defaultColWidth="12.63" defaultRowHeight="15.75"/>
  <cols>
    <col customWidth="1" min="1" max="1" width="19.88"/>
    <col customWidth="1" min="2" max="2" width="2.25"/>
    <col customWidth="1" min="3" max="3" width="19.13"/>
    <col customWidth="1" min="4" max="4" width="2.75"/>
    <col customWidth="1" min="5" max="5" width="19.63"/>
    <col customWidth="1" min="6" max="6" width="2.63"/>
    <col customWidth="1" min="7" max="7" width="17.88"/>
    <col customWidth="1" min="8" max="8" width="2.5"/>
    <col customWidth="1" min="9" max="9" width="20.13"/>
    <col customWidth="1" min="10" max="10" width="3.88"/>
    <col customWidth="1" min="11" max="11" width="8.0"/>
    <col customWidth="1" min="12" max="12" width="3.63"/>
    <col customWidth="1" min="13" max="13" width="1.5"/>
    <col customWidth="1" min="14" max="14" width="28.0"/>
    <col customWidth="1" min="15" max="15" width="5.13"/>
    <col customWidth="1" min="16" max="16" width="27.13"/>
    <col customWidth="1" min="17" max="17" width="4.88"/>
    <col customWidth="1" min="18" max="18" width="26.25"/>
    <col customWidth="1" min="19" max="19" width="6.13"/>
    <col customWidth="1" min="20" max="20" width="26.13"/>
  </cols>
  <sheetData>
    <row r="1">
      <c r="A1" s="1" t="s">
        <v>59</v>
      </c>
      <c r="B1" s="2"/>
      <c r="C1" s="1" t="s">
        <v>1</v>
      </c>
      <c r="D1" s="3"/>
      <c r="E1" s="1" t="s">
        <v>2</v>
      </c>
      <c r="F1" s="2"/>
      <c r="G1" s="4" t="s">
        <v>3</v>
      </c>
      <c r="H1" s="2"/>
      <c r="I1" s="5" t="s">
        <v>73</v>
      </c>
      <c r="J1" s="6">
        <v>2028.0</v>
      </c>
      <c r="K1" s="7"/>
      <c r="L1" s="8"/>
      <c r="M1" s="9"/>
      <c r="N1" s="108" t="s">
        <v>391</v>
      </c>
      <c r="O1" s="109"/>
      <c r="P1" s="110"/>
      <c r="Q1" s="13"/>
      <c r="R1" s="14" t="s">
        <v>7</v>
      </c>
      <c r="S1" s="15"/>
      <c r="T1" s="16" t="s">
        <v>8</v>
      </c>
    </row>
    <row r="2">
      <c r="A2" s="26" t="s">
        <v>18</v>
      </c>
      <c r="B2" s="244"/>
      <c r="C2" s="26" t="s">
        <v>396</v>
      </c>
      <c r="D2" s="244"/>
      <c r="E2" s="18" t="s">
        <v>9</v>
      </c>
      <c r="F2" s="244"/>
      <c r="G2" s="26" t="s">
        <v>14</v>
      </c>
      <c r="H2" s="244"/>
      <c r="J2" s="19"/>
      <c r="L2" s="20"/>
      <c r="N2" s="231"/>
      <c r="O2" s="22" t="s">
        <v>11</v>
      </c>
      <c r="P2" s="232"/>
      <c r="Q2" s="24"/>
      <c r="R2" s="24"/>
      <c r="S2" s="24"/>
      <c r="T2" s="24"/>
    </row>
    <row r="3">
      <c r="B3" s="25"/>
      <c r="C3" s="18" t="s">
        <v>45</v>
      </c>
      <c r="D3" s="25"/>
      <c r="E3" s="31" t="s">
        <v>35</v>
      </c>
      <c r="F3" s="25"/>
      <c r="G3" s="26" t="s">
        <v>397</v>
      </c>
      <c r="H3" s="25"/>
      <c r="J3" s="19"/>
      <c r="L3" s="20"/>
      <c r="N3" s="27"/>
      <c r="O3" s="233"/>
      <c r="P3" s="29"/>
      <c r="Q3" s="24"/>
      <c r="R3" s="24"/>
      <c r="S3" s="24"/>
      <c r="T3" s="24"/>
    </row>
    <row r="4">
      <c r="B4" s="30"/>
      <c r="D4" s="30"/>
      <c r="E4" s="31" t="s">
        <v>15</v>
      </c>
      <c r="F4" s="30"/>
      <c r="H4" s="30"/>
      <c r="J4" s="19"/>
      <c r="L4" s="20"/>
      <c r="Q4" s="24"/>
      <c r="R4" s="24"/>
      <c r="S4" s="24"/>
      <c r="T4" s="24"/>
    </row>
    <row r="5">
      <c r="B5" s="30"/>
      <c r="D5" s="30"/>
      <c r="E5" s="18" t="s">
        <v>46</v>
      </c>
      <c r="F5" s="30"/>
      <c r="G5" s="32"/>
      <c r="H5" s="30"/>
      <c r="J5" s="19"/>
      <c r="L5" s="20"/>
      <c r="N5" s="41"/>
      <c r="O5" s="41"/>
      <c r="P5" s="41"/>
      <c r="Q5" s="24"/>
    </row>
    <row r="6">
      <c r="B6" s="30"/>
      <c r="D6" s="30"/>
      <c r="F6" s="30"/>
      <c r="H6" s="30"/>
      <c r="J6" s="19"/>
      <c r="L6" s="20"/>
    </row>
    <row r="7">
      <c r="B7" s="40"/>
      <c r="D7" s="40"/>
      <c r="F7" s="40"/>
      <c r="H7" s="40"/>
      <c r="J7" s="19"/>
      <c r="L7" s="20"/>
    </row>
    <row r="8">
      <c r="A8" s="42">
        <v>2028.0</v>
      </c>
      <c r="B8" s="43"/>
      <c r="C8" s="43"/>
      <c r="D8" s="43"/>
      <c r="E8" s="43"/>
      <c r="F8" s="43"/>
      <c r="G8" s="43"/>
      <c r="H8" s="43"/>
      <c r="I8" s="44"/>
      <c r="J8" s="19"/>
      <c r="L8" s="20"/>
      <c r="N8" s="41"/>
      <c r="O8" s="41"/>
    </row>
    <row r="9">
      <c r="A9" s="45" t="s">
        <v>22</v>
      </c>
      <c r="B9" s="46"/>
      <c r="C9" s="47" t="s">
        <v>78</v>
      </c>
      <c r="D9" s="46"/>
      <c r="E9" s="48" t="s">
        <v>24</v>
      </c>
      <c r="F9" s="49"/>
      <c r="G9" s="47" t="s">
        <v>84</v>
      </c>
      <c r="H9" s="46"/>
      <c r="I9" s="50" t="s">
        <v>26</v>
      </c>
      <c r="J9" s="19"/>
      <c r="L9" s="20"/>
      <c r="N9" s="41"/>
      <c r="O9" s="41"/>
      <c r="P9" s="41"/>
    </row>
    <row r="10">
      <c r="A10" s="26" t="s">
        <v>119</v>
      </c>
      <c r="B10" s="245"/>
      <c r="D10" s="245"/>
      <c r="E10" s="246" t="s">
        <v>400</v>
      </c>
      <c r="F10" s="247"/>
      <c r="G10" s="26" t="s">
        <v>393</v>
      </c>
      <c r="H10" s="245"/>
      <c r="I10" s="18" t="s">
        <v>32</v>
      </c>
      <c r="J10" s="19"/>
      <c r="L10" s="20"/>
      <c r="N10" s="41"/>
    </row>
    <row r="11">
      <c r="B11" s="25"/>
      <c r="D11" s="25"/>
      <c r="E11" s="134" t="s">
        <v>36</v>
      </c>
      <c r="F11" s="25"/>
      <c r="G11" s="26" t="s">
        <v>128</v>
      </c>
      <c r="H11" s="25"/>
      <c r="I11" s="248" t="s">
        <v>42</v>
      </c>
      <c r="J11" s="19"/>
      <c r="L11" s="20"/>
    </row>
    <row r="12">
      <c r="A12" s="18"/>
      <c r="B12" s="30"/>
      <c r="D12" s="30"/>
      <c r="E12" s="18" t="s">
        <v>43</v>
      </c>
      <c r="F12" s="30"/>
      <c r="G12" s="18" t="s">
        <v>40</v>
      </c>
      <c r="H12" s="30"/>
      <c r="I12" s="60"/>
      <c r="J12" s="19"/>
      <c r="L12" s="20"/>
      <c r="N12" s="41"/>
      <c r="O12" s="41"/>
      <c r="P12" s="41"/>
    </row>
    <row r="13">
      <c r="B13" s="30"/>
      <c r="C13" s="24"/>
      <c r="D13" s="30"/>
      <c r="E13" s="31" t="s">
        <v>101</v>
      </c>
      <c r="F13" s="30"/>
      <c r="H13" s="30"/>
      <c r="I13" s="236"/>
      <c r="J13" s="19"/>
      <c r="L13" s="20"/>
    </row>
    <row r="14">
      <c r="A14" s="24"/>
      <c r="B14" s="30"/>
      <c r="C14" s="24"/>
      <c r="D14" s="30"/>
      <c r="E14" s="18" t="s">
        <v>39</v>
      </c>
      <c r="F14" s="30"/>
      <c r="G14" s="41"/>
      <c r="H14" s="30"/>
      <c r="I14" s="237"/>
      <c r="J14" s="63"/>
      <c r="K14" s="64"/>
      <c r="L14" s="46"/>
      <c r="N14" s="41"/>
      <c r="O14" s="41"/>
      <c r="P14" s="41"/>
    </row>
    <row r="15">
      <c r="A15" s="65"/>
      <c r="B15" s="66"/>
      <c r="C15" s="67"/>
      <c r="D15" s="66"/>
      <c r="E15" s="67"/>
      <c r="F15" s="66"/>
      <c r="G15" s="67"/>
      <c r="H15" s="66"/>
      <c r="I15" s="238"/>
      <c r="J15" s="239" t="s">
        <v>47</v>
      </c>
      <c r="N15" s="41"/>
    </row>
    <row r="16">
      <c r="A16" s="18" t="s">
        <v>48</v>
      </c>
      <c r="B16" s="18"/>
      <c r="C16" s="72"/>
      <c r="D16" s="18"/>
      <c r="E16" s="18"/>
      <c r="F16" s="24"/>
      <c r="G16" s="18"/>
      <c r="H16" s="241" t="s">
        <v>49</v>
      </c>
      <c r="I16" s="76"/>
      <c r="O16" s="41"/>
    </row>
    <row r="17">
      <c r="A17" s="18" t="s">
        <v>401</v>
      </c>
      <c r="B17" s="24"/>
      <c r="C17" s="72"/>
      <c r="D17" s="18"/>
      <c r="E17" s="18"/>
      <c r="F17" s="18"/>
      <c r="G17" s="18"/>
      <c r="H17" s="75" t="s">
        <v>51</v>
      </c>
      <c r="I17" s="76"/>
      <c r="N17" s="41"/>
      <c r="O17" s="41"/>
      <c r="P17" s="41"/>
    </row>
    <row r="18">
      <c r="A18" s="18" t="s">
        <v>402</v>
      </c>
      <c r="B18" s="18"/>
      <c r="C18" s="72"/>
      <c r="D18" s="18"/>
      <c r="E18" s="18"/>
      <c r="F18" s="18"/>
      <c r="G18" s="18"/>
      <c r="H18" s="77" t="s">
        <v>53</v>
      </c>
      <c r="I18" s="78"/>
      <c r="L18" s="79"/>
      <c r="N18" s="41"/>
    </row>
    <row r="19">
      <c r="A19" s="80"/>
      <c r="B19" s="81"/>
      <c r="C19" s="82"/>
      <c r="D19" s="24"/>
      <c r="E19" s="24"/>
      <c r="F19" s="18"/>
      <c r="G19" s="18"/>
      <c r="H19" s="24"/>
      <c r="I19" s="24"/>
      <c r="L19" s="79"/>
      <c r="O19" s="41"/>
      <c r="P19" s="41"/>
      <c r="Q19" s="83"/>
    </row>
    <row r="20">
      <c r="F20" s="79"/>
      <c r="G20" s="79"/>
      <c r="L20" s="79"/>
      <c r="N20" s="41"/>
      <c r="O20" s="41"/>
      <c r="P20" s="41"/>
      <c r="Q20" s="83"/>
    </row>
    <row r="21">
      <c r="A21" s="84"/>
      <c r="L21" s="79"/>
      <c r="N21" s="41"/>
      <c r="O21" s="41"/>
      <c r="P21" s="41"/>
      <c r="Q21" s="83"/>
    </row>
    <row r="22">
      <c r="F22" s="79"/>
      <c r="G22" s="79"/>
      <c r="P22" s="41"/>
    </row>
    <row r="23">
      <c r="A23" s="85"/>
      <c r="F23" s="79"/>
      <c r="G23" s="79"/>
      <c r="P23" s="41"/>
      <c r="Q23" s="83"/>
    </row>
    <row r="24">
      <c r="F24" s="79"/>
      <c r="G24" s="79"/>
      <c r="N24" s="41"/>
      <c r="O24" s="41"/>
      <c r="P24" s="41"/>
    </row>
    <row r="25">
      <c r="A25" s="79"/>
      <c r="B25" s="79"/>
      <c r="C25" s="79"/>
      <c r="D25" s="79"/>
      <c r="E25" s="79"/>
      <c r="F25" s="79"/>
      <c r="G25" s="79"/>
    </row>
    <row r="26">
      <c r="A26" s="79"/>
      <c r="B26" s="79"/>
      <c r="C26" s="79"/>
      <c r="D26" s="79"/>
      <c r="E26" s="79"/>
      <c r="F26" s="79"/>
      <c r="G26" s="79"/>
      <c r="N26" s="41"/>
      <c r="O26" s="41"/>
      <c r="P26" s="41"/>
    </row>
    <row r="27">
      <c r="N27" s="41"/>
      <c r="P27" s="41"/>
    </row>
    <row r="29">
      <c r="N29" s="41"/>
      <c r="O29" s="41"/>
      <c r="P29" s="41"/>
    </row>
    <row r="30">
      <c r="N30" s="41"/>
      <c r="P30" s="41"/>
    </row>
    <row r="31">
      <c r="P31" s="41"/>
    </row>
    <row r="32">
      <c r="N32" s="41"/>
      <c r="P32" s="41"/>
    </row>
    <row r="33">
      <c r="P33" s="41"/>
    </row>
    <row r="34">
      <c r="P34" s="41"/>
    </row>
    <row r="35">
      <c r="P35" s="41"/>
    </row>
    <row r="37">
      <c r="N37" s="41"/>
      <c r="O37" s="41"/>
      <c r="P37" s="41"/>
    </row>
    <row r="38">
      <c r="N38" s="41"/>
    </row>
    <row r="39">
      <c r="N39" s="41"/>
      <c r="P39" s="41"/>
    </row>
    <row r="40">
      <c r="N40" s="41"/>
      <c r="P40" s="41"/>
    </row>
    <row r="41">
      <c r="N41" s="41"/>
      <c r="P41" s="41"/>
    </row>
    <row r="42">
      <c r="P42" s="41"/>
    </row>
    <row r="43">
      <c r="N43" s="41"/>
      <c r="O43" s="41"/>
      <c r="P43" s="41"/>
    </row>
    <row r="44">
      <c r="N44" s="41"/>
      <c r="P44" s="41"/>
    </row>
    <row r="46">
      <c r="N46" s="86"/>
    </row>
    <row r="47">
      <c r="N47" s="86"/>
    </row>
    <row r="48">
      <c r="N48" s="86"/>
    </row>
    <row r="49">
      <c r="N49" s="86"/>
    </row>
    <row r="50">
      <c r="N50" s="86"/>
    </row>
    <row r="51">
      <c r="N51" s="86"/>
    </row>
    <row r="52">
      <c r="N52" s="86"/>
    </row>
    <row r="53">
      <c r="N53" s="86"/>
    </row>
    <row r="54">
      <c r="N54" s="86"/>
    </row>
    <row r="55">
      <c r="N55" s="86"/>
    </row>
    <row r="56">
      <c r="N56" s="86"/>
    </row>
    <row r="57">
      <c r="N57" s="86"/>
    </row>
    <row r="58">
      <c r="N58" s="86"/>
    </row>
    <row r="59">
      <c r="N59" s="86"/>
    </row>
    <row r="60">
      <c r="N60" s="86"/>
    </row>
    <row r="61">
      <c r="N61" s="86"/>
    </row>
    <row r="62">
      <c r="N62" s="86"/>
    </row>
    <row r="63">
      <c r="N63" s="86"/>
    </row>
    <row r="64">
      <c r="N64" s="86"/>
    </row>
    <row r="65">
      <c r="N65" s="86"/>
    </row>
    <row r="66">
      <c r="N66" s="86"/>
    </row>
    <row r="67">
      <c r="N67" s="86"/>
    </row>
    <row r="68">
      <c r="N68" s="86"/>
    </row>
    <row r="69">
      <c r="N69" s="86"/>
    </row>
    <row r="70">
      <c r="N70" s="86"/>
    </row>
    <row r="71">
      <c r="N71" s="86"/>
    </row>
    <row r="72">
      <c r="N72" s="86"/>
    </row>
    <row r="73">
      <c r="N73" s="86"/>
    </row>
    <row r="74">
      <c r="N74" s="86"/>
    </row>
    <row r="75">
      <c r="N75" s="86"/>
    </row>
    <row r="76">
      <c r="N76" s="86"/>
    </row>
    <row r="77">
      <c r="N77" s="86"/>
    </row>
    <row r="78">
      <c r="N78" s="86"/>
    </row>
    <row r="79">
      <c r="N79" s="86"/>
    </row>
    <row r="80">
      <c r="N80" s="86"/>
    </row>
    <row r="81">
      <c r="N81" s="86"/>
    </row>
    <row r="82">
      <c r="N82" s="86"/>
    </row>
    <row r="83">
      <c r="N83" s="86"/>
    </row>
    <row r="84">
      <c r="N84" s="86"/>
    </row>
    <row r="85">
      <c r="N85" s="86"/>
    </row>
    <row r="86">
      <c r="N86" s="86"/>
    </row>
    <row r="87">
      <c r="N87" s="86"/>
    </row>
    <row r="88">
      <c r="N88" s="86"/>
    </row>
    <row r="89">
      <c r="N89" s="86"/>
    </row>
    <row r="90">
      <c r="N90" s="86"/>
    </row>
    <row r="91">
      <c r="N91" s="86"/>
    </row>
    <row r="92">
      <c r="N92" s="86"/>
    </row>
    <row r="93">
      <c r="N93" s="86"/>
    </row>
    <row r="94">
      <c r="N94" s="86"/>
    </row>
    <row r="95">
      <c r="N95" s="86"/>
    </row>
    <row r="96">
      <c r="N96" s="86"/>
    </row>
    <row r="97">
      <c r="N97" s="86"/>
    </row>
    <row r="98">
      <c r="N98" s="86"/>
    </row>
    <row r="99">
      <c r="N99" s="86"/>
    </row>
    <row r="100">
      <c r="N100" s="86"/>
    </row>
    <row r="101">
      <c r="N101" s="86"/>
    </row>
    <row r="102">
      <c r="N102" s="86"/>
    </row>
    <row r="103">
      <c r="N103" s="86"/>
    </row>
    <row r="104">
      <c r="N104" s="86"/>
    </row>
    <row r="105">
      <c r="N105" s="86"/>
    </row>
    <row r="106">
      <c r="N106" s="86"/>
    </row>
    <row r="107">
      <c r="N107" s="86"/>
    </row>
    <row r="108">
      <c r="N108" s="86"/>
    </row>
    <row r="109">
      <c r="N109" s="86"/>
    </row>
    <row r="110">
      <c r="N110" s="86"/>
    </row>
    <row r="111">
      <c r="N111" s="86"/>
    </row>
    <row r="112">
      <c r="N112" s="86"/>
    </row>
    <row r="113">
      <c r="N113" s="86"/>
    </row>
    <row r="114">
      <c r="N114" s="86"/>
    </row>
    <row r="115">
      <c r="N115" s="86"/>
    </row>
    <row r="116">
      <c r="N116" s="86"/>
    </row>
    <row r="117">
      <c r="N117" s="86"/>
    </row>
    <row r="118">
      <c r="N118" s="86"/>
    </row>
    <row r="119">
      <c r="N119" s="86"/>
    </row>
    <row r="120">
      <c r="N120" s="86"/>
    </row>
    <row r="121">
      <c r="N121" s="86"/>
    </row>
    <row r="122">
      <c r="N122" s="86"/>
    </row>
    <row r="123">
      <c r="N123" s="86"/>
    </row>
    <row r="124">
      <c r="N124" s="86"/>
    </row>
    <row r="125">
      <c r="N125" s="86"/>
    </row>
    <row r="126">
      <c r="N126" s="86"/>
    </row>
    <row r="127">
      <c r="N127" s="86"/>
    </row>
    <row r="128">
      <c r="N128" s="86"/>
    </row>
    <row r="129">
      <c r="N129" s="86"/>
    </row>
    <row r="130">
      <c r="N130" s="86"/>
    </row>
    <row r="131">
      <c r="N131" s="86"/>
    </row>
    <row r="132">
      <c r="N132" s="86"/>
    </row>
    <row r="133">
      <c r="N133" s="86"/>
    </row>
    <row r="134">
      <c r="N134" s="86"/>
    </row>
    <row r="135">
      <c r="N135" s="86"/>
    </row>
    <row r="136">
      <c r="N136" s="86"/>
    </row>
    <row r="137">
      <c r="N137" s="86"/>
    </row>
    <row r="138">
      <c r="N138" s="86"/>
    </row>
    <row r="139">
      <c r="N139" s="86"/>
    </row>
    <row r="140">
      <c r="N140" s="86"/>
    </row>
    <row r="141">
      <c r="N141" s="86"/>
    </row>
    <row r="142">
      <c r="N142" s="86"/>
    </row>
    <row r="143">
      <c r="N143" s="86"/>
    </row>
    <row r="144">
      <c r="N144" s="86"/>
    </row>
    <row r="145">
      <c r="N145" s="86"/>
    </row>
    <row r="146">
      <c r="N146" s="86"/>
    </row>
    <row r="147">
      <c r="N147" s="86"/>
    </row>
    <row r="148">
      <c r="N148" s="86"/>
    </row>
    <row r="149">
      <c r="N149" s="86"/>
    </row>
    <row r="150">
      <c r="N150" s="86"/>
    </row>
    <row r="151">
      <c r="N151" s="86"/>
    </row>
    <row r="152">
      <c r="N152" s="86"/>
    </row>
    <row r="153">
      <c r="N153" s="86"/>
    </row>
    <row r="154">
      <c r="N154" s="86"/>
    </row>
    <row r="155">
      <c r="N155" s="86"/>
    </row>
    <row r="156">
      <c r="N156" s="86"/>
    </row>
    <row r="157">
      <c r="N157" s="86"/>
    </row>
    <row r="158">
      <c r="N158" s="86"/>
    </row>
    <row r="159">
      <c r="N159" s="86"/>
    </row>
    <row r="160">
      <c r="N160" s="86"/>
    </row>
    <row r="161">
      <c r="N161" s="86"/>
    </row>
    <row r="162">
      <c r="N162" s="86"/>
    </row>
    <row r="163">
      <c r="N163" s="86"/>
    </row>
    <row r="164">
      <c r="N164" s="86"/>
    </row>
    <row r="165">
      <c r="N165" s="86"/>
    </row>
    <row r="166">
      <c r="N166" s="86"/>
    </row>
    <row r="167">
      <c r="N167" s="86"/>
    </row>
    <row r="168">
      <c r="N168" s="86"/>
    </row>
    <row r="169">
      <c r="N169" s="86"/>
    </row>
    <row r="170">
      <c r="N170" s="86"/>
    </row>
    <row r="171">
      <c r="N171" s="86"/>
    </row>
    <row r="172">
      <c r="N172" s="86"/>
    </row>
    <row r="173">
      <c r="N173" s="86"/>
    </row>
    <row r="174">
      <c r="N174" s="86"/>
    </row>
    <row r="175">
      <c r="N175" s="86"/>
    </row>
    <row r="176">
      <c r="N176" s="86"/>
    </row>
    <row r="177">
      <c r="N177" s="86"/>
    </row>
    <row r="178">
      <c r="N178" s="86"/>
    </row>
    <row r="179">
      <c r="N179" s="86"/>
    </row>
    <row r="180">
      <c r="N180" s="86"/>
    </row>
    <row r="181">
      <c r="N181" s="86"/>
    </row>
    <row r="182">
      <c r="N182" s="86"/>
    </row>
    <row r="183">
      <c r="N183" s="86"/>
    </row>
    <row r="184">
      <c r="N184" s="86"/>
    </row>
    <row r="185">
      <c r="N185" s="86"/>
    </row>
    <row r="186">
      <c r="N186" s="86"/>
    </row>
    <row r="187">
      <c r="N187" s="86"/>
    </row>
    <row r="188">
      <c r="N188" s="86"/>
    </row>
    <row r="189">
      <c r="N189" s="86"/>
    </row>
    <row r="190">
      <c r="N190" s="86"/>
    </row>
    <row r="191">
      <c r="N191" s="86"/>
    </row>
    <row r="192">
      <c r="N192" s="86"/>
    </row>
    <row r="193">
      <c r="N193" s="86"/>
    </row>
    <row r="194">
      <c r="N194" s="86"/>
    </row>
    <row r="195">
      <c r="N195" s="86"/>
    </row>
    <row r="196">
      <c r="N196" s="86"/>
    </row>
    <row r="197">
      <c r="N197" s="86"/>
    </row>
    <row r="198">
      <c r="N198" s="86"/>
    </row>
    <row r="199">
      <c r="N199" s="86"/>
    </row>
    <row r="200">
      <c r="N200" s="86"/>
    </row>
    <row r="201">
      <c r="N201" s="86"/>
    </row>
    <row r="202">
      <c r="N202" s="86"/>
    </row>
    <row r="203">
      <c r="N203" s="86"/>
    </row>
    <row r="204">
      <c r="N204" s="86"/>
    </row>
    <row r="205">
      <c r="N205" s="86"/>
    </row>
    <row r="206">
      <c r="N206" s="86"/>
    </row>
    <row r="207">
      <c r="N207" s="86"/>
    </row>
    <row r="208">
      <c r="N208" s="86"/>
    </row>
    <row r="209">
      <c r="N209" s="86"/>
    </row>
    <row r="210">
      <c r="N210" s="86"/>
    </row>
    <row r="211">
      <c r="N211" s="86"/>
    </row>
    <row r="212">
      <c r="N212" s="86"/>
    </row>
    <row r="213">
      <c r="N213" s="86"/>
    </row>
    <row r="214">
      <c r="N214" s="86"/>
    </row>
    <row r="215">
      <c r="N215" s="86"/>
    </row>
    <row r="216">
      <c r="N216" s="86"/>
    </row>
    <row r="217">
      <c r="N217" s="86"/>
    </row>
    <row r="218">
      <c r="N218" s="86"/>
    </row>
    <row r="219">
      <c r="N219" s="86"/>
    </row>
    <row r="220">
      <c r="N220" s="86"/>
    </row>
    <row r="221">
      <c r="N221" s="86"/>
    </row>
    <row r="222">
      <c r="N222" s="86"/>
    </row>
    <row r="223">
      <c r="N223" s="86"/>
    </row>
    <row r="224">
      <c r="N224" s="86"/>
    </row>
    <row r="225">
      <c r="N225" s="86"/>
    </row>
    <row r="226">
      <c r="N226" s="86"/>
    </row>
    <row r="227">
      <c r="N227" s="86"/>
    </row>
    <row r="228">
      <c r="N228" s="86"/>
    </row>
    <row r="229">
      <c r="N229" s="86"/>
    </row>
    <row r="230">
      <c r="N230" s="86"/>
    </row>
    <row r="231">
      <c r="N231" s="86"/>
    </row>
    <row r="232">
      <c r="N232" s="86"/>
    </row>
    <row r="233">
      <c r="N233" s="86"/>
    </row>
    <row r="234">
      <c r="N234" s="86"/>
    </row>
    <row r="235">
      <c r="N235" s="86"/>
    </row>
    <row r="236">
      <c r="N236" s="86"/>
    </row>
    <row r="237">
      <c r="N237" s="86"/>
    </row>
    <row r="238">
      <c r="N238" s="86"/>
    </row>
    <row r="239">
      <c r="N239" s="86"/>
    </row>
    <row r="240">
      <c r="N240" s="86"/>
    </row>
    <row r="241">
      <c r="N241" s="86"/>
    </row>
    <row r="242">
      <c r="N242" s="86"/>
    </row>
    <row r="243">
      <c r="N243" s="86"/>
    </row>
    <row r="244">
      <c r="N244" s="86"/>
    </row>
    <row r="245">
      <c r="N245" s="86"/>
    </row>
    <row r="246">
      <c r="N246" s="86"/>
    </row>
    <row r="247">
      <c r="N247" s="86"/>
    </row>
    <row r="248">
      <c r="N248" s="86"/>
    </row>
    <row r="249">
      <c r="N249" s="86"/>
    </row>
    <row r="250">
      <c r="N250" s="86"/>
    </row>
    <row r="251">
      <c r="N251" s="86"/>
    </row>
    <row r="252">
      <c r="N252" s="86"/>
    </row>
    <row r="253">
      <c r="N253" s="86"/>
    </row>
    <row r="254">
      <c r="N254" s="86"/>
    </row>
    <row r="255">
      <c r="N255" s="86"/>
    </row>
    <row r="256">
      <c r="N256" s="86"/>
    </row>
    <row r="257">
      <c r="N257" s="86"/>
    </row>
    <row r="258">
      <c r="N258" s="86"/>
    </row>
    <row r="259">
      <c r="N259" s="86"/>
    </row>
    <row r="260">
      <c r="N260" s="86"/>
    </row>
    <row r="261">
      <c r="N261" s="86"/>
    </row>
    <row r="262">
      <c r="N262" s="86"/>
    </row>
    <row r="263">
      <c r="N263" s="86"/>
    </row>
    <row r="264">
      <c r="N264" s="86"/>
    </row>
    <row r="265">
      <c r="N265" s="86"/>
    </row>
    <row r="266">
      <c r="N266" s="86"/>
    </row>
    <row r="267">
      <c r="N267" s="86"/>
    </row>
    <row r="268">
      <c r="N268" s="86"/>
    </row>
    <row r="269">
      <c r="N269" s="86"/>
    </row>
    <row r="270">
      <c r="N270" s="86"/>
    </row>
    <row r="271">
      <c r="N271" s="86"/>
    </row>
    <row r="272">
      <c r="N272" s="86"/>
    </row>
    <row r="273">
      <c r="N273" s="86"/>
    </row>
    <row r="274">
      <c r="N274" s="86"/>
    </row>
    <row r="275">
      <c r="N275" s="86"/>
    </row>
    <row r="276">
      <c r="N276" s="86"/>
    </row>
    <row r="277">
      <c r="N277" s="86"/>
    </row>
    <row r="278">
      <c r="N278" s="86"/>
    </row>
    <row r="279">
      <c r="N279" s="86"/>
    </row>
    <row r="280">
      <c r="N280" s="86"/>
    </row>
    <row r="281">
      <c r="N281" s="86"/>
    </row>
    <row r="282">
      <c r="N282" s="86"/>
    </row>
    <row r="283">
      <c r="N283" s="86"/>
    </row>
    <row r="284">
      <c r="N284" s="86"/>
    </row>
    <row r="285">
      <c r="N285" s="86"/>
    </row>
    <row r="286">
      <c r="N286" s="86"/>
    </row>
    <row r="287">
      <c r="N287" s="86"/>
    </row>
    <row r="288">
      <c r="N288" s="86"/>
    </row>
    <row r="289">
      <c r="N289" s="86"/>
    </row>
    <row r="290">
      <c r="N290" s="86"/>
    </row>
    <row r="291">
      <c r="N291" s="86"/>
    </row>
    <row r="292">
      <c r="N292" s="86"/>
    </row>
    <row r="293">
      <c r="N293" s="86"/>
    </row>
    <row r="294">
      <c r="N294" s="86"/>
    </row>
    <row r="295">
      <c r="N295" s="86"/>
    </row>
    <row r="296">
      <c r="N296" s="86"/>
    </row>
    <row r="297">
      <c r="N297" s="86"/>
    </row>
    <row r="298">
      <c r="N298" s="86"/>
    </row>
    <row r="299">
      <c r="N299" s="86"/>
    </row>
    <row r="300">
      <c r="N300" s="86"/>
    </row>
    <row r="301">
      <c r="N301" s="86"/>
    </row>
    <row r="302">
      <c r="N302" s="86"/>
    </row>
    <row r="303">
      <c r="N303" s="86"/>
    </row>
    <row r="304">
      <c r="N304" s="86"/>
    </row>
    <row r="305">
      <c r="N305" s="86"/>
    </row>
    <row r="306">
      <c r="N306" s="86"/>
    </row>
    <row r="307">
      <c r="N307" s="86"/>
    </row>
    <row r="308">
      <c r="N308" s="86"/>
    </row>
    <row r="309">
      <c r="N309" s="86"/>
    </row>
    <row r="310">
      <c r="N310" s="86"/>
    </row>
    <row r="311">
      <c r="N311" s="86"/>
    </row>
    <row r="312">
      <c r="N312" s="86"/>
    </row>
    <row r="313">
      <c r="N313" s="86"/>
    </row>
    <row r="314">
      <c r="N314" s="86"/>
    </row>
    <row r="315">
      <c r="N315" s="86"/>
    </row>
    <row r="316">
      <c r="N316" s="86"/>
    </row>
    <row r="317">
      <c r="N317" s="86"/>
    </row>
    <row r="318">
      <c r="N318" s="86"/>
    </row>
    <row r="319">
      <c r="N319" s="86"/>
    </row>
    <row r="320">
      <c r="N320" s="86"/>
    </row>
    <row r="321">
      <c r="N321" s="86"/>
    </row>
    <row r="322">
      <c r="N322" s="86"/>
    </row>
    <row r="323">
      <c r="N323" s="86"/>
    </row>
    <row r="324">
      <c r="N324" s="86"/>
    </row>
    <row r="325">
      <c r="N325" s="86"/>
    </row>
    <row r="326">
      <c r="N326" s="86"/>
    </row>
    <row r="327">
      <c r="N327" s="86"/>
    </row>
    <row r="328">
      <c r="N328" s="86"/>
    </row>
    <row r="329">
      <c r="N329" s="86"/>
    </row>
    <row r="330">
      <c r="N330" s="86"/>
    </row>
    <row r="331">
      <c r="N331" s="86"/>
    </row>
    <row r="332">
      <c r="N332" s="86"/>
    </row>
    <row r="333">
      <c r="N333" s="86"/>
    </row>
    <row r="334">
      <c r="N334" s="86"/>
    </row>
    <row r="335">
      <c r="N335" s="86"/>
    </row>
    <row r="336">
      <c r="N336" s="86"/>
    </row>
    <row r="337">
      <c r="N337" s="86"/>
    </row>
    <row r="338">
      <c r="N338" s="86"/>
    </row>
    <row r="339">
      <c r="N339" s="86"/>
    </row>
    <row r="340">
      <c r="N340" s="86"/>
    </row>
    <row r="341">
      <c r="N341" s="86"/>
    </row>
    <row r="342">
      <c r="N342" s="86"/>
    </row>
    <row r="343">
      <c r="N343" s="86"/>
    </row>
    <row r="344">
      <c r="N344" s="86"/>
    </row>
    <row r="345">
      <c r="N345" s="86"/>
    </row>
    <row r="346">
      <c r="N346" s="86"/>
    </row>
    <row r="347">
      <c r="N347" s="86"/>
    </row>
    <row r="348">
      <c r="N348" s="86"/>
    </row>
    <row r="349">
      <c r="N349" s="86"/>
    </row>
    <row r="350">
      <c r="N350" s="86"/>
    </row>
    <row r="351">
      <c r="N351" s="86"/>
    </row>
    <row r="352">
      <c r="N352" s="86"/>
    </row>
    <row r="353">
      <c r="N353" s="86"/>
    </row>
    <row r="354">
      <c r="N354" s="86"/>
    </row>
    <row r="355">
      <c r="N355" s="86"/>
    </row>
    <row r="356">
      <c r="N356" s="86"/>
    </row>
    <row r="357">
      <c r="N357" s="86"/>
    </row>
    <row r="358">
      <c r="N358" s="86"/>
    </row>
    <row r="359">
      <c r="N359" s="86"/>
    </row>
    <row r="360">
      <c r="N360" s="86"/>
    </row>
    <row r="361">
      <c r="N361" s="86"/>
    </row>
    <row r="362">
      <c r="N362" s="86"/>
    </row>
    <row r="363">
      <c r="N363" s="86"/>
    </row>
    <row r="364">
      <c r="N364" s="86"/>
    </row>
    <row r="365">
      <c r="N365" s="86"/>
    </row>
    <row r="366">
      <c r="N366" s="86"/>
    </row>
    <row r="367">
      <c r="N367" s="86"/>
    </row>
    <row r="368">
      <c r="N368" s="86"/>
    </row>
    <row r="369">
      <c r="N369" s="86"/>
    </row>
    <row r="370">
      <c r="N370" s="86"/>
    </row>
    <row r="371">
      <c r="N371" s="86"/>
    </row>
    <row r="372">
      <c r="N372" s="86"/>
    </row>
    <row r="373">
      <c r="N373" s="86"/>
    </row>
    <row r="374">
      <c r="N374" s="86"/>
    </row>
    <row r="375">
      <c r="N375" s="86"/>
    </row>
    <row r="376">
      <c r="N376" s="86"/>
    </row>
    <row r="377">
      <c r="N377" s="86"/>
    </row>
    <row r="378">
      <c r="N378" s="86"/>
    </row>
    <row r="379">
      <c r="N379" s="86"/>
    </row>
    <row r="380">
      <c r="N380" s="86"/>
    </row>
    <row r="381">
      <c r="N381" s="86"/>
    </row>
    <row r="382">
      <c r="N382" s="86"/>
    </row>
    <row r="383">
      <c r="N383" s="86"/>
    </row>
    <row r="384">
      <c r="N384" s="86"/>
    </row>
    <row r="385">
      <c r="N385" s="86"/>
    </row>
    <row r="386">
      <c r="N386" s="86"/>
    </row>
    <row r="387">
      <c r="N387" s="86"/>
    </row>
    <row r="388">
      <c r="N388" s="86"/>
    </row>
    <row r="389">
      <c r="N389" s="86"/>
    </row>
    <row r="390">
      <c r="N390" s="86"/>
    </row>
    <row r="391">
      <c r="N391" s="86"/>
    </row>
    <row r="392">
      <c r="N392" s="86"/>
    </row>
    <row r="393">
      <c r="N393" s="86"/>
    </row>
    <row r="394">
      <c r="N394" s="86"/>
    </row>
    <row r="395">
      <c r="N395" s="86"/>
    </row>
    <row r="396">
      <c r="N396" s="86"/>
    </row>
    <row r="397">
      <c r="N397" s="86"/>
    </row>
    <row r="398">
      <c r="N398" s="86"/>
    </row>
    <row r="399">
      <c r="N399" s="86"/>
    </row>
    <row r="400">
      <c r="N400" s="86"/>
    </row>
    <row r="401">
      <c r="N401" s="86"/>
    </row>
    <row r="402">
      <c r="N402" s="86"/>
    </row>
    <row r="403">
      <c r="N403" s="86"/>
    </row>
    <row r="404">
      <c r="N404" s="86"/>
    </row>
    <row r="405">
      <c r="N405" s="86"/>
    </row>
    <row r="406">
      <c r="N406" s="86"/>
    </row>
    <row r="407">
      <c r="N407" s="86"/>
    </row>
    <row r="408">
      <c r="N408" s="86"/>
    </row>
    <row r="409">
      <c r="N409" s="86"/>
    </row>
    <row r="410">
      <c r="N410" s="86"/>
    </row>
    <row r="411">
      <c r="N411" s="86"/>
    </row>
    <row r="412">
      <c r="N412" s="86"/>
    </row>
    <row r="413">
      <c r="N413" s="86"/>
    </row>
    <row r="414">
      <c r="N414" s="86"/>
    </row>
    <row r="415">
      <c r="N415" s="86"/>
    </row>
    <row r="416">
      <c r="N416" s="86"/>
    </row>
    <row r="417">
      <c r="N417" s="86"/>
    </row>
    <row r="418">
      <c r="N418" s="86"/>
    </row>
    <row r="419">
      <c r="N419" s="86"/>
    </row>
    <row r="420">
      <c r="N420" s="86"/>
    </row>
    <row r="421">
      <c r="N421" s="86"/>
    </row>
    <row r="422">
      <c r="N422" s="86"/>
    </row>
    <row r="423">
      <c r="N423" s="86"/>
    </row>
    <row r="424">
      <c r="N424" s="86"/>
    </row>
    <row r="425">
      <c r="N425" s="86"/>
    </row>
    <row r="426">
      <c r="N426" s="86"/>
    </row>
    <row r="427">
      <c r="N427" s="86"/>
    </row>
    <row r="428">
      <c r="N428" s="86"/>
    </row>
    <row r="429">
      <c r="N429" s="86"/>
    </row>
    <row r="430">
      <c r="N430" s="86"/>
    </row>
    <row r="431">
      <c r="N431" s="86"/>
    </row>
    <row r="432">
      <c r="N432" s="86"/>
    </row>
    <row r="433">
      <c r="N433" s="86"/>
    </row>
    <row r="434">
      <c r="N434" s="86"/>
    </row>
    <row r="435">
      <c r="N435" s="86"/>
    </row>
    <row r="436">
      <c r="N436" s="86"/>
    </row>
    <row r="437">
      <c r="N437" s="86"/>
    </row>
    <row r="438">
      <c r="N438" s="86"/>
    </row>
    <row r="439">
      <c r="N439" s="86"/>
    </row>
    <row r="440">
      <c r="N440" s="86"/>
    </row>
    <row r="441">
      <c r="N441" s="86"/>
    </row>
    <row r="442">
      <c r="N442" s="86"/>
    </row>
    <row r="443">
      <c r="N443" s="86"/>
    </row>
    <row r="444">
      <c r="N444" s="86"/>
    </row>
    <row r="445">
      <c r="N445" s="86"/>
    </row>
    <row r="446">
      <c r="N446" s="86"/>
    </row>
    <row r="447">
      <c r="N447" s="86"/>
    </row>
    <row r="448">
      <c r="N448" s="86"/>
    </row>
    <row r="449">
      <c r="N449" s="86"/>
    </row>
    <row r="450">
      <c r="N450" s="86"/>
    </row>
    <row r="451">
      <c r="N451" s="86"/>
    </row>
    <row r="452">
      <c r="N452" s="86"/>
    </row>
    <row r="453">
      <c r="N453" s="86"/>
    </row>
    <row r="454">
      <c r="N454" s="86"/>
    </row>
    <row r="455">
      <c r="N455" s="86"/>
    </row>
    <row r="456">
      <c r="N456" s="86"/>
    </row>
    <row r="457">
      <c r="N457" s="86"/>
    </row>
    <row r="458">
      <c r="N458" s="86"/>
    </row>
    <row r="459">
      <c r="N459" s="86"/>
    </row>
    <row r="460">
      <c r="N460" s="86"/>
    </row>
    <row r="461">
      <c r="N461" s="86"/>
    </row>
    <row r="462">
      <c r="N462" s="86"/>
    </row>
    <row r="463">
      <c r="N463" s="86"/>
    </row>
    <row r="464">
      <c r="N464" s="86"/>
    </row>
    <row r="465">
      <c r="N465" s="86"/>
    </row>
    <row r="466">
      <c r="N466" s="86"/>
    </row>
    <row r="467">
      <c r="N467" s="86"/>
    </row>
    <row r="468">
      <c r="N468" s="86"/>
    </row>
    <row r="469">
      <c r="N469" s="86"/>
    </row>
    <row r="470">
      <c r="N470" s="86"/>
    </row>
    <row r="471">
      <c r="N471" s="86"/>
    </row>
    <row r="472">
      <c r="N472" s="86"/>
    </row>
    <row r="473">
      <c r="N473" s="86"/>
    </row>
    <row r="474">
      <c r="N474" s="86"/>
    </row>
    <row r="475">
      <c r="N475" s="86"/>
    </row>
    <row r="476">
      <c r="N476" s="86"/>
    </row>
    <row r="477">
      <c r="N477" s="86"/>
    </row>
    <row r="478">
      <c r="N478" s="86"/>
    </row>
    <row r="479">
      <c r="N479" s="86"/>
    </row>
    <row r="480">
      <c r="N480" s="86"/>
    </row>
    <row r="481">
      <c r="N481" s="86"/>
    </row>
    <row r="482">
      <c r="N482" s="86"/>
    </row>
    <row r="483">
      <c r="N483" s="86"/>
    </row>
    <row r="484">
      <c r="N484" s="86"/>
    </row>
    <row r="485">
      <c r="N485" s="86"/>
    </row>
    <row r="486">
      <c r="N486" s="86"/>
    </row>
    <row r="487">
      <c r="N487" s="86"/>
    </row>
    <row r="488">
      <c r="N488" s="86"/>
    </row>
    <row r="489">
      <c r="N489" s="86"/>
    </row>
    <row r="490">
      <c r="N490" s="86"/>
    </row>
    <row r="491">
      <c r="N491" s="86"/>
    </row>
    <row r="492">
      <c r="N492" s="86"/>
    </row>
    <row r="493">
      <c r="N493" s="86"/>
    </row>
    <row r="494">
      <c r="N494" s="86"/>
    </row>
    <row r="495">
      <c r="N495" s="86"/>
    </row>
    <row r="496">
      <c r="N496" s="86"/>
    </row>
    <row r="497">
      <c r="N497" s="86"/>
    </row>
    <row r="498">
      <c r="N498" s="86"/>
    </row>
    <row r="499">
      <c r="N499" s="86"/>
    </row>
    <row r="500">
      <c r="N500" s="86"/>
    </row>
    <row r="501">
      <c r="N501" s="86"/>
    </row>
    <row r="502">
      <c r="N502" s="86"/>
    </row>
    <row r="503">
      <c r="N503" s="86"/>
    </row>
    <row r="504">
      <c r="N504" s="86"/>
    </row>
    <row r="505">
      <c r="N505" s="86"/>
    </row>
    <row r="506">
      <c r="N506" s="86"/>
    </row>
    <row r="507">
      <c r="N507" s="86"/>
    </row>
    <row r="508">
      <c r="N508" s="86"/>
    </row>
    <row r="509">
      <c r="N509" s="86"/>
    </row>
    <row r="510">
      <c r="N510" s="86"/>
    </row>
    <row r="511">
      <c r="N511" s="86"/>
    </row>
    <row r="512">
      <c r="N512" s="86"/>
    </row>
    <row r="513">
      <c r="N513" s="86"/>
    </row>
    <row r="514">
      <c r="N514" s="86"/>
    </row>
    <row r="515">
      <c r="N515" s="86"/>
    </row>
    <row r="516">
      <c r="N516" s="86"/>
    </row>
    <row r="517">
      <c r="N517" s="86"/>
    </row>
    <row r="518">
      <c r="N518" s="86"/>
    </row>
    <row r="519">
      <c r="N519" s="86"/>
    </row>
    <row r="520">
      <c r="N520" s="86"/>
    </row>
    <row r="521">
      <c r="N521" s="86"/>
    </row>
    <row r="522">
      <c r="N522" s="86"/>
    </row>
    <row r="523">
      <c r="N523" s="86"/>
    </row>
    <row r="524">
      <c r="N524" s="86"/>
    </row>
    <row r="525">
      <c r="N525" s="86"/>
    </row>
    <row r="526">
      <c r="N526" s="86"/>
    </row>
    <row r="527">
      <c r="N527" s="86"/>
    </row>
    <row r="528">
      <c r="N528" s="86"/>
    </row>
    <row r="529">
      <c r="N529" s="86"/>
    </row>
    <row r="530">
      <c r="N530" s="86"/>
    </row>
    <row r="531">
      <c r="N531" s="86"/>
    </row>
    <row r="532">
      <c r="N532" s="86"/>
    </row>
    <row r="533">
      <c r="N533" s="86"/>
    </row>
    <row r="534">
      <c r="N534" s="86"/>
    </row>
    <row r="535">
      <c r="N535" s="86"/>
    </row>
    <row r="536">
      <c r="N536" s="86"/>
    </row>
    <row r="537">
      <c r="N537" s="86"/>
    </row>
    <row r="538">
      <c r="N538" s="86"/>
    </row>
    <row r="539">
      <c r="N539" s="86"/>
    </row>
    <row r="540">
      <c r="N540" s="86"/>
    </row>
    <row r="541">
      <c r="N541" s="86"/>
    </row>
    <row r="542">
      <c r="N542" s="86"/>
    </row>
    <row r="543">
      <c r="N543" s="86"/>
    </row>
    <row r="544">
      <c r="N544" s="86"/>
    </row>
    <row r="545">
      <c r="N545" s="86"/>
    </row>
    <row r="546">
      <c r="N546" s="86"/>
    </row>
    <row r="547">
      <c r="N547" s="86"/>
    </row>
    <row r="548">
      <c r="N548" s="86"/>
    </row>
    <row r="549">
      <c r="N549" s="86"/>
    </row>
    <row r="550">
      <c r="N550" s="86"/>
    </row>
    <row r="551">
      <c r="N551" s="86"/>
    </row>
    <row r="552">
      <c r="N552" s="86"/>
    </row>
    <row r="553">
      <c r="N553" s="86"/>
    </row>
    <row r="554">
      <c r="N554" s="86"/>
    </row>
    <row r="555">
      <c r="N555" s="86"/>
    </row>
    <row r="556">
      <c r="N556" s="86"/>
    </row>
    <row r="557">
      <c r="N557" s="86"/>
    </row>
    <row r="558">
      <c r="N558" s="86"/>
    </row>
    <row r="559">
      <c r="N559" s="86"/>
    </row>
    <row r="560">
      <c r="N560" s="86"/>
    </row>
    <row r="561">
      <c r="N561" s="86"/>
    </row>
    <row r="562">
      <c r="N562" s="86"/>
    </row>
    <row r="563">
      <c r="N563" s="86"/>
    </row>
    <row r="564">
      <c r="N564" s="86"/>
    </row>
    <row r="565">
      <c r="N565" s="86"/>
    </row>
    <row r="566">
      <c r="N566" s="86"/>
    </row>
    <row r="567">
      <c r="N567" s="86"/>
    </row>
    <row r="568">
      <c r="N568" s="86"/>
    </row>
    <row r="569">
      <c r="N569" s="86"/>
    </row>
    <row r="570">
      <c r="N570" s="86"/>
    </row>
    <row r="571">
      <c r="N571" s="86"/>
    </row>
    <row r="572">
      <c r="N572" s="86"/>
    </row>
    <row r="573">
      <c r="N573" s="86"/>
    </row>
    <row r="574">
      <c r="N574" s="86"/>
    </row>
    <row r="575">
      <c r="N575" s="86"/>
    </row>
    <row r="576">
      <c r="N576" s="86"/>
    </row>
    <row r="577">
      <c r="N577" s="86"/>
    </row>
    <row r="578">
      <c r="N578" s="86"/>
    </row>
    <row r="579">
      <c r="N579" s="86"/>
    </row>
    <row r="580">
      <c r="N580" s="86"/>
    </row>
    <row r="581">
      <c r="N581" s="86"/>
    </row>
    <row r="582">
      <c r="N582" s="86"/>
    </row>
    <row r="583">
      <c r="N583" s="86"/>
    </row>
    <row r="584">
      <c r="N584" s="86"/>
    </row>
    <row r="585">
      <c r="N585" s="86"/>
    </row>
    <row r="586">
      <c r="N586" s="86"/>
    </row>
    <row r="587">
      <c r="N587" s="86"/>
    </row>
    <row r="588">
      <c r="N588" s="86"/>
    </row>
    <row r="589">
      <c r="N589" s="86"/>
    </row>
    <row r="590">
      <c r="N590" s="86"/>
    </row>
    <row r="591">
      <c r="N591" s="86"/>
    </row>
    <row r="592">
      <c r="N592" s="86"/>
    </row>
    <row r="593">
      <c r="N593" s="86"/>
    </row>
    <row r="594">
      <c r="N594" s="86"/>
    </row>
    <row r="595">
      <c r="N595" s="86"/>
    </row>
    <row r="596">
      <c r="N596" s="86"/>
    </row>
    <row r="597">
      <c r="N597" s="86"/>
    </row>
    <row r="598">
      <c r="N598" s="86"/>
    </row>
    <row r="599">
      <c r="N599" s="86"/>
    </row>
    <row r="600">
      <c r="N600" s="86"/>
    </row>
    <row r="601">
      <c r="N601" s="86"/>
    </row>
    <row r="602">
      <c r="N602" s="86"/>
    </row>
    <row r="603">
      <c r="N603" s="86"/>
    </row>
    <row r="604">
      <c r="N604" s="86"/>
    </row>
    <row r="605">
      <c r="N605" s="86"/>
    </row>
    <row r="606">
      <c r="N606" s="86"/>
    </row>
    <row r="607">
      <c r="N607" s="86"/>
    </row>
    <row r="608">
      <c r="N608" s="86"/>
    </row>
    <row r="609">
      <c r="N609" s="86"/>
    </row>
    <row r="610">
      <c r="N610" s="86"/>
    </row>
    <row r="611">
      <c r="N611" s="86"/>
    </row>
    <row r="612">
      <c r="N612" s="86"/>
    </row>
    <row r="613">
      <c r="N613" s="86"/>
    </row>
    <row r="614">
      <c r="N614" s="86"/>
    </row>
    <row r="615">
      <c r="N615" s="86"/>
    </row>
    <row r="616">
      <c r="N616" s="86"/>
    </row>
    <row r="617">
      <c r="N617" s="86"/>
    </row>
    <row r="618">
      <c r="N618" s="86"/>
    </row>
    <row r="619">
      <c r="N619" s="86"/>
    </row>
    <row r="620">
      <c r="N620" s="86"/>
    </row>
    <row r="621">
      <c r="N621" s="86"/>
    </row>
    <row r="622">
      <c r="N622" s="86"/>
    </row>
    <row r="623">
      <c r="N623" s="86"/>
    </row>
    <row r="624">
      <c r="N624" s="86"/>
    </row>
    <row r="625">
      <c r="N625" s="86"/>
    </row>
    <row r="626">
      <c r="N626" s="86"/>
    </row>
    <row r="627">
      <c r="N627" s="86"/>
    </row>
    <row r="628">
      <c r="N628" s="86"/>
    </row>
    <row r="629">
      <c r="N629" s="86"/>
    </row>
    <row r="630">
      <c r="N630" s="86"/>
    </row>
    <row r="631">
      <c r="N631" s="86"/>
    </row>
    <row r="632">
      <c r="N632" s="86"/>
    </row>
    <row r="633">
      <c r="N633" s="86"/>
    </row>
    <row r="634">
      <c r="N634" s="86"/>
    </row>
    <row r="635">
      <c r="N635" s="86"/>
    </row>
    <row r="636">
      <c r="N636" s="86"/>
    </row>
    <row r="637">
      <c r="N637" s="86"/>
    </row>
    <row r="638">
      <c r="N638" s="86"/>
    </row>
    <row r="639">
      <c r="N639" s="86"/>
    </row>
    <row r="640">
      <c r="N640" s="86"/>
    </row>
    <row r="641">
      <c r="N641" s="86"/>
    </row>
    <row r="642">
      <c r="N642" s="86"/>
    </row>
    <row r="643">
      <c r="N643" s="86"/>
    </row>
    <row r="644">
      <c r="N644" s="86"/>
    </row>
    <row r="645">
      <c r="N645" s="86"/>
    </row>
    <row r="646">
      <c r="N646" s="86"/>
    </row>
    <row r="647">
      <c r="N647" s="86"/>
    </row>
    <row r="648">
      <c r="N648" s="86"/>
    </row>
    <row r="649">
      <c r="N649" s="86"/>
    </row>
    <row r="650">
      <c r="N650" s="86"/>
    </row>
    <row r="651">
      <c r="N651" s="86"/>
    </row>
    <row r="652">
      <c r="N652" s="86"/>
    </row>
    <row r="653">
      <c r="N653" s="86"/>
    </row>
    <row r="654">
      <c r="N654" s="86"/>
    </row>
    <row r="655">
      <c r="N655" s="86"/>
    </row>
    <row r="656">
      <c r="N656" s="86"/>
    </row>
    <row r="657">
      <c r="N657" s="86"/>
    </row>
    <row r="658">
      <c r="N658" s="86"/>
    </row>
    <row r="659">
      <c r="N659" s="86"/>
    </row>
    <row r="660">
      <c r="N660" s="86"/>
    </row>
    <row r="661">
      <c r="N661" s="86"/>
    </row>
    <row r="662">
      <c r="N662" s="86"/>
    </row>
    <row r="663">
      <c r="N663" s="86"/>
    </row>
    <row r="664">
      <c r="N664" s="86"/>
    </row>
    <row r="665">
      <c r="N665" s="86"/>
    </row>
    <row r="666">
      <c r="N666" s="86"/>
    </row>
    <row r="667">
      <c r="N667" s="86"/>
    </row>
    <row r="668">
      <c r="N668" s="86"/>
    </row>
    <row r="669">
      <c r="N669" s="86"/>
    </row>
    <row r="670">
      <c r="N670" s="86"/>
    </row>
    <row r="671">
      <c r="N671" s="86"/>
    </row>
    <row r="672">
      <c r="N672" s="86"/>
    </row>
    <row r="673">
      <c r="N673" s="86"/>
    </row>
    <row r="674">
      <c r="N674" s="86"/>
    </row>
    <row r="675">
      <c r="N675" s="86"/>
    </row>
    <row r="676">
      <c r="N676" s="86"/>
    </row>
    <row r="677">
      <c r="N677" s="86"/>
    </row>
    <row r="678">
      <c r="N678" s="86"/>
    </row>
    <row r="679">
      <c r="N679" s="86"/>
    </row>
    <row r="680">
      <c r="N680" s="86"/>
    </row>
    <row r="681">
      <c r="N681" s="86"/>
    </row>
    <row r="682">
      <c r="N682" s="86"/>
    </row>
    <row r="683">
      <c r="N683" s="86"/>
    </row>
    <row r="684">
      <c r="N684" s="86"/>
    </row>
    <row r="685">
      <c r="N685" s="86"/>
    </row>
    <row r="686">
      <c r="N686" s="86"/>
    </row>
    <row r="687">
      <c r="N687" s="86"/>
    </row>
    <row r="688">
      <c r="N688" s="86"/>
    </row>
    <row r="689">
      <c r="N689" s="86"/>
    </row>
    <row r="690">
      <c r="N690" s="86"/>
    </row>
    <row r="691">
      <c r="N691" s="86"/>
    </row>
    <row r="692">
      <c r="N692" s="86"/>
    </row>
    <row r="693">
      <c r="N693" s="86"/>
    </row>
    <row r="694">
      <c r="N694" s="86"/>
    </row>
    <row r="695">
      <c r="N695" s="86"/>
    </row>
    <row r="696">
      <c r="N696" s="86"/>
    </row>
    <row r="697">
      <c r="N697" s="86"/>
    </row>
    <row r="698">
      <c r="N698" s="86"/>
    </row>
    <row r="699">
      <c r="N699" s="86"/>
    </row>
    <row r="700">
      <c r="N700" s="86"/>
    </row>
    <row r="701">
      <c r="N701" s="86"/>
    </row>
    <row r="702">
      <c r="N702" s="86"/>
    </row>
    <row r="703">
      <c r="N703" s="86"/>
    </row>
    <row r="704">
      <c r="N704" s="86"/>
    </row>
    <row r="705">
      <c r="N705" s="86"/>
    </row>
    <row r="706">
      <c r="N706" s="86"/>
    </row>
    <row r="707">
      <c r="N707" s="86"/>
    </row>
    <row r="708">
      <c r="N708" s="86"/>
    </row>
    <row r="709">
      <c r="N709" s="86"/>
    </row>
    <row r="710">
      <c r="N710" s="86"/>
    </row>
    <row r="711">
      <c r="N711" s="86"/>
    </row>
    <row r="712">
      <c r="N712" s="86"/>
    </row>
    <row r="713">
      <c r="N713" s="86"/>
    </row>
    <row r="714">
      <c r="N714" s="86"/>
    </row>
    <row r="715">
      <c r="N715" s="86"/>
    </row>
    <row r="716">
      <c r="N716" s="86"/>
    </row>
    <row r="717">
      <c r="N717" s="86"/>
    </row>
    <row r="718">
      <c r="N718" s="86"/>
    </row>
    <row r="719">
      <c r="N719" s="86"/>
    </row>
    <row r="720">
      <c r="N720" s="86"/>
    </row>
    <row r="721">
      <c r="N721" s="86"/>
    </row>
    <row r="722">
      <c r="N722" s="86"/>
    </row>
    <row r="723">
      <c r="N723" s="86"/>
    </row>
    <row r="724">
      <c r="N724" s="86"/>
    </row>
    <row r="725">
      <c r="N725" s="86"/>
    </row>
    <row r="726">
      <c r="N726" s="86"/>
    </row>
    <row r="727">
      <c r="N727" s="86"/>
    </row>
    <row r="728">
      <c r="N728" s="86"/>
    </row>
    <row r="729">
      <c r="N729" s="86"/>
    </row>
    <row r="730">
      <c r="N730" s="86"/>
    </row>
    <row r="731">
      <c r="N731" s="86"/>
    </row>
    <row r="732">
      <c r="N732" s="86"/>
    </row>
    <row r="733">
      <c r="N733" s="86"/>
    </row>
    <row r="734">
      <c r="N734" s="86"/>
    </row>
    <row r="735">
      <c r="N735" s="86"/>
    </row>
    <row r="736">
      <c r="N736" s="86"/>
    </row>
    <row r="737">
      <c r="N737" s="86"/>
    </row>
    <row r="738">
      <c r="N738" s="86"/>
    </row>
    <row r="739">
      <c r="N739" s="86"/>
    </row>
    <row r="740">
      <c r="N740" s="86"/>
    </row>
    <row r="741">
      <c r="N741" s="86"/>
    </row>
    <row r="742">
      <c r="N742" s="86"/>
    </row>
    <row r="743">
      <c r="N743" s="86"/>
    </row>
    <row r="744">
      <c r="N744" s="86"/>
    </row>
    <row r="745">
      <c r="N745" s="86"/>
    </row>
    <row r="746">
      <c r="N746" s="86"/>
    </row>
    <row r="747">
      <c r="N747" s="86"/>
    </row>
    <row r="748">
      <c r="N748" s="86"/>
    </row>
    <row r="749">
      <c r="N749" s="86"/>
    </row>
    <row r="750">
      <c r="N750" s="86"/>
    </row>
    <row r="751">
      <c r="N751" s="86"/>
    </row>
    <row r="752">
      <c r="N752" s="86"/>
    </row>
    <row r="753">
      <c r="N753" s="86"/>
    </row>
    <row r="754">
      <c r="N754" s="86"/>
    </row>
    <row r="755">
      <c r="N755" s="86"/>
    </row>
    <row r="756">
      <c r="N756" s="86"/>
    </row>
    <row r="757">
      <c r="N757" s="86"/>
    </row>
    <row r="758">
      <c r="N758" s="86"/>
    </row>
    <row r="759">
      <c r="N759" s="86"/>
    </row>
    <row r="760">
      <c r="N760" s="86"/>
    </row>
    <row r="761">
      <c r="N761" s="86"/>
    </row>
    <row r="762">
      <c r="N762" s="86"/>
    </row>
    <row r="763">
      <c r="N763" s="86"/>
    </row>
    <row r="764">
      <c r="N764" s="86"/>
    </row>
    <row r="765">
      <c r="N765" s="86"/>
    </row>
    <row r="766">
      <c r="N766" s="86"/>
    </row>
    <row r="767">
      <c r="N767" s="86"/>
    </row>
    <row r="768">
      <c r="N768" s="86"/>
    </row>
    <row r="769">
      <c r="N769" s="86"/>
    </row>
    <row r="770">
      <c r="N770" s="86"/>
    </row>
    <row r="771">
      <c r="N771" s="86"/>
    </row>
    <row r="772">
      <c r="N772" s="86"/>
    </row>
    <row r="773">
      <c r="N773" s="86"/>
    </row>
    <row r="774">
      <c r="N774" s="86"/>
    </row>
    <row r="775">
      <c r="N775" s="86"/>
    </row>
    <row r="776">
      <c r="N776" s="86"/>
    </row>
    <row r="777">
      <c r="N777" s="86"/>
    </row>
    <row r="778">
      <c r="N778" s="86"/>
    </row>
    <row r="779">
      <c r="N779" s="86"/>
    </row>
    <row r="780">
      <c r="N780" s="86"/>
    </row>
    <row r="781">
      <c r="N781" s="86"/>
    </row>
    <row r="782">
      <c r="N782" s="86"/>
    </row>
    <row r="783">
      <c r="N783" s="86"/>
    </row>
    <row r="784">
      <c r="N784" s="86"/>
    </row>
    <row r="785">
      <c r="N785" s="86"/>
    </row>
    <row r="786">
      <c r="N786" s="86"/>
    </row>
    <row r="787">
      <c r="N787" s="86"/>
    </row>
    <row r="788">
      <c r="N788" s="86"/>
    </row>
    <row r="789">
      <c r="N789" s="86"/>
    </row>
    <row r="790">
      <c r="N790" s="86"/>
    </row>
    <row r="791">
      <c r="N791" s="86"/>
    </row>
    <row r="792">
      <c r="N792" s="86"/>
    </row>
    <row r="793">
      <c r="N793" s="86"/>
    </row>
    <row r="794">
      <c r="N794" s="86"/>
    </row>
    <row r="795">
      <c r="N795" s="86"/>
    </row>
    <row r="796">
      <c r="N796" s="86"/>
    </row>
    <row r="797">
      <c r="N797" s="86"/>
    </row>
    <row r="798">
      <c r="N798" s="86"/>
    </row>
    <row r="799">
      <c r="N799" s="86"/>
    </row>
    <row r="800">
      <c r="N800" s="86"/>
    </row>
    <row r="801">
      <c r="N801" s="86"/>
    </row>
    <row r="802">
      <c r="N802" s="86"/>
    </row>
    <row r="803">
      <c r="N803" s="86"/>
    </row>
    <row r="804">
      <c r="N804" s="86"/>
    </row>
    <row r="805">
      <c r="N805" s="86"/>
    </row>
    <row r="806">
      <c r="N806" s="86"/>
    </row>
    <row r="807">
      <c r="N807" s="86"/>
    </row>
    <row r="808">
      <c r="N808" s="86"/>
    </row>
    <row r="809">
      <c r="N809" s="86"/>
    </row>
    <row r="810">
      <c r="N810" s="86"/>
    </row>
    <row r="811">
      <c r="N811" s="86"/>
    </row>
    <row r="812">
      <c r="N812" s="86"/>
    </row>
    <row r="813">
      <c r="N813" s="86"/>
    </row>
    <row r="814">
      <c r="N814" s="86"/>
    </row>
    <row r="815">
      <c r="N815" s="86"/>
    </row>
    <row r="816">
      <c r="N816" s="86"/>
    </row>
    <row r="817">
      <c r="N817" s="86"/>
    </row>
    <row r="818">
      <c r="N818" s="86"/>
    </row>
    <row r="819">
      <c r="N819" s="86"/>
    </row>
    <row r="820">
      <c r="N820" s="86"/>
    </row>
    <row r="821">
      <c r="N821" s="86"/>
    </row>
    <row r="822">
      <c r="N822" s="86"/>
    </row>
    <row r="823">
      <c r="N823" s="86"/>
    </row>
    <row r="824">
      <c r="N824" s="86"/>
    </row>
    <row r="825">
      <c r="N825" s="86"/>
    </row>
    <row r="826">
      <c r="N826" s="86"/>
    </row>
    <row r="827">
      <c r="N827" s="86"/>
    </row>
    <row r="828">
      <c r="N828" s="86"/>
    </row>
    <row r="829">
      <c r="N829" s="86"/>
    </row>
    <row r="830">
      <c r="N830" s="86"/>
    </row>
    <row r="831">
      <c r="N831" s="86"/>
    </row>
    <row r="832">
      <c r="N832" s="86"/>
    </row>
    <row r="833">
      <c r="N833" s="86"/>
    </row>
    <row r="834">
      <c r="N834" s="86"/>
    </row>
    <row r="835">
      <c r="N835" s="86"/>
    </row>
    <row r="836">
      <c r="N836" s="86"/>
    </row>
    <row r="837">
      <c r="N837" s="86"/>
    </row>
    <row r="838">
      <c r="N838" s="86"/>
    </row>
    <row r="839">
      <c r="N839" s="86"/>
    </row>
    <row r="840">
      <c r="N840" s="86"/>
    </row>
    <row r="841">
      <c r="N841" s="86"/>
    </row>
    <row r="842">
      <c r="N842" s="86"/>
    </row>
    <row r="843">
      <c r="N843" s="86"/>
    </row>
    <row r="844">
      <c r="N844" s="86"/>
    </row>
    <row r="845">
      <c r="N845" s="86"/>
    </row>
    <row r="846">
      <c r="N846" s="86"/>
    </row>
    <row r="847">
      <c r="N847" s="86"/>
    </row>
    <row r="848">
      <c r="N848" s="86"/>
    </row>
    <row r="849">
      <c r="N849" s="86"/>
    </row>
    <row r="850">
      <c r="N850" s="86"/>
    </row>
    <row r="851">
      <c r="N851" s="86"/>
    </row>
    <row r="852">
      <c r="N852" s="86"/>
    </row>
    <row r="853">
      <c r="N853" s="86"/>
    </row>
    <row r="854">
      <c r="N854" s="86"/>
    </row>
    <row r="855">
      <c r="N855" s="86"/>
    </row>
    <row r="856">
      <c r="N856" s="86"/>
    </row>
    <row r="857">
      <c r="N857" s="86"/>
    </row>
    <row r="858">
      <c r="N858" s="86"/>
    </row>
    <row r="859">
      <c r="N859" s="86"/>
    </row>
    <row r="860">
      <c r="N860" s="86"/>
    </row>
    <row r="861">
      <c r="N861" s="86"/>
    </row>
    <row r="862">
      <c r="N862" s="86"/>
    </row>
    <row r="863">
      <c r="N863" s="86"/>
    </row>
    <row r="864">
      <c r="N864" s="86"/>
    </row>
    <row r="865">
      <c r="N865" s="86"/>
    </row>
    <row r="866">
      <c r="N866" s="86"/>
    </row>
    <row r="867">
      <c r="N867" s="86"/>
    </row>
    <row r="868">
      <c r="N868" s="86"/>
    </row>
    <row r="869">
      <c r="N869" s="86"/>
    </row>
    <row r="870">
      <c r="N870" s="86"/>
    </row>
    <row r="871">
      <c r="N871" s="86"/>
    </row>
    <row r="872">
      <c r="N872" s="86"/>
    </row>
    <row r="873">
      <c r="N873" s="86"/>
    </row>
    <row r="874">
      <c r="N874" s="86"/>
    </row>
    <row r="875">
      <c r="N875" s="86"/>
    </row>
    <row r="876">
      <c r="N876" s="86"/>
    </row>
    <row r="877">
      <c r="N877" s="86"/>
    </row>
    <row r="878">
      <c r="N878" s="86"/>
    </row>
    <row r="879">
      <c r="N879" s="86"/>
    </row>
    <row r="880">
      <c r="N880" s="86"/>
    </row>
    <row r="881">
      <c r="N881" s="86"/>
    </row>
    <row r="882">
      <c r="N882" s="86"/>
    </row>
    <row r="883">
      <c r="N883" s="86"/>
    </row>
    <row r="884">
      <c r="N884" s="86"/>
    </row>
    <row r="885">
      <c r="N885" s="86"/>
    </row>
    <row r="886">
      <c r="N886" s="86"/>
    </row>
    <row r="887">
      <c r="N887" s="86"/>
    </row>
    <row r="888">
      <c r="N888" s="86"/>
    </row>
    <row r="889">
      <c r="N889" s="86"/>
    </row>
    <row r="890">
      <c r="N890" s="86"/>
    </row>
    <row r="891">
      <c r="N891" s="86"/>
    </row>
    <row r="892">
      <c r="N892" s="86"/>
    </row>
    <row r="893">
      <c r="N893" s="86"/>
    </row>
    <row r="894">
      <c r="N894" s="86"/>
    </row>
    <row r="895">
      <c r="N895" s="86"/>
    </row>
    <row r="896">
      <c r="N896" s="86"/>
    </row>
    <row r="897">
      <c r="N897" s="86"/>
    </row>
    <row r="898">
      <c r="N898" s="86"/>
    </row>
    <row r="899">
      <c r="N899" s="86"/>
    </row>
    <row r="900">
      <c r="N900" s="86"/>
    </row>
    <row r="901">
      <c r="N901" s="86"/>
    </row>
    <row r="902">
      <c r="N902" s="86"/>
    </row>
    <row r="903">
      <c r="N903" s="86"/>
    </row>
    <row r="904">
      <c r="N904" s="86"/>
    </row>
    <row r="905">
      <c r="N905" s="86"/>
    </row>
    <row r="906">
      <c r="N906" s="86"/>
    </row>
    <row r="907">
      <c r="N907" s="86"/>
    </row>
    <row r="908">
      <c r="N908" s="86"/>
    </row>
    <row r="909">
      <c r="N909" s="86"/>
    </row>
    <row r="910">
      <c r="N910" s="86"/>
    </row>
    <row r="911">
      <c r="N911" s="86"/>
    </row>
    <row r="912">
      <c r="N912" s="86"/>
    </row>
    <row r="913">
      <c r="N913" s="86"/>
    </row>
    <row r="914">
      <c r="N914" s="86"/>
    </row>
    <row r="915">
      <c r="N915" s="86"/>
    </row>
    <row r="916">
      <c r="N916" s="86"/>
    </row>
    <row r="917">
      <c r="N917" s="86"/>
    </row>
    <row r="918">
      <c r="N918" s="86"/>
    </row>
    <row r="919">
      <c r="N919" s="86"/>
    </row>
    <row r="920">
      <c r="N920" s="86"/>
    </row>
    <row r="921">
      <c r="N921" s="86"/>
    </row>
    <row r="922">
      <c r="N922" s="86"/>
    </row>
    <row r="923">
      <c r="N923" s="86"/>
    </row>
    <row r="924">
      <c r="N924" s="86"/>
    </row>
    <row r="925">
      <c r="N925" s="86"/>
    </row>
    <row r="926">
      <c r="N926" s="86"/>
    </row>
    <row r="927">
      <c r="N927" s="86"/>
    </row>
    <row r="928">
      <c r="N928" s="86"/>
    </row>
    <row r="929">
      <c r="N929" s="86"/>
    </row>
    <row r="930">
      <c r="N930" s="86"/>
    </row>
    <row r="931">
      <c r="N931" s="86"/>
    </row>
    <row r="932">
      <c r="N932" s="86"/>
    </row>
    <row r="933">
      <c r="N933" s="86"/>
    </row>
    <row r="934">
      <c r="N934" s="86"/>
    </row>
    <row r="935">
      <c r="N935" s="86"/>
    </row>
    <row r="936">
      <c r="N936" s="86"/>
    </row>
    <row r="937">
      <c r="N937" s="86"/>
    </row>
    <row r="938">
      <c r="N938" s="86"/>
    </row>
    <row r="939">
      <c r="N939" s="86"/>
    </row>
    <row r="940">
      <c r="N940" s="86"/>
    </row>
    <row r="941">
      <c r="N941" s="86"/>
    </row>
    <row r="942">
      <c r="N942" s="86"/>
    </row>
    <row r="943">
      <c r="N943" s="86"/>
    </row>
    <row r="944">
      <c r="N944" s="86"/>
    </row>
    <row r="945">
      <c r="N945" s="86"/>
    </row>
    <row r="946">
      <c r="N946" s="86"/>
    </row>
    <row r="947">
      <c r="N947" s="86"/>
    </row>
    <row r="948">
      <c r="N948" s="86"/>
    </row>
    <row r="949">
      <c r="N949" s="86"/>
    </row>
    <row r="950">
      <c r="N950" s="86"/>
    </row>
    <row r="951">
      <c r="N951" s="86"/>
    </row>
    <row r="952">
      <c r="N952" s="86"/>
    </row>
    <row r="953">
      <c r="N953" s="86"/>
    </row>
    <row r="954">
      <c r="N954" s="86"/>
    </row>
    <row r="955">
      <c r="N955" s="86"/>
    </row>
    <row r="956">
      <c r="N956" s="86"/>
    </row>
    <row r="957">
      <c r="N957" s="86"/>
    </row>
    <row r="958">
      <c r="N958" s="86"/>
    </row>
    <row r="959">
      <c r="N959" s="86"/>
    </row>
    <row r="960">
      <c r="N960" s="86"/>
    </row>
    <row r="961">
      <c r="N961" s="86"/>
    </row>
    <row r="962">
      <c r="N962" s="86"/>
    </row>
    <row r="963">
      <c r="N963" s="86"/>
    </row>
    <row r="964">
      <c r="N964" s="86"/>
    </row>
    <row r="965">
      <c r="N965" s="86"/>
    </row>
    <row r="966">
      <c r="N966" s="86"/>
    </row>
    <row r="967">
      <c r="N967" s="86"/>
    </row>
    <row r="968">
      <c r="N968" s="86"/>
    </row>
    <row r="969">
      <c r="N969" s="86"/>
    </row>
    <row r="970">
      <c r="N970" s="86"/>
    </row>
    <row r="971">
      <c r="N971" s="86"/>
    </row>
    <row r="972">
      <c r="N972" s="86"/>
    </row>
    <row r="973">
      <c r="N973" s="86"/>
    </row>
    <row r="974">
      <c r="N974" s="86"/>
    </row>
    <row r="975">
      <c r="N975" s="86"/>
    </row>
    <row r="976">
      <c r="N976" s="86"/>
    </row>
    <row r="977">
      <c r="N977" s="86"/>
    </row>
    <row r="978">
      <c r="N978" s="86"/>
    </row>
    <row r="979">
      <c r="N979" s="86"/>
    </row>
    <row r="980">
      <c r="N980" s="86"/>
    </row>
    <row r="981">
      <c r="N981" s="86"/>
    </row>
    <row r="982">
      <c r="N982" s="86"/>
    </row>
    <row r="983">
      <c r="N983" s="86"/>
    </row>
    <row r="984">
      <c r="N984" s="86"/>
    </row>
    <row r="985">
      <c r="N985" s="86"/>
    </row>
    <row r="986">
      <c r="N986" s="86"/>
    </row>
    <row r="987">
      <c r="N987" s="86"/>
    </row>
    <row r="988">
      <c r="N988" s="86"/>
    </row>
    <row r="989">
      <c r="N989" s="86"/>
    </row>
    <row r="990">
      <c r="N990" s="86"/>
    </row>
    <row r="991">
      <c r="N991" s="86"/>
    </row>
    <row r="992">
      <c r="N992" s="86"/>
    </row>
    <row r="993">
      <c r="N993" s="86"/>
    </row>
    <row r="994">
      <c r="N994" s="86"/>
    </row>
  </sheetData>
  <mergeCells count="29">
    <mergeCell ref="A1:B1"/>
    <mergeCell ref="B3:B7"/>
    <mergeCell ref="A9:B9"/>
    <mergeCell ref="B11:B15"/>
    <mergeCell ref="A21:C21"/>
    <mergeCell ref="A22:E22"/>
    <mergeCell ref="A23:C23"/>
    <mergeCell ref="D3:D7"/>
    <mergeCell ref="F3:F7"/>
    <mergeCell ref="A8:I8"/>
    <mergeCell ref="C1:D1"/>
    <mergeCell ref="C9:D9"/>
    <mergeCell ref="D11:D15"/>
    <mergeCell ref="G9:H9"/>
    <mergeCell ref="F11:F15"/>
    <mergeCell ref="H11:H15"/>
    <mergeCell ref="J15:L15"/>
    <mergeCell ref="H16:I16"/>
    <mergeCell ref="H17:I17"/>
    <mergeCell ref="H18:I18"/>
    <mergeCell ref="Q21:Q22"/>
    <mergeCell ref="Q26:Q27"/>
    <mergeCell ref="E1:F1"/>
    <mergeCell ref="G1:H1"/>
    <mergeCell ref="J1:L14"/>
    <mergeCell ref="M1:M994"/>
    <mergeCell ref="N1:O1"/>
    <mergeCell ref="R1:S1"/>
    <mergeCell ref="H3:H7"/>
  </mergeCells>
  <hyperlinks>
    <hyperlink r:id="rId1" ref="J1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workbookViewId="0"/>
  </sheetViews>
  <sheetFormatPr customHeight="1" defaultColWidth="12.63" defaultRowHeight="15.75"/>
  <cols>
    <col customWidth="1" min="1" max="1" width="19.88"/>
    <col customWidth="1" min="2" max="2" width="2.25"/>
    <col customWidth="1" min="3" max="3" width="19.13"/>
    <col customWidth="1" min="4" max="4" width="2.75"/>
    <col customWidth="1" min="5" max="5" width="19.63"/>
    <col customWidth="1" min="6" max="6" width="2.63"/>
    <col customWidth="1" min="7" max="7" width="17.88"/>
    <col customWidth="1" min="8" max="8" width="2.5"/>
    <col customWidth="1" min="9" max="9" width="20.13"/>
    <col customWidth="1" min="10" max="10" width="3.88"/>
    <col customWidth="1" min="11" max="11" width="8.0"/>
    <col customWidth="1" min="12" max="12" width="3.63"/>
    <col customWidth="1" min="13" max="13" width="1.5"/>
    <col customWidth="1" min="14" max="14" width="28.0"/>
    <col customWidth="1" min="15" max="15" width="5.13"/>
    <col customWidth="1" min="16" max="16" width="27.13"/>
    <col customWidth="1" min="17" max="17" width="4.88"/>
    <col customWidth="1" min="18" max="18" width="26.25"/>
    <col customWidth="1" min="19" max="19" width="6.13"/>
    <col customWidth="1" min="20" max="20" width="26.13"/>
  </cols>
  <sheetData>
    <row r="1">
      <c r="A1" s="1" t="s">
        <v>59</v>
      </c>
      <c r="B1" s="2"/>
      <c r="C1" s="1" t="s">
        <v>1</v>
      </c>
      <c r="D1" s="3"/>
      <c r="E1" s="1" t="s">
        <v>2</v>
      </c>
      <c r="F1" s="2"/>
      <c r="G1" s="4" t="s">
        <v>3</v>
      </c>
      <c r="H1" s="2"/>
      <c r="I1" s="5" t="s">
        <v>73</v>
      </c>
      <c r="J1" s="6">
        <v>2029.0</v>
      </c>
      <c r="K1" s="7"/>
      <c r="L1" s="8"/>
      <c r="M1" s="9"/>
      <c r="N1" s="108" t="s">
        <v>391</v>
      </c>
      <c r="O1" s="109"/>
      <c r="P1" s="110"/>
      <c r="Q1" s="13"/>
      <c r="R1" s="14" t="s">
        <v>7</v>
      </c>
      <c r="S1" s="15"/>
      <c r="T1" s="16" t="s">
        <v>8</v>
      </c>
    </row>
    <row r="2">
      <c r="A2" s="26" t="s">
        <v>128</v>
      </c>
      <c r="B2" s="249"/>
      <c r="C2" s="26" t="s">
        <v>396</v>
      </c>
      <c r="D2" s="249"/>
      <c r="E2" s="18" t="s">
        <v>9</v>
      </c>
      <c r="F2" s="249"/>
      <c r="G2" s="26" t="s">
        <v>397</v>
      </c>
      <c r="H2" s="249"/>
      <c r="J2" s="19"/>
      <c r="L2" s="20"/>
      <c r="N2" s="231"/>
      <c r="O2" s="22" t="s">
        <v>11</v>
      </c>
      <c r="P2" s="232"/>
      <c r="Q2" s="24"/>
      <c r="R2" s="24"/>
      <c r="S2" s="24"/>
      <c r="T2" s="24"/>
    </row>
    <row r="3">
      <c r="A3" s="26" t="s">
        <v>18</v>
      </c>
      <c r="B3" s="25"/>
      <c r="C3" s="18" t="s">
        <v>46</v>
      </c>
      <c r="D3" s="25"/>
      <c r="E3" s="31" t="s">
        <v>15</v>
      </c>
      <c r="F3" s="25"/>
      <c r="H3" s="25"/>
      <c r="J3" s="19"/>
      <c r="L3" s="20"/>
      <c r="N3" s="27"/>
      <c r="O3" s="233"/>
      <c r="P3" s="29"/>
      <c r="Q3" s="24"/>
      <c r="R3" s="24"/>
      <c r="S3" s="24"/>
      <c r="T3" s="24"/>
    </row>
    <row r="4">
      <c r="B4" s="30"/>
      <c r="C4" s="18" t="s">
        <v>45</v>
      </c>
      <c r="D4" s="30"/>
      <c r="F4" s="30"/>
      <c r="H4" s="30"/>
      <c r="J4" s="19"/>
      <c r="L4" s="20"/>
      <c r="Q4" s="24"/>
      <c r="R4" s="24"/>
      <c r="S4" s="24"/>
      <c r="T4" s="24"/>
    </row>
    <row r="5">
      <c r="B5" s="30"/>
      <c r="D5" s="30"/>
      <c r="F5" s="30"/>
      <c r="G5" s="32"/>
      <c r="H5" s="30"/>
      <c r="J5" s="19"/>
      <c r="L5" s="20"/>
      <c r="N5" s="41"/>
      <c r="O5" s="41"/>
      <c r="P5" s="41"/>
      <c r="Q5" s="24"/>
    </row>
    <row r="6">
      <c r="B6" s="30"/>
      <c r="D6" s="30"/>
      <c r="F6" s="30"/>
      <c r="H6" s="30"/>
      <c r="J6" s="19"/>
      <c r="L6" s="20"/>
    </row>
    <row r="7">
      <c r="B7" s="40"/>
      <c r="D7" s="40"/>
      <c r="F7" s="40"/>
      <c r="H7" s="40"/>
      <c r="J7" s="19"/>
      <c r="L7" s="20"/>
    </row>
    <row r="8">
      <c r="A8" s="42">
        <v>2029.0</v>
      </c>
      <c r="B8" s="43"/>
      <c r="C8" s="43"/>
      <c r="D8" s="43"/>
      <c r="E8" s="43"/>
      <c r="F8" s="43"/>
      <c r="G8" s="43"/>
      <c r="H8" s="43"/>
      <c r="I8" s="44"/>
      <c r="J8" s="19"/>
      <c r="L8" s="20"/>
      <c r="N8" s="41"/>
      <c r="O8" s="41"/>
    </row>
    <row r="9">
      <c r="A9" s="45" t="s">
        <v>22</v>
      </c>
      <c r="B9" s="46"/>
      <c r="C9" s="47" t="s">
        <v>78</v>
      </c>
      <c r="D9" s="46"/>
      <c r="E9" s="48" t="s">
        <v>24</v>
      </c>
      <c r="F9" s="49"/>
      <c r="G9" s="47" t="s">
        <v>84</v>
      </c>
      <c r="H9" s="46"/>
      <c r="I9" s="50" t="s">
        <v>26</v>
      </c>
      <c r="J9" s="19"/>
      <c r="L9" s="20"/>
      <c r="N9" s="41"/>
      <c r="O9" s="41"/>
      <c r="P9" s="41"/>
    </row>
    <row r="10">
      <c r="A10" s="26" t="s">
        <v>119</v>
      </c>
      <c r="B10" s="250"/>
      <c r="C10" s="134" t="s">
        <v>36</v>
      </c>
      <c r="D10" s="250"/>
      <c r="E10" s="246" t="s">
        <v>400</v>
      </c>
      <c r="F10" s="251"/>
      <c r="G10" s="26" t="s">
        <v>393</v>
      </c>
      <c r="H10" s="250"/>
      <c r="I10" s="18" t="s">
        <v>32</v>
      </c>
      <c r="J10" s="19"/>
      <c r="L10" s="20"/>
      <c r="N10" s="41"/>
    </row>
    <row r="11">
      <c r="B11" s="25"/>
      <c r="C11" s="26" t="s">
        <v>14</v>
      </c>
      <c r="D11" s="25"/>
      <c r="E11" s="31" t="s">
        <v>38</v>
      </c>
      <c r="F11" s="25"/>
      <c r="G11" s="31" t="s">
        <v>35</v>
      </c>
      <c r="H11" s="25"/>
      <c r="I11" s="248" t="s">
        <v>42</v>
      </c>
      <c r="J11" s="19"/>
      <c r="L11" s="20"/>
    </row>
    <row r="12">
      <c r="A12" s="18"/>
      <c r="B12" s="30"/>
      <c r="C12" s="18" t="s">
        <v>43</v>
      </c>
      <c r="D12" s="30"/>
      <c r="F12" s="30"/>
      <c r="G12" s="18" t="s">
        <v>40</v>
      </c>
      <c r="H12" s="30"/>
      <c r="I12" s="60"/>
      <c r="J12" s="19"/>
      <c r="L12" s="20"/>
      <c r="N12" s="41"/>
      <c r="O12" s="41"/>
      <c r="P12" s="41"/>
    </row>
    <row r="13">
      <c r="B13" s="30"/>
      <c r="C13" s="24"/>
      <c r="D13" s="30"/>
      <c r="F13" s="30"/>
      <c r="G13" s="18" t="s">
        <v>39</v>
      </c>
      <c r="H13" s="30"/>
      <c r="I13" s="236"/>
      <c r="J13" s="19"/>
      <c r="L13" s="20"/>
    </row>
    <row r="14">
      <c r="A14" s="24"/>
      <c r="B14" s="30"/>
      <c r="C14" s="24"/>
      <c r="D14" s="30"/>
      <c r="E14" s="41"/>
      <c r="F14" s="30"/>
      <c r="G14" s="41"/>
      <c r="H14" s="30"/>
      <c r="I14" s="237"/>
      <c r="J14" s="63"/>
      <c r="K14" s="64"/>
      <c r="L14" s="46"/>
      <c r="N14" s="41"/>
      <c r="O14" s="41"/>
      <c r="P14" s="41"/>
    </row>
    <row r="15">
      <c r="A15" s="65"/>
      <c r="B15" s="66"/>
      <c r="C15" s="67"/>
      <c r="D15" s="66"/>
      <c r="E15" s="67"/>
      <c r="F15" s="66"/>
      <c r="G15" s="67"/>
      <c r="H15" s="66"/>
      <c r="I15" s="238"/>
      <c r="J15" s="239" t="s">
        <v>47</v>
      </c>
      <c r="N15" s="41"/>
    </row>
    <row r="16">
      <c r="A16" s="18" t="s">
        <v>48</v>
      </c>
      <c r="B16" s="18"/>
      <c r="C16" s="72"/>
      <c r="D16" s="18"/>
      <c r="E16" s="18"/>
      <c r="F16" s="24"/>
      <c r="G16" s="18"/>
      <c r="H16" s="73" t="s">
        <v>49</v>
      </c>
      <c r="I16" s="74"/>
      <c r="O16" s="41"/>
    </row>
    <row r="17">
      <c r="A17" s="18" t="s">
        <v>403</v>
      </c>
      <c r="B17" s="24"/>
      <c r="C17" s="72"/>
      <c r="D17" s="18"/>
      <c r="E17" s="18"/>
      <c r="F17" s="18"/>
      <c r="G17" s="18"/>
      <c r="H17" s="75" t="s">
        <v>51</v>
      </c>
      <c r="I17" s="76"/>
      <c r="N17" s="41"/>
      <c r="O17" s="41"/>
      <c r="P17" s="41"/>
    </row>
    <row r="18">
      <c r="A18" s="18"/>
      <c r="B18" s="18"/>
      <c r="C18" s="72"/>
      <c r="D18" s="18"/>
      <c r="E18" s="18"/>
      <c r="F18" s="18"/>
      <c r="G18" s="18"/>
      <c r="H18" s="77" t="s">
        <v>53</v>
      </c>
      <c r="I18" s="78"/>
      <c r="L18" s="79"/>
      <c r="N18" s="41"/>
    </row>
    <row r="19">
      <c r="A19" s="80"/>
      <c r="B19" s="81"/>
      <c r="C19" s="82"/>
      <c r="D19" s="24"/>
      <c r="E19" s="24"/>
      <c r="F19" s="18"/>
      <c r="G19" s="18"/>
      <c r="H19" s="24"/>
      <c r="I19" s="24"/>
      <c r="L19" s="79"/>
      <c r="O19" s="41"/>
      <c r="P19" s="41"/>
      <c r="Q19" s="83"/>
    </row>
    <row r="20">
      <c r="F20" s="79"/>
      <c r="G20" s="79"/>
      <c r="L20" s="79"/>
      <c r="N20" s="41"/>
      <c r="O20" s="41"/>
      <c r="P20" s="41"/>
      <c r="Q20" s="83"/>
    </row>
    <row r="21">
      <c r="A21" s="84"/>
      <c r="L21" s="79"/>
      <c r="N21" s="41"/>
      <c r="O21" s="41"/>
      <c r="P21" s="41"/>
      <c r="Q21" s="83"/>
    </row>
    <row r="22">
      <c r="F22" s="79"/>
      <c r="G22" s="79"/>
      <c r="P22" s="41"/>
    </row>
    <row r="23">
      <c r="A23" s="85"/>
      <c r="F23" s="79"/>
      <c r="G23" s="79"/>
      <c r="P23" s="41"/>
      <c r="Q23" s="83"/>
    </row>
    <row r="24">
      <c r="F24" s="79"/>
      <c r="G24" s="79"/>
      <c r="N24" s="41"/>
      <c r="O24" s="41"/>
      <c r="P24" s="41"/>
    </row>
    <row r="25">
      <c r="A25" s="79"/>
      <c r="B25" s="79"/>
      <c r="C25" s="79"/>
      <c r="D25" s="79"/>
      <c r="E25" s="79"/>
      <c r="F25" s="79"/>
      <c r="G25" s="79"/>
    </row>
    <row r="26">
      <c r="A26" s="79"/>
      <c r="B26" s="79"/>
      <c r="C26" s="79"/>
      <c r="D26" s="79"/>
      <c r="E26" s="79"/>
      <c r="F26" s="79"/>
      <c r="G26" s="79"/>
      <c r="N26" s="41"/>
      <c r="O26" s="41"/>
      <c r="P26" s="41"/>
    </row>
    <row r="27">
      <c r="N27" s="41"/>
      <c r="P27" s="41"/>
    </row>
    <row r="29">
      <c r="N29" s="41"/>
      <c r="O29" s="41"/>
      <c r="P29" s="41"/>
    </row>
    <row r="30">
      <c r="N30" s="41"/>
      <c r="P30" s="41"/>
    </row>
    <row r="31">
      <c r="P31" s="41"/>
    </row>
    <row r="32">
      <c r="N32" s="41"/>
      <c r="P32" s="41"/>
    </row>
    <row r="33">
      <c r="P33" s="41"/>
    </row>
    <row r="34">
      <c r="P34" s="41"/>
    </row>
    <row r="35">
      <c r="P35" s="41"/>
    </row>
    <row r="37">
      <c r="N37" s="41"/>
      <c r="O37" s="41"/>
      <c r="P37" s="41"/>
    </row>
    <row r="38">
      <c r="N38" s="41"/>
    </row>
    <row r="39">
      <c r="N39" s="41"/>
      <c r="P39" s="41"/>
    </row>
    <row r="40">
      <c r="N40" s="41"/>
      <c r="P40" s="41"/>
    </row>
    <row r="41">
      <c r="N41" s="41"/>
      <c r="P41" s="41"/>
    </row>
    <row r="42">
      <c r="P42" s="41"/>
    </row>
    <row r="43">
      <c r="N43" s="41"/>
      <c r="O43" s="41"/>
      <c r="P43" s="41"/>
    </row>
    <row r="44">
      <c r="N44" s="41"/>
      <c r="P44" s="41"/>
    </row>
    <row r="46">
      <c r="N46" s="86"/>
    </row>
    <row r="47">
      <c r="N47" s="86"/>
    </row>
    <row r="48">
      <c r="N48" s="86"/>
    </row>
    <row r="49">
      <c r="N49" s="86"/>
    </row>
    <row r="50">
      <c r="N50" s="86"/>
    </row>
    <row r="51">
      <c r="N51" s="86"/>
    </row>
    <row r="52">
      <c r="N52" s="86"/>
    </row>
    <row r="53">
      <c r="N53" s="86"/>
    </row>
    <row r="54">
      <c r="N54" s="86"/>
    </row>
    <row r="55">
      <c r="N55" s="86"/>
    </row>
    <row r="56">
      <c r="N56" s="86"/>
    </row>
    <row r="57">
      <c r="N57" s="86"/>
    </row>
    <row r="58">
      <c r="N58" s="86"/>
    </row>
    <row r="59">
      <c r="N59" s="86"/>
    </row>
    <row r="60">
      <c r="N60" s="86"/>
    </row>
    <row r="61">
      <c r="N61" s="86"/>
    </row>
    <row r="62">
      <c r="N62" s="86"/>
    </row>
    <row r="63">
      <c r="N63" s="86"/>
    </row>
    <row r="64">
      <c r="N64" s="86"/>
    </row>
    <row r="65">
      <c r="N65" s="86"/>
    </row>
    <row r="66">
      <c r="N66" s="86"/>
    </row>
    <row r="67">
      <c r="N67" s="86"/>
    </row>
    <row r="68">
      <c r="N68" s="86"/>
    </row>
    <row r="69">
      <c r="N69" s="86"/>
    </row>
    <row r="70">
      <c r="N70" s="86"/>
    </row>
    <row r="71">
      <c r="N71" s="86"/>
    </row>
    <row r="72">
      <c r="N72" s="86"/>
    </row>
    <row r="73">
      <c r="N73" s="86"/>
    </row>
    <row r="74">
      <c r="N74" s="86"/>
    </row>
    <row r="75">
      <c r="N75" s="86"/>
    </row>
    <row r="76">
      <c r="N76" s="86"/>
    </row>
    <row r="77">
      <c r="N77" s="86"/>
    </row>
    <row r="78">
      <c r="N78" s="86"/>
    </row>
    <row r="79">
      <c r="N79" s="86"/>
    </row>
    <row r="80">
      <c r="N80" s="86"/>
    </row>
    <row r="81">
      <c r="N81" s="86"/>
    </row>
    <row r="82">
      <c r="N82" s="86"/>
    </row>
    <row r="83">
      <c r="N83" s="86"/>
    </row>
    <row r="84">
      <c r="N84" s="86"/>
    </row>
    <row r="85">
      <c r="N85" s="86"/>
    </row>
    <row r="86">
      <c r="N86" s="86"/>
    </row>
    <row r="87">
      <c r="N87" s="86"/>
    </row>
    <row r="88">
      <c r="N88" s="86"/>
    </row>
    <row r="89">
      <c r="N89" s="86"/>
    </row>
    <row r="90">
      <c r="N90" s="86"/>
    </row>
    <row r="91">
      <c r="N91" s="86"/>
    </row>
    <row r="92">
      <c r="N92" s="86"/>
    </row>
    <row r="93">
      <c r="N93" s="86"/>
    </row>
    <row r="94">
      <c r="N94" s="86"/>
    </row>
    <row r="95">
      <c r="N95" s="86"/>
    </row>
    <row r="96">
      <c r="N96" s="86"/>
    </row>
    <row r="97">
      <c r="N97" s="86"/>
    </row>
    <row r="98">
      <c r="N98" s="86"/>
    </row>
    <row r="99">
      <c r="N99" s="86"/>
    </row>
    <row r="100">
      <c r="N100" s="86"/>
    </row>
    <row r="101">
      <c r="N101" s="86"/>
    </row>
    <row r="102">
      <c r="N102" s="86"/>
    </row>
    <row r="103">
      <c r="N103" s="86"/>
    </row>
    <row r="104">
      <c r="N104" s="86"/>
    </row>
    <row r="105">
      <c r="N105" s="86"/>
    </row>
    <row r="106">
      <c r="N106" s="86"/>
    </row>
    <row r="107">
      <c r="N107" s="86"/>
    </row>
    <row r="108">
      <c r="N108" s="86"/>
    </row>
    <row r="109">
      <c r="N109" s="86"/>
    </row>
    <row r="110">
      <c r="N110" s="86"/>
    </row>
    <row r="111">
      <c r="N111" s="86"/>
    </row>
    <row r="112">
      <c r="N112" s="86"/>
    </row>
    <row r="113">
      <c r="N113" s="86"/>
    </row>
    <row r="114">
      <c r="N114" s="86"/>
    </row>
    <row r="115">
      <c r="N115" s="86"/>
    </row>
    <row r="116">
      <c r="N116" s="86"/>
    </row>
    <row r="117">
      <c r="N117" s="86"/>
    </row>
    <row r="118">
      <c r="N118" s="86"/>
    </row>
    <row r="119">
      <c r="N119" s="86"/>
    </row>
    <row r="120">
      <c r="N120" s="86"/>
    </row>
    <row r="121">
      <c r="N121" s="86"/>
    </row>
    <row r="122">
      <c r="N122" s="86"/>
    </row>
    <row r="123">
      <c r="N123" s="86"/>
    </row>
    <row r="124">
      <c r="N124" s="86"/>
    </row>
    <row r="125">
      <c r="N125" s="86"/>
    </row>
    <row r="126">
      <c r="N126" s="86"/>
    </row>
    <row r="127">
      <c r="N127" s="86"/>
    </row>
    <row r="128">
      <c r="N128" s="86"/>
    </row>
    <row r="129">
      <c r="N129" s="86"/>
    </row>
    <row r="130">
      <c r="N130" s="86"/>
    </row>
    <row r="131">
      <c r="N131" s="86"/>
    </row>
    <row r="132">
      <c r="N132" s="86"/>
    </row>
    <row r="133">
      <c r="N133" s="86"/>
    </row>
    <row r="134">
      <c r="N134" s="86"/>
    </row>
    <row r="135">
      <c r="N135" s="86"/>
    </row>
    <row r="136">
      <c r="N136" s="86"/>
    </row>
    <row r="137">
      <c r="N137" s="86"/>
    </row>
    <row r="138">
      <c r="N138" s="86"/>
    </row>
    <row r="139">
      <c r="N139" s="86"/>
    </row>
    <row r="140">
      <c r="N140" s="86"/>
    </row>
    <row r="141">
      <c r="N141" s="86"/>
    </row>
    <row r="142">
      <c r="N142" s="86"/>
    </row>
    <row r="143">
      <c r="N143" s="86"/>
    </row>
    <row r="144">
      <c r="N144" s="86"/>
    </row>
    <row r="145">
      <c r="N145" s="86"/>
    </row>
    <row r="146">
      <c r="N146" s="86"/>
    </row>
    <row r="147">
      <c r="N147" s="86"/>
    </row>
    <row r="148">
      <c r="N148" s="86"/>
    </row>
    <row r="149">
      <c r="N149" s="86"/>
    </row>
    <row r="150">
      <c r="N150" s="86"/>
    </row>
    <row r="151">
      <c r="N151" s="86"/>
    </row>
    <row r="152">
      <c r="N152" s="86"/>
    </row>
    <row r="153">
      <c r="N153" s="86"/>
    </row>
    <row r="154">
      <c r="N154" s="86"/>
    </row>
    <row r="155">
      <c r="N155" s="86"/>
    </row>
    <row r="156">
      <c r="N156" s="86"/>
    </row>
    <row r="157">
      <c r="N157" s="86"/>
    </row>
    <row r="158">
      <c r="N158" s="86"/>
    </row>
    <row r="159">
      <c r="N159" s="86"/>
    </row>
    <row r="160">
      <c r="N160" s="86"/>
    </row>
    <row r="161">
      <c r="N161" s="86"/>
    </row>
    <row r="162">
      <c r="N162" s="86"/>
    </row>
    <row r="163">
      <c r="N163" s="86"/>
    </row>
    <row r="164">
      <c r="N164" s="86"/>
    </row>
    <row r="165">
      <c r="N165" s="86"/>
    </row>
    <row r="166">
      <c r="N166" s="86"/>
    </row>
    <row r="167">
      <c r="N167" s="86"/>
    </row>
    <row r="168">
      <c r="N168" s="86"/>
    </row>
    <row r="169">
      <c r="N169" s="86"/>
    </row>
    <row r="170">
      <c r="N170" s="86"/>
    </row>
    <row r="171">
      <c r="N171" s="86"/>
    </row>
    <row r="172">
      <c r="N172" s="86"/>
    </row>
    <row r="173">
      <c r="N173" s="86"/>
    </row>
    <row r="174">
      <c r="N174" s="86"/>
    </row>
    <row r="175">
      <c r="N175" s="86"/>
    </row>
    <row r="176">
      <c r="N176" s="86"/>
    </row>
    <row r="177">
      <c r="N177" s="86"/>
    </row>
    <row r="178">
      <c r="N178" s="86"/>
    </row>
    <row r="179">
      <c r="N179" s="86"/>
    </row>
    <row r="180">
      <c r="N180" s="86"/>
    </row>
    <row r="181">
      <c r="N181" s="86"/>
    </row>
    <row r="182">
      <c r="N182" s="86"/>
    </row>
    <row r="183">
      <c r="N183" s="86"/>
    </row>
    <row r="184">
      <c r="N184" s="86"/>
    </row>
    <row r="185">
      <c r="N185" s="86"/>
    </row>
    <row r="186">
      <c r="N186" s="86"/>
    </row>
    <row r="187">
      <c r="N187" s="86"/>
    </row>
    <row r="188">
      <c r="N188" s="86"/>
    </row>
    <row r="189">
      <c r="N189" s="86"/>
    </row>
    <row r="190">
      <c r="N190" s="86"/>
    </row>
    <row r="191">
      <c r="N191" s="86"/>
    </row>
    <row r="192">
      <c r="N192" s="86"/>
    </row>
    <row r="193">
      <c r="N193" s="86"/>
    </row>
    <row r="194">
      <c r="N194" s="86"/>
    </row>
    <row r="195">
      <c r="N195" s="86"/>
    </row>
    <row r="196">
      <c r="N196" s="86"/>
    </row>
    <row r="197">
      <c r="N197" s="86"/>
    </row>
    <row r="198">
      <c r="N198" s="86"/>
    </row>
    <row r="199">
      <c r="N199" s="86"/>
    </row>
    <row r="200">
      <c r="N200" s="86"/>
    </row>
    <row r="201">
      <c r="N201" s="86"/>
    </row>
    <row r="202">
      <c r="N202" s="86"/>
    </row>
    <row r="203">
      <c r="N203" s="86"/>
    </row>
    <row r="204">
      <c r="N204" s="86"/>
    </row>
    <row r="205">
      <c r="N205" s="86"/>
    </row>
    <row r="206">
      <c r="N206" s="86"/>
    </row>
    <row r="207">
      <c r="N207" s="86"/>
    </row>
    <row r="208">
      <c r="N208" s="86"/>
    </row>
    <row r="209">
      <c r="N209" s="86"/>
    </row>
    <row r="210">
      <c r="N210" s="86"/>
    </row>
    <row r="211">
      <c r="N211" s="86"/>
    </row>
    <row r="212">
      <c r="N212" s="86"/>
    </row>
    <row r="213">
      <c r="N213" s="86"/>
    </row>
    <row r="214">
      <c r="N214" s="86"/>
    </row>
    <row r="215">
      <c r="N215" s="86"/>
    </row>
    <row r="216">
      <c r="N216" s="86"/>
    </row>
    <row r="217">
      <c r="N217" s="86"/>
    </row>
    <row r="218">
      <c r="N218" s="86"/>
    </row>
    <row r="219">
      <c r="N219" s="86"/>
    </row>
    <row r="220">
      <c r="N220" s="86"/>
    </row>
    <row r="221">
      <c r="N221" s="86"/>
    </row>
    <row r="222">
      <c r="N222" s="86"/>
    </row>
    <row r="223">
      <c r="N223" s="86"/>
    </row>
    <row r="224">
      <c r="N224" s="86"/>
    </row>
    <row r="225">
      <c r="N225" s="86"/>
    </row>
    <row r="226">
      <c r="N226" s="86"/>
    </row>
    <row r="227">
      <c r="N227" s="86"/>
    </row>
    <row r="228">
      <c r="N228" s="86"/>
    </row>
    <row r="229">
      <c r="N229" s="86"/>
    </row>
    <row r="230">
      <c r="N230" s="86"/>
    </row>
    <row r="231">
      <c r="N231" s="86"/>
    </row>
    <row r="232">
      <c r="N232" s="86"/>
    </row>
    <row r="233">
      <c r="N233" s="86"/>
    </row>
    <row r="234">
      <c r="N234" s="86"/>
    </row>
    <row r="235">
      <c r="N235" s="86"/>
    </row>
    <row r="236">
      <c r="N236" s="86"/>
    </row>
    <row r="237">
      <c r="N237" s="86"/>
    </row>
    <row r="238">
      <c r="N238" s="86"/>
    </row>
    <row r="239">
      <c r="N239" s="86"/>
    </row>
    <row r="240">
      <c r="N240" s="86"/>
    </row>
    <row r="241">
      <c r="N241" s="86"/>
    </row>
    <row r="242">
      <c r="N242" s="86"/>
    </row>
    <row r="243">
      <c r="N243" s="86"/>
    </row>
    <row r="244">
      <c r="N244" s="86"/>
    </row>
    <row r="245">
      <c r="N245" s="86"/>
    </row>
    <row r="246">
      <c r="N246" s="86"/>
    </row>
    <row r="247">
      <c r="N247" s="86"/>
    </row>
    <row r="248">
      <c r="N248" s="86"/>
    </row>
    <row r="249">
      <c r="N249" s="86"/>
    </row>
    <row r="250">
      <c r="N250" s="86"/>
    </row>
    <row r="251">
      <c r="N251" s="86"/>
    </row>
    <row r="252">
      <c r="N252" s="86"/>
    </row>
    <row r="253">
      <c r="N253" s="86"/>
    </row>
    <row r="254">
      <c r="N254" s="86"/>
    </row>
    <row r="255">
      <c r="N255" s="86"/>
    </row>
    <row r="256">
      <c r="N256" s="86"/>
    </row>
    <row r="257">
      <c r="N257" s="86"/>
    </row>
    <row r="258">
      <c r="N258" s="86"/>
    </row>
    <row r="259">
      <c r="N259" s="86"/>
    </row>
    <row r="260">
      <c r="N260" s="86"/>
    </row>
    <row r="261">
      <c r="N261" s="86"/>
    </row>
    <row r="262">
      <c r="N262" s="86"/>
    </row>
    <row r="263">
      <c r="N263" s="86"/>
    </row>
    <row r="264">
      <c r="N264" s="86"/>
    </row>
    <row r="265">
      <c r="N265" s="86"/>
    </row>
    <row r="266">
      <c r="N266" s="86"/>
    </row>
    <row r="267">
      <c r="N267" s="86"/>
    </row>
    <row r="268">
      <c r="N268" s="86"/>
    </row>
    <row r="269">
      <c r="N269" s="86"/>
    </row>
    <row r="270">
      <c r="N270" s="86"/>
    </row>
    <row r="271">
      <c r="N271" s="86"/>
    </row>
    <row r="272">
      <c r="N272" s="86"/>
    </row>
    <row r="273">
      <c r="N273" s="86"/>
    </row>
    <row r="274">
      <c r="N274" s="86"/>
    </row>
    <row r="275">
      <c r="N275" s="86"/>
    </row>
    <row r="276">
      <c r="N276" s="86"/>
    </row>
    <row r="277">
      <c r="N277" s="86"/>
    </row>
    <row r="278">
      <c r="N278" s="86"/>
    </row>
    <row r="279">
      <c r="N279" s="86"/>
    </row>
    <row r="280">
      <c r="N280" s="86"/>
    </row>
    <row r="281">
      <c r="N281" s="86"/>
    </row>
    <row r="282">
      <c r="N282" s="86"/>
    </row>
    <row r="283">
      <c r="N283" s="86"/>
    </row>
    <row r="284">
      <c r="N284" s="86"/>
    </row>
    <row r="285">
      <c r="N285" s="86"/>
    </row>
    <row r="286">
      <c r="N286" s="86"/>
    </row>
    <row r="287">
      <c r="N287" s="86"/>
    </row>
    <row r="288">
      <c r="N288" s="86"/>
    </row>
    <row r="289">
      <c r="N289" s="86"/>
    </row>
    <row r="290">
      <c r="N290" s="86"/>
    </row>
    <row r="291">
      <c r="N291" s="86"/>
    </row>
    <row r="292">
      <c r="N292" s="86"/>
    </row>
    <row r="293">
      <c r="N293" s="86"/>
    </row>
    <row r="294">
      <c r="N294" s="86"/>
    </row>
    <row r="295">
      <c r="N295" s="86"/>
    </row>
    <row r="296">
      <c r="N296" s="86"/>
    </row>
    <row r="297">
      <c r="N297" s="86"/>
    </row>
    <row r="298">
      <c r="N298" s="86"/>
    </row>
    <row r="299">
      <c r="N299" s="86"/>
    </row>
    <row r="300">
      <c r="N300" s="86"/>
    </row>
    <row r="301">
      <c r="N301" s="86"/>
    </row>
    <row r="302">
      <c r="N302" s="86"/>
    </row>
    <row r="303">
      <c r="N303" s="86"/>
    </row>
    <row r="304">
      <c r="N304" s="86"/>
    </row>
    <row r="305">
      <c r="N305" s="86"/>
    </row>
    <row r="306">
      <c r="N306" s="86"/>
    </row>
    <row r="307">
      <c r="N307" s="86"/>
    </row>
    <row r="308">
      <c r="N308" s="86"/>
    </row>
    <row r="309">
      <c r="N309" s="86"/>
    </row>
    <row r="310">
      <c r="N310" s="86"/>
    </row>
    <row r="311">
      <c r="N311" s="86"/>
    </row>
    <row r="312">
      <c r="N312" s="86"/>
    </row>
    <row r="313">
      <c r="N313" s="86"/>
    </row>
    <row r="314">
      <c r="N314" s="86"/>
    </row>
    <row r="315">
      <c r="N315" s="86"/>
    </row>
    <row r="316">
      <c r="N316" s="86"/>
    </row>
    <row r="317">
      <c r="N317" s="86"/>
    </row>
    <row r="318">
      <c r="N318" s="86"/>
    </row>
    <row r="319">
      <c r="N319" s="86"/>
    </row>
    <row r="320">
      <c r="N320" s="86"/>
    </row>
    <row r="321">
      <c r="N321" s="86"/>
    </row>
    <row r="322">
      <c r="N322" s="86"/>
    </row>
    <row r="323">
      <c r="N323" s="86"/>
    </row>
    <row r="324">
      <c r="N324" s="86"/>
    </row>
    <row r="325">
      <c r="N325" s="86"/>
    </row>
    <row r="326">
      <c r="N326" s="86"/>
    </row>
    <row r="327">
      <c r="N327" s="86"/>
    </row>
    <row r="328">
      <c r="N328" s="86"/>
    </row>
    <row r="329">
      <c r="N329" s="86"/>
    </row>
    <row r="330">
      <c r="N330" s="86"/>
    </row>
    <row r="331">
      <c r="N331" s="86"/>
    </row>
    <row r="332">
      <c r="N332" s="86"/>
    </row>
    <row r="333">
      <c r="N333" s="86"/>
    </row>
    <row r="334">
      <c r="N334" s="86"/>
    </row>
    <row r="335">
      <c r="N335" s="86"/>
    </row>
    <row r="336">
      <c r="N336" s="86"/>
    </row>
    <row r="337">
      <c r="N337" s="86"/>
    </row>
    <row r="338">
      <c r="N338" s="86"/>
    </row>
    <row r="339">
      <c r="N339" s="86"/>
    </row>
    <row r="340">
      <c r="N340" s="86"/>
    </row>
    <row r="341">
      <c r="N341" s="86"/>
    </row>
    <row r="342">
      <c r="N342" s="86"/>
    </row>
    <row r="343">
      <c r="N343" s="86"/>
    </row>
    <row r="344">
      <c r="N344" s="86"/>
    </row>
    <row r="345">
      <c r="N345" s="86"/>
    </row>
    <row r="346">
      <c r="N346" s="86"/>
    </row>
    <row r="347">
      <c r="N347" s="86"/>
    </row>
    <row r="348">
      <c r="N348" s="86"/>
    </row>
    <row r="349">
      <c r="N349" s="86"/>
    </row>
    <row r="350">
      <c r="N350" s="86"/>
    </row>
    <row r="351">
      <c r="N351" s="86"/>
    </row>
    <row r="352">
      <c r="N352" s="86"/>
    </row>
    <row r="353">
      <c r="N353" s="86"/>
    </row>
    <row r="354">
      <c r="N354" s="86"/>
    </row>
    <row r="355">
      <c r="N355" s="86"/>
    </row>
    <row r="356">
      <c r="N356" s="86"/>
    </row>
    <row r="357">
      <c r="N357" s="86"/>
    </row>
    <row r="358">
      <c r="N358" s="86"/>
    </row>
    <row r="359">
      <c r="N359" s="86"/>
    </row>
    <row r="360">
      <c r="N360" s="86"/>
    </row>
    <row r="361">
      <c r="N361" s="86"/>
    </row>
    <row r="362">
      <c r="N362" s="86"/>
    </row>
    <row r="363">
      <c r="N363" s="86"/>
    </row>
    <row r="364">
      <c r="N364" s="86"/>
    </row>
    <row r="365">
      <c r="N365" s="86"/>
    </row>
    <row r="366">
      <c r="N366" s="86"/>
    </row>
    <row r="367">
      <c r="N367" s="86"/>
    </row>
    <row r="368">
      <c r="N368" s="86"/>
    </row>
    <row r="369">
      <c r="N369" s="86"/>
    </row>
    <row r="370">
      <c r="N370" s="86"/>
    </row>
    <row r="371">
      <c r="N371" s="86"/>
    </row>
    <row r="372">
      <c r="N372" s="86"/>
    </row>
    <row r="373">
      <c r="N373" s="86"/>
    </row>
    <row r="374">
      <c r="N374" s="86"/>
    </row>
    <row r="375">
      <c r="N375" s="86"/>
    </row>
    <row r="376">
      <c r="N376" s="86"/>
    </row>
    <row r="377">
      <c r="N377" s="86"/>
    </row>
    <row r="378">
      <c r="N378" s="86"/>
    </row>
    <row r="379">
      <c r="N379" s="86"/>
    </row>
    <row r="380">
      <c r="N380" s="86"/>
    </row>
    <row r="381">
      <c r="N381" s="86"/>
    </row>
    <row r="382">
      <c r="N382" s="86"/>
    </row>
    <row r="383">
      <c r="N383" s="86"/>
    </row>
    <row r="384">
      <c r="N384" s="86"/>
    </row>
    <row r="385">
      <c r="N385" s="86"/>
    </row>
    <row r="386">
      <c r="N386" s="86"/>
    </row>
    <row r="387">
      <c r="N387" s="86"/>
    </row>
    <row r="388">
      <c r="N388" s="86"/>
    </row>
    <row r="389">
      <c r="N389" s="86"/>
    </row>
    <row r="390">
      <c r="N390" s="86"/>
    </row>
    <row r="391">
      <c r="N391" s="86"/>
    </row>
    <row r="392">
      <c r="N392" s="86"/>
    </row>
    <row r="393">
      <c r="N393" s="86"/>
    </row>
    <row r="394">
      <c r="N394" s="86"/>
    </row>
    <row r="395">
      <c r="N395" s="86"/>
    </row>
    <row r="396">
      <c r="N396" s="86"/>
    </row>
    <row r="397">
      <c r="N397" s="86"/>
    </row>
    <row r="398">
      <c r="N398" s="86"/>
    </row>
    <row r="399">
      <c r="N399" s="86"/>
    </row>
    <row r="400">
      <c r="N400" s="86"/>
    </row>
    <row r="401">
      <c r="N401" s="86"/>
    </row>
    <row r="402">
      <c r="N402" s="86"/>
    </row>
    <row r="403">
      <c r="N403" s="86"/>
    </row>
    <row r="404">
      <c r="N404" s="86"/>
    </row>
    <row r="405">
      <c r="N405" s="86"/>
    </row>
    <row r="406">
      <c r="N406" s="86"/>
    </row>
    <row r="407">
      <c r="N407" s="86"/>
    </row>
    <row r="408">
      <c r="N408" s="86"/>
    </row>
    <row r="409">
      <c r="N409" s="86"/>
    </row>
    <row r="410">
      <c r="N410" s="86"/>
    </row>
    <row r="411">
      <c r="N411" s="86"/>
    </row>
    <row r="412">
      <c r="N412" s="86"/>
    </row>
    <row r="413">
      <c r="N413" s="86"/>
    </row>
    <row r="414">
      <c r="N414" s="86"/>
    </row>
    <row r="415">
      <c r="N415" s="86"/>
    </row>
    <row r="416">
      <c r="N416" s="86"/>
    </row>
    <row r="417">
      <c r="N417" s="86"/>
    </row>
    <row r="418">
      <c r="N418" s="86"/>
    </row>
    <row r="419">
      <c r="N419" s="86"/>
    </row>
    <row r="420">
      <c r="N420" s="86"/>
    </row>
    <row r="421">
      <c r="N421" s="86"/>
    </row>
    <row r="422">
      <c r="N422" s="86"/>
    </row>
    <row r="423">
      <c r="N423" s="86"/>
    </row>
    <row r="424">
      <c r="N424" s="86"/>
    </row>
    <row r="425">
      <c r="N425" s="86"/>
    </row>
    <row r="426">
      <c r="N426" s="86"/>
    </row>
    <row r="427">
      <c r="N427" s="86"/>
    </row>
    <row r="428">
      <c r="N428" s="86"/>
    </row>
    <row r="429">
      <c r="N429" s="86"/>
    </row>
    <row r="430">
      <c r="N430" s="86"/>
    </row>
    <row r="431">
      <c r="N431" s="86"/>
    </row>
    <row r="432">
      <c r="N432" s="86"/>
    </row>
    <row r="433">
      <c r="N433" s="86"/>
    </row>
    <row r="434">
      <c r="N434" s="86"/>
    </row>
    <row r="435">
      <c r="N435" s="86"/>
    </row>
    <row r="436">
      <c r="N436" s="86"/>
    </row>
    <row r="437">
      <c r="N437" s="86"/>
    </row>
    <row r="438">
      <c r="N438" s="86"/>
    </row>
    <row r="439">
      <c r="N439" s="86"/>
    </row>
    <row r="440">
      <c r="N440" s="86"/>
    </row>
    <row r="441">
      <c r="N441" s="86"/>
    </row>
    <row r="442">
      <c r="N442" s="86"/>
    </row>
    <row r="443">
      <c r="N443" s="86"/>
    </row>
    <row r="444">
      <c r="N444" s="86"/>
    </row>
    <row r="445">
      <c r="N445" s="86"/>
    </row>
    <row r="446">
      <c r="N446" s="86"/>
    </row>
    <row r="447">
      <c r="N447" s="86"/>
    </row>
    <row r="448">
      <c r="N448" s="86"/>
    </row>
    <row r="449">
      <c r="N449" s="86"/>
    </row>
    <row r="450">
      <c r="N450" s="86"/>
    </row>
    <row r="451">
      <c r="N451" s="86"/>
    </row>
    <row r="452">
      <c r="N452" s="86"/>
    </row>
    <row r="453">
      <c r="N453" s="86"/>
    </row>
    <row r="454">
      <c r="N454" s="86"/>
    </row>
    <row r="455">
      <c r="N455" s="86"/>
    </row>
    <row r="456">
      <c r="N456" s="86"/>
    </row>
    <row r="457">
      <c r="N457" s="86"/>
    </row>
    <row r="458">
      <c r="N458" s="86"/>
    </row>
    <row r="459">
      <c r="N459" s="86"/>
    </row>
    <row r="460">
      <c r="N460" s="86"/>
    </row>
    <row r="461">
      <c r="N461" s="86"/>
    </row>
    <row r="462">
      <c r="N462" s="86"/>
    </row>
    <row r="463">
      <c r="N463" s="86"/>
    </row>
    <row r="464">
      <c r="N464" s="86"/>
    </row>
    <row r="465">
      <c r="N465" s="86"/>
    </row>
    <row r="466">
      <c r="N466" s="86"/>
    </row>
    <row r="467">
      <c r="N467" s="86"/>
    </row>
    <row r="468">
      <c r="N468" s="86"/>
    </row>
    <row r="469">
      <c r="N469" s="86"/>
    </row>
    <row r="470">
      <c r="N470" s="86"/>
    </row>
    <row r="471">
      <c r="N471" s="86"/>
    </row>
    <row r="472">
      <c r="N472" s="86"/>
    </row>
    <row r="473">
      <c r="N473" s="86"/>
    </row>
    <row r="474">
      <c r="N474" s="86"/>
    </row>
    <row r="475">
      <c r="N475" s="86"/>
    </row>
    <row r="476">
      <c r="N476" s="86"/>
    </row>
    <row r="477">
      <c r="N477" s="86"/>
    </row>
    <row r="478">
      <c r="N478" s="86"/>
    </row>
    <row r="479">
      <c r="N479" s="86"/>
    </row>
    <row r="480">
      <c r="N480" s="86"/>
    </row>
    <row r="481">
      <c r="N481" s="86"/>
    </row>
    <row r="482">
      <c r="N482" s="86"/>
    </row>
    <row r="483">
      <c r="N483" s="86"/>
    </row>
    <row r="484">
      <c r="N484" s="86"/>
    </row>
    <row r="485">
      <c r="N485" s="86"/>
    </row>
    <row r="486">
      <c r="N486" s="86"/>
    </row>
    <row r="487">
      <c r="N487" s="86"/>
    </row>
    <row r="488">
      <c r="N488" s="86"/>
    </row>
    <row r="489">
      <c r="N489" s="86"/>
    </row>
    <row r="490">
      <c r="N490" s="86"/>
    </row>
    <row r="491">
      <c r="N491" s="86"/>
    </row>
    <row r="492">
      <c r="N492" s="86"/>
    </row>
    <row r="493">
      <c r="N493" s="86"/>
    </row>
    <row r="494">
      <c r="N494" s="86"/>
    </row>
    <row r="495">
      <c r="N495" s="86"/>
    </row>
    <row r="496">
      <c r="N496" s="86"/>
    </row>
    <row r="497">
      <c r="N497" s="86"/>
    </row>
    <row r="498">
      <c r="N498" s="86"/>
    </row>
    <row r="499">
      <c r="N499" s="86"/>
    </row>
    <row r="500">
      <c r="N500" s="86"/>
    </row>
    <row r="501">
      <c r="N501" s="86"/>
    </row>
    <row r="502">
      <c r="N502" s="86"/>
    </row>
    <row r="503">
      <c r="N503" s="86"/>
    </row>
    <row r="504">
      <c r="N504" s="86"/>
    </row>
    <row r="505">
      <c r="N505" s="86"/>
    </row>
    <row r="506">
      <c r="N506" s="86"/>
    </row>
    <row r="507">
      <c r="N507" s="86"/>
    </row>
    <row r="508">
      <c r="N508" s="86"/>
    </row>
    <row r="509">
      <c r="N509" s="86"/>
    </row>
    <row r="510">
      <c r="N510" s="86"/>
    </row>
    <row r="511">
      <c r="N511" s="86"/>
    </row>
    <row r="512">
      <c r="N512" s="86"/>
    </row>
    <row r="513">
      <c r="N513" s="86"/>
    </row>
    <row r="514">
      <c r="N514" s="86"/>
    </row>
    <row r="515">
      <c r="N515" s="86"/>
    </row>
    <row r="516">
      <c r="N516" s="86"/>
    </row>
    <row r="517">
      <c r="N517" s="86"/>
    </row>
    <row r="518">
      <c r="N518" s="86"/>
    </row>
    <row r="519">
      <c r="N519" s="86"/>
    </row>
    <row r="520">
      <c r="N520" s="86"/>
    </row>
    <row r="521">
      <c r="N521" s="86"/>
    </row>
    <row r="522">
      <c r="N522" s="86"/>
    </row>
    <row r="523">
      <c r="N523" s="86"/>
    </row>
    <row r="524">
      <c r="N524" s="86"/>
    </row>
    <row r="525">
      <c r="N525" s="86"/>
    </row>
    <row r="526">
      <c r="N526" s="86"/>
    </row>
    <row r="527">
      <c r="N527" s="86"/>
    </row>
    <row r="528">
      <c r="N528" s="86"/>
    </row>
    <row r="529">
      <c r="N529" s="86"/>
    </row>
    <row r="530">
      <c r="N530" s="86"/>
    </row>
    <row r="531">
      <c r="N531" s="86"/>
    </row>
    <row r="532">
      <c r="N532" s="86"/>
    </row>
    <row r="533">
      <c r="N533" s="86"/>
    </row>
    <row r="534">
      <c r="N534" s="86"/>
    </row>
    <row r="535">
      <c r="N535" s="86"/>
    </row>
    <row r="536">
      <c r="N536" s="86"/>
    </row>
    <row r="537">
      <c r="N537" s="86"/>
    </row>
    <row r="538">
      <c r="N538" s="86"/>
    </row>
    <row r="539">
      <c r="N539" s="86"/>
    </row>
    <row r="540">
      <c r="N540" s="86"/>
    </row>
    <row r="541">
      <c r="N541" s="86"/>
    </row>
    <row r="542">
      <c r="N542" s="86"/>
    </row>
    <row r="543">
      <c r="N543" s="86"/>
    </row>
    <row r="544">
      <c r="N544" s="86"/>
    </row>
    <row r="545">
      <c r="N545" s="86"/>
    </row>
    <row r="546">
      <c r="N546" s="86"/>
    </row>
    <row r="547">
      <c r="N547" s="86"/>
    </row>
    <row r="548">
      <c r="N548" s="86"/>
    </row>
    <row r="549">
      <c r="N549" s="86"/>
    </row>
    <row r="550">
      <c r="N550" s="86"/>
    </row>
    <row r="551">
      <c r="N551" s="86"/>
    </row>
    <row r="552">
      <c r="N552" s="86"/>
    </row>
    <row r="553">
      <c r="N553" s="86"/>
    </row>
    <row r="554">
      <c r="N554" s="86"/>
    </row>
    <row r="555">
      <c r="N555" s="86"/>
    </row>
    <row r="556">
      <c r="N556" s="86"/>
    </row>
    <row r="557">
      <c r="N557" s="86"/>
    </row>
    <row r="558">
      <c r="N558" s="86"/>
    </row>
    <row r="559">
      <c r="N559" s="86"/>
    </row>
    <row r="560">
      <c r="N560" s="86"/>
    </row>
    <row r="561">
      <c r="N561" s="86"/>
    </row>
    <row r="562">
      <c r="N562" s="86"/>
    </row>
    <row r="563">
      <c r="N563" s="86"/>
    </row>
    <row r="564">
      <c r="N564" s="86"/>
    </row>
    <row r="565">
      <c r="N565" s="86"/>
    </row>
    <row r="566">
      <c r="N566" s="86"/>
    </row>
    <row r="567">
      <c r="N567" s="86"/>
    </row>
    <row r="568">
      <c r="N568" s="86"/>
    </row>
    <row r="569">
      <c r="N569" s="86"/>
    </row>
    <row r="570">
      <c r="N570" s="86"/>
    </row>
    <row r="571">
      <c r="N571" s="86"/>
    </row>
    <row r="572">
      <c r="N572" s="86"/>
    </row>
    <row r="573">
      <c r="N573" s="86"/>
    </row>
    <row r="574">
      <c r="N574" s="86"/>
    </row>
    <row r="575">
      <c r="N575" s="86"/>
    </row>
    <row r="576">
      <c r="N576" s="86"/>
    </row>
    <row r="577">
      <c r="N577" s="86"/>
    </row>
    <row r="578">
      <c r="N578" s="86"/>
    </row>
    <row r="579">
      <c r="N579" s="86"/>
    </row>
    <row r="580">
      <c r="N580" s="86"/>
    </row>
    <row r="581">
      <c r="N581" s="86"/>
    </row>
    <row r="582">
      <c r="N582" s="86"/>
    </row>
    <row r="583">
      <c r="N583" s="86"/>
    </row>
    <row r="584">
      <c r="N584" s="86"/>
    </row>
    <row r="585">
      <c r="N585" s="86"/>
    </row>
    <row r="586">
      <c r="N586" s="86"/>
    </row>
    <row r="587">
      <c r="N587" s="86"/>
    </row>
    <row r="588">
      <c r="N588" s="86"/>
    </row>
    <row r="589">
      <c r="N589" s="86"/>
    </row>
    <row r="590">
      <c r="N590" s="86"/>
    </row>
    <row r="591">
      <c r="N591" s="86"/>
    </row>
    <row r="592">
      <c r="N592" s="86"/>
    </row>
    <row r="593">
      <c r="N593" s="86"/>
    </row>
    <row r="594">
      <c r="N594" s="86"/>
    </row>
    <row r="595">
      <c r="N595" s="86"/>
    </row>
    <row r="596">
      <c r="N596" s="86"/>
    </row>
    <row r="597">
      <c r="N597" s="86"/>
    </row>
    <row r="598">
      <c r="N598" s="86"/>
    </row>
    <row r="599">
      <c r="N599" s="86"/>
    </row>
    <row r="600">
      <c r="N600" s="86"/>
    </row>
    <row r="601">
      <c r="N601" s="86"/>
    </row>
    <row r="602">
      <c r="N602" s="86"/>
    </row>
    <row r="603">
      <c r="N603" s="86"/>
    </row>
    <row r="604">
      <c r="N604" s="86"/>
    </row>
    <row r="605">
      <c r="N605" s="86"/>
    </row>
    <row r="606">
      <c r="N606" s="86"/>
    </row>
    <row r="607">
      <c r="N607" s="86"/>
    </row>
    <row r="608">
      <c r="N608" s="86"/>
    </row>
    <row r="609">
      <c r="N609" s="86"/>
    </row>
    <row r="610">
      <c r="N610" s="86"/>
    </row>
    <row r="611">
      <c r="N611" s="86"/>
    </row>
    <row r="612">
      <c r="N612" s="86"/>
    </row>
    <row r="613">
      <c r="N613" s="86"/>
    </row>
    <row r="614">
      <c r="N614" s="86"/>
    </row>
    <row r="615">
      <c r="N615" s="86"/>
    </row>
    <row r="616">
      <c r="N616" s="86"/>
    </row>
    <row r="617">
      <c r="N617" s="86"/>
    </row>
    <row r="618">
      <c r="N618" s="86"/>
    </row>
    <row r="619">
      <c r="N619" s="86"/>
    </row>
    <row r="620">
      <c r="N620" s="86"/>
    </row>
    <row r="621">
      <c r="N621" s="86"/>
    </row>
    <row r="622">
      <c r="N622" s="86"/>
    </row>
    <row r="623">
      <c r="N623" s="86"/>
    </row>
    <row r="624">
      <c r="N624" s="86"/>
    </row>
    <row r="625">
      <c r="N625" s="86"/>
    </row>
    <row r="626">
      <c r="N626" s="86"/>
    </row>
    <row r="627">
      <c r="N627" s="86"/>
    </row>
    <row r="628">
      <c r="N628" s="86"/>
    </row>
    <row r="629">
      <c r="N629" s="86"/>
    </row>
    <row r="630">
      <c r="N630" s="86"/>
    </row>
    <row r="631">
      <c r="N631" s="86"/>
    </row>
    <row r="632">
      <c r="N632" s="86"/>
    </row>
    <row r="633">
      <c r="N633" s="86"/>
    </row>
    <row r="634">
      <c r="N634" s="86"/>
    </row>
    <row r="635">
      <c r="N635" s="86"/>
    </row>
    <row r="636">
      <c r="N636" s="86"/>
    </row>
    <row r="637">
      <c r="N637" s="86"/>
    </row>
    <row r="638">
      <c r="N638" s="86"/>
    </row>
    <row r="639">
      <c r="N639" s="86"/>
    </row>
    <row r="640">
      <c r="N640" s="86"/>
    </row>
    <row r="641">
      <c r="N641" s="86"/>
    </row>
    <row r="642">
      <c r="N642" s="86"/>
    </row>
    <row r="643">
      <c r="N643" s="86"/>
    </row>
    <row r="644">
      <c r="N644" s="86"/>
    </row>
    <row r="645">
      <c r="N645" s="86"/>
    </row>
    <row r="646">
      <c r="N646" s="86"/>
    </row>
    <row r="647">
      <c r="N647" s="86"/>
    </row>
    <row r="648">
      <c r="N648" s="86"/>
    </row>
    <row r="649">
      <c r="N649" s="86"/>
    </row>
    <row r="650">
      <c r="N650" s="86"/>
    </row>
    <row r="651">
      <c r="N651" s="86"/>
    </row>
    <row r="652">
      <c r="N652" s="86"/>
    </row>
    <row r="653">
      <c r="N653" s="86"/>
    </row>
    <row r="654">
      <c r="N654" s="86"/>
    </row>
    <row r="655">
      <c r="N655" s="86"/>
    </row>
    <row r="656">
      <c r="N656" s="86"/>
    </row>
    <row r="657">
      <c r="N657" s="86"/>
    </row>
    <row r="658">
      <c r="N658" s="86"/>
    </row>
    <row r="659">
      <c r="N659" s="86"/>
    </row>
    <row r="660">
      <c r="N660" s="86"/>
    </row>
    <row r="661">
      <c r="N661" s="86"/>
    </row>
    <row r="662">
      <c r="N662" s="86"/>
    </row>
    <row r="663">
      <c r="N663" s="86"/>
    </row>
    <row r="664">
      <c r="N664" s="86"/>
    </row>
    <row r="665">
      <c r="N665" s="86"/>
    </row>
    <row r="666">
      <c r="N666" s="86"/>
    </row>
    <row r="667">
      <c r="N667" s="86"/>
    </row>
    <row r="668">
      <c r="N668" s="86"/>
    </row>
    <row r="669">
      <c r="N669" s="86"/>
    </row>
    <row r="670">
      <c r="N670" s="86"/>
    </row>
    <row r="671">
      <c r="N671" s="86"/>
    </row>
    <row r="672">
      <c r="N672" s="86"/>
    </row>
    <row r="673">
      <c r="N673" s="86"/>
    </row>
    <row r="674">
      <c r="N674" s="86"/>
    </row>
    <row r="675">
      <c r="N675" s="86"/>
    </row>
    <row r="676">
      <c r="N676" s="86"/>
    </row>
    <row r="677">
      <c r="N677" s="86"/>
    </row>
    <row r="678">
      <c r="N678" s="86"/>
    </row>
    <row r="679">
      <c r="N679" s="86"/>
    </row>
    <row r="680">
      <c r="N680" s="86"/>
    </row>
    <row r="681">
      <c r="N681" s="86"/>
    </row>
    <row r="682">
      <c r="N682" s="86"/>
    </row>
    <row r="683">
      <c r="N683" s="86"/>
    </row>
    <row r="684">
      <c r="N684" s="86"/>
    </row>
    <row r="685">
      <c r="N685" s="86"/>
    </row>
    <row r="686">
      <c r="N686" s="86"/>
    </row>
    <row r="687">
      <c r="N687" s="86"/>
    </row>
    <row r="688">
      <c r="N688" s="86"/>
    </row>
    <row r="689">
      <c r="N689" s="86"/>
    </row>
    <row r="690">
      <c r="N690" s="86"/>
    </row>
    <row r="691">
      <c r="N691" s="86"/>
    </row>
    <row r="692">
      <c r="N692" s="86"/>
    </row>
    <row r="693">
      <c r="N693" s="86"/>
    </row>
    <row r="694">
      <c r="N694" s="86"/>
    </row>
    <row r="695">
      <c r="N695" s="86"/>
    </row>
    <row r="696">
      <c r="N696" s="86"/>
    </row>
    <row r="697">
      <c r="N697" s="86"/>
    </row>
    <row r="698">
      <c r="N698" s="86"/>
    </row>
    <row r="699">
      <c r="N699" s="86"/>
    </row>
    <row r="700">
      <c r="N700" s="86"/>
    </row>
    <row r="701">
      <c r="N701" s="86"/>
    </row>
    <row r="702">
      <c r="N702" s="86"/>
    </row>
    <row r="703">
      <c r="N703" s="86"/>
    </row>
    <row r="704">
      <c r="N704" s="86"/>
    </row>
    <row r="705">
      <c r="N705" s="86"/>
    </row>
    <row r="706">
      <c r="N706" s="86"/>
    </row>
    <row r="707">
      <c r="N707" s="86"/>
    </row>
    <row r="708">
      <c r="N708" s="86"/>
    </row>
    <row r="709">
      <c r="N709" s="86"/>
    </row>
    <row r="710">
      <c r="N710" s="86"/>
    </row>
    <row r="711">
      <c r="N711" s="86"/>
    </row>
    <row r="712">
      <c r="N712" s="86"/>
    </row>
    <row r="713">
      <c r="N713" s="86"/>
    </row>
    <row r="714">
      <c r="N714" s="86"/>
    </row>
    <row r="715">
      <c r="N715" s="86"/>
    </row>
    <row r="716">
      <c r="N716" s="86"/>
    </row>
    <row r="717">
      <c r="N717" s="86"/>
    </row>
    <row r="718">
      <c r="N718" s="86"/>
    </row>
    <row r="719">
      <c r="N719" s="86"/>
    </row>
    <row r="720">
      <c r="N720" s="86"/>
    </row>
    <row r="721">
      <c r="N721" s="86"/>
    </row>
    <row r="722">
      <c r="N722" s="86"/>
    </row>
    <row r="723">
      <c r="N723" s="86"/>
    </row>
    <row r="724">
      <c r="N724" s="86"/>
    </row>
    <row r="725">
      <c r="N725" s="86"/>
    </row>
    <row r="726">
      <c r="N726" s="86"/>
    </row>
    <row r="727">
      <c r="N727" s="86"/>
    </row>
    <row r="728">
      <c r="N728" s="86"/>
    </row>
    <row r="729">
      <c r="N729" s="86"/>
    </row>
    <row r="730">
      <c r="N730" s="86"/>
    </row>
    <row r="731">
      <c r="N731" s="86"/>
    </row>
    <row r="732">
      <c r="N732" s="86"/>
    </row>
    <row r="733">
      <c r="N733" s="86"/>
    </row>
    <row r="734">
      <c r="N734" s="86"/>
    </row>
    <row r="735">
      <c r="N735" s="86"/>
    </row>
    <row r="736">
      <c r="N736" s="86"/>
    </row>
    <row r="737">
      <c r="N737" s="86"/>
    </row>
    <row r="738">
      <c r="N738" s="86"/>
    </row>
    <row r="739">
      <c r="N739" s="86"/>
    </row>
    <row r="740">
      <c r="N740" s="86"/>
    </row>
    <row r="741">
      <c r="N741" s="86"/>
    </row>
    <row r="742">
      <c r="N742" s="86"/>
    </row>
    <row r="743">
      <c r="N743" s="86"/>
    </row>
    <row r="744">
      <c r="N744" s="86"/>
    </row>
    <row r="745">
      <c r="N745" s="86"/>
    </row>
    <row r="746">
      <c r="N746" s="86"/>
    </row>
    <row r="747">
      <c r="N747" s="86"/>
    </row>
    <row r="748">
      <c r="N748" s="86"/>
    </row>
    <row r="749">
      <c r="N749" s="86"/>
    </row>
    <row r="750">
      <c r="N750" s="86"/>
    </row>
    <row r="751">
      <c r="N751" s="86"/>
    </row>
    <row r="752">
      <c r="N752" s="86"/>
    </row>
    <row r="753">
      <c r="N753" s="86"/>
    </row>
    <row r="754">
      <c r="N754" s="86"/>
    </row>
    <row r="755">
      <c r="N755" s="86"/>
    </row>
    <row r="756">
      <c r="N756" s="86"/>
    </row>
    <row r="757">
      <c r="N757" s="86"/>
    </row>
    <row r="758">
      <c r="N758" s="86"/>
    </row>
    <row r="759">
      <c r="N759" s="86"/>
    </row>
    <row r="760">
      <c r="N760" s="86"/>
    </row>
    <row r="761">
      <c r="N761" s="86"/>
    </row>
    <row r="762">
      <c r="N762" s="86"/>
    </row>
    <row r="763">
      <c r="N763" s="86"/>
    </row>
    <row r="764">
      <c r="N764" s="86"/>
    </row>
    <row r="765">
      <c r="N765" s="86"/>
    </row>
    <row r="766">
      <c r="N766" s="86"/>
    </row>
    <row r="767">
      <c r="N767" s="86"/>
    </row>
    <row r="768">
      <c r="N768" s="86"/>
    </row>
    <row r="769">
      <c r="N769" s="86"/>
    </row>
    <row r="770">
      <c r="N770" s="86"/>
    </row>
    <row r="771">
      <c r="N771" s="86"/>
    </row>
    <row r="772">
      <c r="N772" s="86"/>
    </row>
    <row r="773">
      <c r="N773" s="86"/>
    </row>
    <row r="774">
      <c r="N774" s="86"/>
    </row>
    <row r="775">
      <c r="N775" s="86"/>
    </row>
    <row r="776">
      <c r="N776" s="86"/>
    </row>
    <row r="777">
      <c r="N777" s="86"/>
    </row>
    <row r="778">
      <c r="N778" s="86"/>
    </row>
    <row r="779">
      <c r="N779" s="86"/>
    </row>
    <row r="780">
      <c r="N780" s="86"/>
    </row>
    <row r="781">
      <c r="N781" s="86"/>
    </row>
    <row r="782">
      <c r="N782" s="86"/>
    </row>
    <row r="783">
      <c r="N783" s="86"/>
    </row>
    <row r="784">
      <c r="N784" s="86"/>
    </row>
    <row r="785">
      <c r="N785" s="86"/>
    </row>
    <row r="786">
      <c r="N786" s="86"/>
    </row>
    <row r="787">
      <c r="N787" s="86"/>
    </row>
    <row r="788">
      <c r="N788" s="86"/>
    </row>
    <row r="789">
      <c r="N789" s="86"/>
    </row>
    <row r="790">
      <c r="N790" s="86"/>
    </row>
    <row r="791">
      <c r="N791" s="86"/>
    </row>
    <row r="792">
      <c r="N792" s="86"/>
    </row>
    <row r="793">
      <c r="N793" s="86"/>
    </row>
    <row r="794">
      <c r="N794" s="86"/>
    </row>
    <row r="795">
      <c r="N795" s="86"/>
    </row>
    <row r="796">
      <c r="N796" s="86"/>
    </row>
    <row r="797">
      <c r="N797" s="86"/>
    </row>
    <row r="798">
      <c r="N798" s="86"/>
    </row>
    <row r="799">
      <c r="N799" s="86"/>
    </row>
    <row r="800">
      <c r="N800" s="86"/>
    </row>
    <row r="801">
      <c r="N801" s="86"/>
    </row>
    <row r="802">
      <c r="N802" s="86"/>
    </row>
    <row r="803">
      <c r="N803" s="86"/>
    </row>
    <row r="804">
      <c r="N804" s="86"/>
    </row>
    <row r="805">
      <c r="N805" s="86"/>
    </row>
    <row r="806">
      <c r="N806" s="86"/>
    </row>
    <row r="807">
      <c r="N807" s="86"/>
    </row>
    <row r="808">
      <c r="N808" s="86"/>
    </row>
    <row r="809">
      <c r="N809" s="86"/>
    </row>
    <row r="810">
      <c r="N810" s="86"/>
    </row>
    <row r="811">
      <c r="N811" s="86"/>
    </row>
    <row r="812">
      <c r="N812" s="86"/>
    </row>
    <row r="813">
      <c r="N813" s="86"/>
    </row>
    <row r="814">
      <c r="N814" s="86"/>
    </row>
    <row r="815">
      <c r="N815" s="86"/>
    </row>
    <row r="816">
      <c r="N816" s="86"/>
    </row>
    <row r="817">
      <c r="N817" s="86"/>
    </row>
    <row r="818">
      <c r="N818" s="86"/>
    </row>
    <row r="819">
      <c r="N819" s="86"/>
    </row>
    <row r="820">
      <c r="N820" s="86"/>
    </row>
    <row r="821">
      <c r="N821" s="86"/>
    </row>
    <row r="822">
      <c r="N822" s="86"/>
    </row>
    <row r="823">
      <c r="N823" s="86"/>
    </row>
    <row r="824">
      <c r="N824" s="86"/>
    </row>
    <row r="825">
      <c r="N825" s="86"/>
    </row>
    <row r="826">
      <c r="N826" s="86"/>
    </row>
    <row r="827">
      <c r="N827" s="86"/>
    </row>
    <row r="828">
      <c r="N828" s="86"/>
    </row>
    <row r="829">
      <c r="N829" s="86"/>
    </row>
    <row r="830">
      <c r="N830" s="86"/>
    </row>
    <row r="831">
      <c r="N831" s="86"/>
    </row>
    <row r="832">
      <c r="N832" s="86"/>
    </row>
    <row r="833">
      <c r="N833" s="86"/>
    </row>
    <row r="834">
      <c r="N834" s="86"/>
    </row>
    <row r="835">
      <c r="N835" s="86"/>
    </row>
    <row r="836">
      <c r="N836" s="86"/>
    </row>
    <row r="837">
      <c r="N837" s="86"/>
    </row>
    <row r="838">
      <c r="N838" s="86"/>
    </row>
    <row r="839">
      <c r="N839" s="86"/>
    </row>
    <row r="840">
      <c r="N840" s="86"/>
    </row>
    <row r="841">
      <c r="N841" s="86"/>
    </row>
    <row r="842">
      <c r="N842" s="86"/>
    </row>
    <row r="843">
      <c r="N843" s="86"/>
    </row>
    <row r="844">
      <c r="N844" s="86"/>
    </row>
    <row r="845">
      <c r="N845" s="86"/>
    </row>
    <row r="846">
      <c r="N846" s="86"/>
    </row>
    <row r="847">
      <c r="N847" s="86"/>
    </row>
    <row r="848">
      <c r="N848" s="86"/>
    </row>
    <row r="849">
      <c r="N849" s="86"/>
    </row>
    <row r="850">
      <c r="N850" s="86"/>
    </row>
    <row r="851">
      <c r="N851" s="86"/>
    </row>
    <row r="852">
      <c r="N852" s="86"/>
    </row>
    <row r="853">
      <c r="N853" s="86"/>
    </row>
    <row r="854">
      <c r="N854" s="86"/>
    </row>
    <row r="855">
      <c r="N855" s="86"/>
    </row>
    <row r="856">
      <c r="N856" s="86"/>
    </row>
    <row r="857">
      <c r="N857" s="86"/>
    </row>
    <row r="858">
      <c r="N858" s="86"/>
    </row>
    <row r="859">
      <c r="N859" s="86"/>
    </row>
    <row r="860">
      <c r="N860" s="86"/>
    </row>
    <row r="861">
      <c r="N861" s="86"/>
    </row>
    <row r="862">
      <c r="N862" s="86"/>
    </row>
    <row r="863">
      <c r="N863" s="86"/>
    </row>
    <row r="864">
      <c r="N864" s="86"/>
    </row>
    <row r="865">
      <c r="N865" s="86"/>
    </row>
    <row r="866">
      <c r="N866" s="86"/>
    </row>
    <row r="867">
      <c r="N867" s="86"/>
    </row>
    <row r="868">
      <c r="N868" s="86"/>
    </row>
    <row r="869">
      <c r="N869" s="86"/>
    </row>
    <row r="870">
      <c r="N870" s="86"/>
    </row>
    <row r="871">
      <c r="N871" s="86"/>
    </row>
    <row r="872">
      <c r="N872" s="86"/>
    </row>
    <row r="873">
      <c r="N873" s="86"/>
    </row>
    <row r="874">
      <c r="N874" s="86"/>
    </row>
    <row r="875">
      <c r="N875" s="86"/>
    </row>
    <row r="876">
      <c r="N876" s="86"/>
    </row>
    <row r="877">
      <c r="N877" s="86"/>
    </row>
    <row r="878">
      <c r="N878" s="86"/>
    </row>
    <row r="879">
      <c r="N879" s="86"/>
    </row>
    <row r="880">
      <c r="N880" s="86"/>
    </row>
    <row r="881">
      <c r="N881" s="86"/>
    </row>
    <row r="882">
      <c r="N882" s="86"/>
    </row>
    <row r="883">
      <c r="N883" s="86"/>
    </row>
    <row r="884">
      <c r="N884" s="86"/>
    </row>
    <row r="885">
      <c r="N885" s="86"/>
    </row>
    <row r="886">
      <c r="N886" s="86"/>
    </row>
    <row r="887">
      <c r="N887" s="86"/>
    </row>
    <row r="888">
      <c r="N888" s="86"/>
    </row>
    <row r="889">
      <c r="N889" s="86"/>
    </row>
    <row r="890">
      <c r="N890" s="86"/>
    </row>
    <row r="891">
      <c r="N891" s="86"/>
    </row>
    <row r="892">
      <c r="N892" s="86"/>
    </row>
    <row r="893">
      <c r="N893" s="86"/>
    </row>
    <row r="894">
      <c r="N894" s="86"/>
    </row>
    <row r="895">
      <c r="N895" s="86"/>
    </row>
    <row r="896">
      <c r="N896" s="86"/>
    </row>
    <row r="897">
      <c r="N897" s="86"/>
    </row>
    <row r="898">
      <c r="N898" s="86"/>
    </row>
    <row r="899">
      <c r="N899" s="86"/>
    </row>
    <row r="900">
      <c r="N900" s="86"/>
    </row>
    <row r="901">
      <c r="N901" s="86"/>
    </row>
    <row r="902">
      <c r="N902" s="86"/>
    </row>
    <row r="903">
      <c r="N903" s="86"/>
    </row>
    <row r="904">
      <c r="N904" s="86"/>
    </row>
    <row r="905">
      <c r="N905" s="86"/>
    </row>
    <row r="906">
      <c r="N906" s="86"/>
    </row>
    <row r="907">
      <c r="N907" s="86"/>
    </row>
    <row r="908">
      <c r="N908" s="86"/>
    </row>
    <row r="909">
      <c r="N909" s="86"/>
    </row>
    <row r="910">
      <c r="N910" s="86"/>
    </row>
    <row r="911">
      <c r="N911" s="86"/>
    </row>
    <row r="912">
      <c r="N912" s="86"/>
    </row>
    <row r="913">
      <c r="N913" s="86"/>
    </row>
    <row r="914">
      <c r="N914" s="86"/>
    </row>
    <row r="915">
      <c r="N915" s="86"/>
    </row>
    <row r="916">
      <c r="N916" s="86"/>
    </row>
    <row r="917">
      <c r="N917" s="86"/>
    </row>
    <row r="918">
      <c r="N918" s="86"/>
    </row>
    <row r="919">
      <c r="N919" s="86"/>
    </row>
    <row r="920">
      <c r="N920" s="86"/>
    </row>
    <row r="921">
      <c r="N921" s="86"/>
    </row>
    <row r="922">
      <c r="N922" s="86"/>
    </row>
    <row r="923">
      <c r="N923" s="86"/>
    </row>
    <row r="924">
      <c r="N924" s="86"/>
    </row>
    <row r="925">
      <c r="N925" s="86"/>
    </row>
    <row r="926">
      <c r="N926" s="86"/>
    </row>
    <row r="927">
      <c r="N927" s="86"/>
    </row>
    <row r="928">
      <c r="N928" s="86"/>
    </row>
    <row r="929">
      <c r="N929" s="86"/>
    </row>
    <row r="930">
      <c r="N930" s="86"/>
    </row>
    <row r="931">
      <c r="N931" s="86"/>
    </row>
    <row r="932">
      <c r="N932" s="86"/>
    </row>
    <row r="933">
      <c r="N933" s="86"/>
    </row>
    <row r="934">
      <c r="N934" s="86"/>
    </row>
    <row r="935">
      <c r="N935" s="86"/>
    </row>
    <row r="936">
      <c r="N936" s="86"/>
    </row>
    <row r="937">
      <c r="N937" s="86"/>
    </row>
    <row r="938">
      <c r="N938" s="86"/>
    </row>
    <row r="939">
      <c r="N939" s="86"/>
    </row>
    <row r="940">
      <c r="N940" s="86"/>
    </row>
    <row r="941">
      <c r="N941" s="86"/>
    </row>
    <row r="942">
      <c r="N942" s="86"/>
    </row>
    <row r="943">
      <c r="N943" s="86"/>
    </row>
    <row r="944">
      <c r="N944" s="86"/>
    </row>
    <row r="945">
      <c r="N945" s="86"/>
    </row>
    <row r="946">
      <c r="N946" s="86"/>
    </row>
    <row r="947">
      <c r="N947" s="86"/>
    </row>
    <row r="948">
      <c r="N948" s="86"/>
    </row>
    <row r="949">
      <c r="N949" s="86"/>
    </row>
    <row r="950">
      <c r="N950" s="86"/>
    </row>
    <row r="951">
      <c r="N951" s="86"/>
    </row>
    <row r="952">
      <c r="N952" s="86"/>
    </row>
    <row r="953">
      <c r="N953" s="86"/>
    </row>
    <row r="954">
      <c r="N954" s="86"/>
    </row>
    <row r="955">
      <c r="N955" s="86"/>
    </row>
    <row r="956">
      <c r="N956" s="86"/>
    </row>
    <row r="957">
      <c r="N957" s="86"/>
    </row>
    <row r="958">
      <c r="N958" s="86"/>
    </row>
    <row r="959">
      <c r="N959" s="86"/>
    </row>
    <row r="960">
      <c r="N960" s="86"/>
    </row>
    <row r="961">
      <c r="N961" s="86"/>
    </row>
    <row r="962">
      <c r="N962" s="86"/>
    </row>
    <row r="963">
      <c r="N963" s="86"/>
    </row>
    <row r="964">
      <c r="N964" s="86"/>
    </row>
    <row r="965">
      <c r="N965" s="86"/>
    </row>
    <row r="966">
      <c r="N966" s="86"/>
    </row>
    <row r="967">
      <c r="N967" s="86"/>
    </row>
    <row r="968">
      <c r="N968" s="86"/>
    </row>
    <row r="969">
      <c r="N969" s="86"/>
    </row>
    <row r="970">
      <c r="N970" s="86"/>
    </row>
    <row r="971">
      <c r="N971" s="86"/>
    </row>
    <row r="972">
      <c r="N972" s="86"/>
    </row>
    <row r="973">
      <c r="N973" s="86"/>
    </row>
    <row r="974">
      <c r="N974" s="86"/>
    </row>
    <row r="975">
      <c r="N975" s="86"/>
    </row>
    <row r="976">
      <c r="N976" s="86"/>
    </row>
    <row r="977">
      <c r="N977" s="86"/>
    </row>
    <row r="978">
      <c r="N978" s="86"/>
    </row>
    <row r="979">
      <c r="N979" s="86"/>
    </row>
    <row r="980">
      <c r="N980" s="86"/>
    </row>
    <row r="981">
      <c r="N981" s="86"/>
    </row>
    <row r="982">
      <c r="N982" s="86"/>
    </row>
    <row r="983">
      <c r="N983" s="86"/>
    </row>
    <row r="984">
      <c r="N984" s="86"/>
    </row>
    <row r="985">
      <c r="N985" s="86"/>
    </row>
    <row r="986">
      <c r="N986" s="86"/>
    </row>
    <row r="987">
      <c r="N987" s="86"/>
    </row>
    <row r="988">
      <c r="N988" s="86"/>
    </row>
    <row r="989">
      <c r="N989" s="86"/>
    </row>
    <row r="990">
      <c r="N990" s="86"/>
    </row>
    <row r="991">
      <c r="N991" s="86"/>
    </row>
    <row r="992">
      <c r="N992" s="86"/>
    </row>
    <row r="993">
      <c r="N993" s="86"/>
    </row>
    <row r="994">
      <c r="N994" s="86"/>
    </row>
  </sheetData>
  <mergeCells count="29">
    <mergeCell ref="A1:B1"/>
    <mergeCell ref="B3:B7"/>
    <mergeCell ref="A9:B9"/>
    <mergeCell ref="B11:B15"/>
    <mergeCell ref="A21:C21"/>
    <mergeCell ref="A22:E22"/>
    <mergeCell ref="A23:C23"/>
    <mergeCell ref="D3:D7"/>
    <mergeCell ref="F3:F7"/>
    <mergeCell ref="A8:I8"/>
    <mergeCell ref="C1:D1"/>
    <mergeCell ref="C9:D9"/>
    <mergeCell ref="D11:D15"/>
    <mergeCell ref="G9:H9"/>
    <mergeCell ref="F11:F15"/>
    <mergeCell ref="H11:H15"/>
    <mergeCell ref="J15:L15"/>
    <mergeCell ref="H16:I16"/>
    <mergeCell ref="H17:I17"/>
    <mergeCell ref="H18:I18"/>
    <mergeCell ref="Q21:Q22"/>
    <mergeCell ref="Q26:Q27"/>
    <mergeCell ref="E1:F1"/>
    <mergeCell ref="G1:H1"/>
    <mergeCell ref="J1:L14"/>
    <mergeCell ref="M1:M994"/>
    <mergeCell ref="N1:O1"/>
    <mergeCell ref="R1:S1"/>
    <mergeCell ref="H3:H7"/>
  </mergeCells>
  <hyperlinks>
    <hyperlink r:id="rId1" ref="J15"/>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19.88"/>
    <col customWidth="1" min="2" max="2" width="2.25"/>
    <col customWidth="1" min="3" max="3" width="19.13"/>
    <col customWidth="1" min="4" max="4" width="2.75"/>
    <col customWidth="1" min="5" max="5" width="19.63"/>
    <col customWidth="1" min="6" max="6" width="2.63"/>
    <col customWidth="1" min="7" max="7" width="17.88"/>
    <col customWidth="1" min="8" max="8" width="2.5"/>
    <col customWidth="1" min="9" max="9" width="20.13"/>
    <col customWidth="1" min="10" max="10" width="3.88"/>
    <col customWidth="1" min="11" max="11" width="8.0"/>
    <col customWidth="1" min="12" max="12" width="3.63"/>
    <col customWidth="1" min="13" max="13" width="1.5"/>
    <col customWidth="1" min="14" max="14" width="28.0"/>
    <col customWidth="1" min="15" max="15" width="5.13"/>
    <col customWidth="1" min="16" max="16" width="27.13"/>
    <col customWidth="1" min="17" max="17" width="4.88"/>
    <col customWidth="1" min="18" max="18" width="26.25"/>
    <col customWidth="1" min="19" max="19" width="6.13"/>
    <col customWidth="1" min="20" max="20" width="26.13"/>
  </cols>
  <sheetData>
    <row r="1">
      <c r="A1" s="1" t="s">
        <v>59</v>
      </c>
      <c r="B1" s="2"/>
      <c r="C1" s="1" t="s">
        <v>1</v>
      </c>
      <c r="D1" s="3"/>
      <c r="E1" s="1" t="s">
        <v>2</v>
      </c>
      <c r="F1" s="2"/>
      <c r="G1" s="4" t="s">
        <v>3</v>
      </c>
      <c r="H1" s="2"/>
      <c r="I1" s="5" t="s">
        <v>73</v>
      </c>
      <c r="J1" s="6">
        <v>2030.0</v>
      </c>
      <c r="K1" s="7"/>
      <c r="L1" s="8"/>
      <c r="M1" s="9"/>
      <c r="N1" s="108" t="s">
        <v>404</v>
      </c>
      <c r="O1" s="109"/>
      <c r="P1" s="110"/>
      <c r="Q1" s="13"/>
      <c r="R1" s="14" t="s">
        <v>405</v>
      </c>
      <c r="S1" s="15"/>
      <c r="T1" s="16" t="s">
        <v>8</v>
      </c>
    </row>
    <row r="2">
      <c r="A2" s="26" t="s">
        <v>128</v>
      </c>
      <c r="B2" s="252"/>
      <c r="C2" s="26" t="s">
        <v>396</v>
      </c>
      <c r="D2" s="253"/>
      <c r="E2" s="18" t="s">
        <v>9</v>
      </c>
      <c r="F2" s="253"/>
      <c r="G2" s="26" t="s">
        <v>14</v>
      </c>
      <c r="H2" s="253"/>
      <c r="I2" s="31" t="s">
        <v>35</v>
      </c>
      <c r="J2" s="19"/>
      <c r="L2" s="20"/>
      <c r="N2" s="231"/>
      <c r="O2" s="22" t="s">
        <v>11</v>
      </c>
      <c r="P2" s="232"/>
      <c r="Q2" s="24"/>
      <c r="R2" s="24"/>
      <c r="S2" s="24"/>
      <c r="T2" s="24"/>
    </row>
    <row r="3">
      <c r="A3" s="26" t="s">
        <v>18</v>
      </c>
      <c r="B3" s="25"/>
      <c r="C3" s="18" t="s">
        <v>46</v>
      </c>
      <c r="D3" s="25"/>
      <c r="E3" s="31" t="s">
        <v>15</v>
      </c>
      <c r="F3" s="25"/>
      <c r="G3" s="26" t="s">
        <v>397</v>
      </c>
      <c r="H3" s="25"/>
      <c r="J3" s="19"/>
      <c r="L3" s="20"/>
      <c r="N3" s="27"/>
      <c r="O3" s="233"/>
      <c r="P3" s="29"/>
      <c r="Q3" s="24"/>
      <c r="R3" s="24"/>
      <c r="S3" s="24"/>
      <c r="T3" s="24"/>
    </row>
    <row r="4">
      <c r="A4" s="18" t="s">
        <v>39</v>
      </c>
      <c r="B4" s="30"/>
      <c r="C4" s="18" t="s">
        <v>45</v>
      </c>
      <c r="D4" s="30"/>
      <c r="F4" s="30"/>
      <c r="H4" s="30"/>
      <c r="J4" s="19"/>
      <c r="L4" s="20"/>
      <c r="Q4" s="24"/>
      <c r="R4" s="24"/>
      <c r="S4" s="24"/>
      <c r="T4" s="24"/>
    </row>
    <row r="5">
      <c r="B5" s="30"/>
      <c r="D5" s="30"/>
      <c r="F5" s="30"/>
      <c r="G5" s="32"/>
      <c r="H5" s="30"/>
      <c r="J5" s="19"/>
      <c r="L5" s="20"/>
      <c r="N5" s="41"/>
      <c r="O5" s="41"/>
      <c r="P5" s="41"/>
      <c r="Q5" s="24"/>
    </row>
    <row r="6">
      <c r="B6" s="30"/>
      <c r="D6" s="30"/>
      <c r="F6" s="30"/>
      <c r="H6" s="30"/>
      <c r="J6" s="19"/>
      <c r="L6" s="20"/>
    </row>
    <row r="7">
      <c r="B7" s="40"/>
      <c r="D7" s="40"/>
      <c r="F7" s="40"/>
      <c r="H7" s="40"/>
      <c r="J7" s="19"/>
      <c r="L7" s="20"/>
    </row>
    <row r="8">
      <c r="A8" s="42">
        <v>2030.0</v>
      </c>
      <c r="B8" s="43"/>
      <c r="C8" s="43"/>
      <c r="D8" s="43"/>
      <c r="E8" s="43"/>
      <c r="F8" s="43"/>
      <c r="G8" s="43"/>
      <c r="H8" s="43"/>
      <c r="I8" s="44"/>
      <c r="J8" s="19"/>
      <c r="L8" s="20"/>
      <c r="N8" s="41"/>
      <c r="O8" s="41"/>
    </row>
    <row r="9">
      <c r="A9" s="45" t="s">
        <v>22</v>
      </c>
      <c r="B9" s="46"/>
      <c r="C9" s="47" t="s">
        <v>78</v>
      </c>
      <c r="D9" s="46"/>
      <c r="E9" s="48" t="s">
        <v>24</v>
      </c>
      <c r="F9" s="49"/>
      <c r="G9" s="47" t="s">
        <v>84</v>
      </c>
      <c r="H9" s="46"/>
      <c r="I9" s="50" t="s">
        <v>26</v>
      </c>
      <c r="J9" s="19"/>
      <c r="L9" s="20"/>
      <c r="N9" s="41"/>
      <c r="O9" s="41"/>
      <c r="P9" s="41"/>
    </row>
    <row r="10">
      <c r="A10" s="26" t="s">
        <v>119</v>
      </c>
      <c r="B10" s="254"/>
      <c r="C10" s="134" t="s">
        <v>36</v>
      </c>
      <c r="D10" s="254"/>
      <c r="E10" s="18" t="s">
        <v>30</v>
      </c>
      <c r="F10" s="255"/>
      <c r="G10" s="26" t="s">
        <v>393</v>
      </c>
      <c r="H10" s="254"/>
      <c r="I10" s="18" t="s">
        <v>32</v>
      </c>
      <c r="J10" s="19"/>
      <c r="L10" s="20"/>
      <c r="N10" s="41"/>
    </row>
    <row r="11">
      <c r="B11" s="25"/>
      <c r="C11" s="18" t="s">
        <v>43</v>
      </c>
      <c r="D11" s="25"/>
      <c r="E11" s="31" t="s">
        <v>38</v>
      </c>
      <c r="F11" s="25"/>
      <c r="G11" s="18" t="s">
        <v>40</v>
      </c>
      <c r="H11" s="25"/>
      <c r="I11" s="248" t="s">
        <v>42</v>
      </c>
      <c r="J11" s="19"/>
      <c r="L11" s="20"/>
    </row>
    <row r="12">
      <c r="A12" s="18"/>
      <c r="B12" s="30"/>
      <c r="D12" s="30"/>
      <c r="F12" s="30"/>
      <c r="H12" s="30"/>
      <c r="I12" s="60"/>
      <c r="J12" s="19"/>
      <c r="L12" s="20"/>
      <c r="N12" s="41"/>
      <c r="O12" s="41"/>
      <c r="P12" s="41"/>
    </row>
    <row r="13">
      <c r="B13" s="30"/>
      <c r="C13" s="24"/>
      <c r="D13" s="30"/>
      <c r="F13" s="30"/>
      <c r="H13" s="30"/>
      <c r="I13" s="236"/>
      <c r="J13" s="19"/>
      <c r="L13" s="20"/>
    </row>
    <row r="14">
      <c r="A14" s="24"/>
      <c r="B14" s="30"/>
      <c r="C14" s="24"/>
      <c r="D14" s="30"/>
      <c r="E14" s="41"/>
      <c r="F14" s="30"/>
      <c r="G14" s="41"/>
      <c r="H14" s="30"/>
      <c r="I14" s="237"/>
      <c r="J14" s="63"/>
      <c r="K14" s="64"/>
      <c r="L14" s="46"/>
      <c r="N14" s="41"/>
      <c r="O14" s="41"/>
      <c r="P14" s="41"/>
    </row>
    <row r="15">
      <c r="A15" s="65"/>
      <c r="B15" s="66"/>
      <c r="C15" s="67"/>
      <c r="D15" s="66"/>
      <c r="E15" s="67"/>
      <c r="F15" s="66"/>
      <c r="G15" s="67"/>
      <c r="H15" s="66"/>
      <c r="I15" s="238"/>
      <c r="N15" s="41"/>
    </row>
    <row r="16">
      <c r="A16" s="18" t="s">
        <v>48</v>
      </c>
      <c r="B16" s="18"/>
      <c r="C16" s="72"/>
      <c r="D16" s="18"/>
      <c r="E16" s="18"/>
      <c r="F16" s="24"/>
      <c r="G16" s="18"/>
      <c r="H16" s="73" t="s">
        <v>49</v>
      </c>
      <c r="I16" s="74"/>
      <c r="O16" s="41"/>
    </row>
    <row r="17">
      <c r="A17" s="18"/>
      <c r="B17" s="24"/>
      <c r="C17" s="72"/>
      <c r="D17" s="18"/>
      <c r="E17" s="18"/>
      <c r="F17" s="18"/>
      <c r="G17" s="18"/>
      <c r="H17" s="75" t="s">
        <v>51</v>
      </c>
      <c r="I17" s="76"/>
      <c r="N17" s="41"/>
      <c r="O17" s="41"/>
      <c r="P17" s="41"/>
    </row>
    <row r="18">
      <c r="A18" s="18"/>
      <c r="B18" s="18"/>
      <c r="C18" s="72"/>
      <c r="D18" s="18"/>
      <c r="E18" s="18"/>
      <c r="F18" s="18"/>
      <c r="G18" s="18"/>
      <c r="H18" s="77" t="s">
        <v>53</v>
      </c>
      <c r="I18" s="78"/>
      <c r="L18" s="79"/>
      <c r="N18" s="41"/>
    </row>
    <row r="19">
      <c r="A19" s="80"/>
      <c r="B19" s="81"/>
      <c r="C19" s="82"/>
      <c r="D19" s="24"/>
      <c r="E19" s="24"/>
      <c r="F19" s="18"/>
      <c r="G19" s="18"/>
      <c r="H19" s="24"/>
      <c r="I19" s="24"/>
      <c r="L19" s="79"/>
      <c r="O19" s="41"/>
      <c r="P19" s="41"/>
      <c r="Q19" s="83"/>
    </row>
    <row r="20">
      <c r="F20" s="79"/>
      <c r="G20" s="79"/>
      <c r="L20" s="79"/>
      <c r="N20" s="41"/>
      <c r="O20" s="41"/>
      <c r="P20" s="41"/>
      <c r="Q20" s="83"/>
    </row>
    <row r="21">
      <c r="A21" s="84"/>
      <c r="L21" s="79"/>
      <c r="N21" s="41"/>
      <c r="O21" s="41"/>
      <c r="P21" s="41"/>
      <c r="Q21" s="83"/>
    </row>
    <row r="22">
      <c r="F22" s="79"/>
      <c r="G22" s="79"/>
      <c r="P22" s="41"/>
    </row>
    <row r="23">
      <c r="A23" s="85"/>
      <c r="F23" s="79"/>
      <c r="G23" s="79"/>
      <c r="P23" s="41"/>
      <c r="Q23" s="83"/>
    </row>
    <row r="24">
      <c r="F24" s="79"/>
      <c r="G24" s="79"/>
      <c r="N24" s="41"/>
      <c r="O24" s="41"/>
      <c r="P24" s="41"/>
    </row>
    <row r="25">
      <c r="A25" s="79"/>
      <c r="B25" s="79"/>
      <c r="C25" s="79"/>
      <c r="D25" s="79"/>
      <c r="E25" s="79"/>
      <c r="F25" s="79"/>
      <c r="G25" s="79"/>
    </row>
    <row r="26">
      <c r="A26" s="79"/>
      <c r="B26" s="79"/>
      <c r="C26" s="79"/>
      <c r="D26" s="79"/>
      <c r="E26" s="79"/>
      <c r="F26" s="79"/>
      <c r="G26" s="79"/>
      <c r="N26" s="41"/>
      <c r="O26" s="41"/>
      <c r="P26" s="41"/>
    </row>
    <row r="27">
      <c r="N27" s="41"/>
      <c r="P27" s="41"/>
    </row>
    <row r="29">
      <c r="N29" s="41"/>
      <c r="O29" s="41"/>
      <c r="P29" s="41"/>
    </row>
    <row r="30">
      <c r="N30" s="41"/>
      <c r="P30" s="41"/>
    </row>
    <row r="31">
      <c r="P31" s="41"/>
    </row>
    <row r="32">
      <c r="N32" s="41"/>
      <c r="P32" s="41"/>
    </row>
    <row r="33">
      <c r="P33" s="41"/>
    </row>
    <row r="34">
      <c r="P34" s="41"/>
    </row>
    <row r="35">
      <c r="P35" s="41"/>
    </row>
    <row r="37">
      <c r="N37" s="41"/>
      <c r="O37" s="41"/>
      <c r="P37" s="41"/>
    </row>
    <row r="38">
      <c r="N38" s="41"/>
    </row>
    <row r="39">
      <c r="N39" s="41"/>
      <c r="P39" s="41"/>
    </row>
    <row r="40">
      <c r="N40" s="41"/>
      <c r="P40" s="41"/>
    </row>
    <row r="41">
      <c r="N41" s="41"/>
      <c r="P41" s="41"/>
    </row>
    <row r="42">
      <c r="P42" s="41"/>
    </row>
    <row r="43">
      <c r="N43" s="41"/>
      <c r="O43" s="41"/>
      <c r="P43" s="41"/>
    </row>
    <row r="44">
      <c r="N44" s="41"/>
      <c r="P44" s="41"/>
    </row>
    <row r="46">
      <c r="N46" s="86"/>
    </row>
    <row r="47">
      <c r="N47" s="86"/>
    </row>
    <row r="48">
      <c r="N48" s="86"/>
    </row>
    <row r="49">
      <c r="N49" s="86"/>
    </row>
    <row r="50">
      <c r="N50" s="86"/>
    </row>
    <row r="51">
      <c r="N51" s="86"/>
    </row>
    <row r="52">
      <c r="N52" s="86"/>
    </row>
    <row r="53">
      <c r="N53" s="86"/>
    </row>
    <row r="54">
      <c r="N54" s="86"/>
    </row>
    <row r="55">
      <c r="N55" s="86"/>
    </row>
    <row r="56">
      <c r="N56" s="86"/>
    </row>
    <row r="57">
      <c r="N57" s="86"/>
    </row>
    <row r="58">
      <c r="N58" s="86"/>
    </row>
    <row r="59">
      <c r="N59" s="86"/>
    </row>
    <row r="60">
      <c r="N60" s="86"/>
    </row>
    <row r="61">
      <c r="N61" s="86"/>
    </row>
    <row r="62">
      <c r="N62" s="86"/>
    </row>
    <row r="63">
      <c r="N63" s="86"/>
    </row>
    <row r="64">
      <c r="N64" s="86"/>
    </row>
    <row r="65">
      <c r="N65" s="86"/>
    </row>
    <row r="66">
      <c r="N66" s="86"/>
    </row>
    <row r="67">
      <c r="N67" s="86"/>
    </row>
    <row r="68">
      <c r="N68" s="86"/>
    </row>
    <row r="69">
      <c r="N69" s="86"/>
    </row>
    <row r="70">
      <c r="N70" s="86"/>
    </row>
    <row r="71">
      <c r="N71" s="86"/>
    </row>
    <row r="72">
      <c r="N72" s="86"/>
    </row>
    <row r="73">
      <c r="N73" s="86"/>
    </row>
    <row r="74">
      <c r="N74" s="86"/>
    </row>
    <row r="75">
      <c r="N75" s="86"/>
    </row>
    <row r="76">
      <c r="N76" s="86"/>
    </row>
    <row r="77">
      <c r="N77" s="86"/>
    </row>
    <row r="78">
      <c r="N78" s="86"/>
    </row>
    <row r="79">
      <c r="N79" s="86"/>
    </row>
    <row r="80">
      <c r="N80" s="86"/>
    </row>
    <row r="81">
      <c r="N81" s="86"/>
    </row>
    <row r="82">
      <c r="N82" s="86"/>
    </row>
    <row r="83">
      <c r="N83" s="86"/>
    </row>
    <row r="84">
      <c r="N84" s="86"/>
    </row>
    <row r="85">
      <c r="N85" s="86"/>
    </row>
    <row r="86">
      <c r="N86" s="86"/>
    </row>
    <row r="87">
      <c r="N87" s="86"/>
    </row>
    <row r="88">
      <c r="N88" s="86"/>
    </row>
    <row r="89">
      <c r="N89" s="86"/>
    </row>
    <row r="90">
      <c r="N90" s="86"/>
    </row>
    <row r="91">
      <c r="N91" s="86"/>
    </row>
    <row r="92">
      <c r="N92" s="86"/>
    </row>
    <row r="93">
      <c r="N93" s="86"/>
    </row>
    <row r="94">
      <c r="N94" s="86"/>
    </row>
    <row r="95">
      <c r="N95" s="86"/>
    </row>
    <row r="96">
      <c r="N96" s="86"/>
    </row>
    <row r="97">
      <c r="N97" s="86"/>
    </row>
    <row r="98">
      <c r="N98" s="86"/>
    </row>
    <row r="99">
      <c r="N99" s="86"/>
    </row>
    <row r="100">
      <c r="N100" s="86"/>
    </row>
    <row r="101">
      <c r="N101" s="86"/>
    </row>
    <row r="102">
      <c r="N102" s="86"/>
    </row>
    <row r="103">
      <c r="N103" s="86"/>
    </row>
    <row r="104">
      <c r="N104" s="86"/>
    </row>
    <row r="105">
      <c r="N105" s="86"/>
    </row>
    <row r="106">
      <c r="N106" s="86"/>
    </row>
    <row r="107">
      <c r="N107" s="86"/>
    </row>
    <row r="108">
      <c r="N108" s="86"/>
    </row>
    <row r="109">
      <c r="N109" s="86"/>
    </row>
    <row r="110">
      <c r="N110" s="86"/>
    </row>
    <row r="111">
      <c r="N111" s="86"/>
    </row>
    <row r="112">
      <c r="N112" s="86"/>
    </row>
    <row r="113">
      <c r="N113" s="86"/>
    </row>
    <row r="114">
      <c r="N114" s="86"/>
    </row>
    <row r="115">
      <c r="N115" s="86"/>
    </row>
    <row r="116">
      <c r="N116" s="86"/>
    </row>
    <row r="117">
      <c r="N117" s="86"/>
    </row>
    <row r="118">
      <c r="N118" s="86"/>
    </row>
    <row r="119">
      <c r="N119" s="86"/>
    </row>
    <row r="120">
      <c r="N120" s="86"/>
    </row>
    <row r="121">
      <c r="N121" s="86"/>
    </row>
    <row r="122">
      <c r="N122" s="86"/>
    </row>
    <row r="123">
      <c r="N123" s="86"/>
    </row>
    <row r="124">
      <c r="N124" s="86"/>
    </row>
    <row r="125">
      <c r="N125" s="86"/>
    </row>
    <row r="126">
      <c r="N126" s="86"/>
    </row>
    <row r="127">
      <c r="N127" s="86"/>
    </row>
    <row r="128">
      <c r="N128" s="86"/>
    </row>
    <row r="129">
      <c r="N129" s="86"/>
    </row>
    <row r="130">
      <c r="N130" s="86"/>
    </row>
    <row r="131">
      <c r="N131" s="86"/>
    </row>
    <row r="132">
      <c r="N132" s="86"/>
    </row>
    <row r="133">
      <c r="N133" s="86"/>
    </row>
    <row r="134">
      <c r="N134" s="86"/>
    </row>
    <row r="135">
      <c r="N135" s="86"/>
    </row>
    <row r="136">
      <c r="N136" s="86"/>
    </row>
    <row r="137">
      <c r="N137" s="86"/>
    </row>
    <row r="138">
      <c r="N138" s="86"/>
    </row>
    <row r="139">
      <c r="N139" s="86"/>
    </row>
    <row r="140">
      <c r="N140" s="86"/>
    </row>
    <row r="141">
      <c r="N141" s="86"/>
    </row>
    <row r="142">
      <c r="N142" s="86"/>
    </row>
    <row r="143">
      <c r="N143" s="86"/>
    </row>
    <row r="144">
      <c r="N144" s="86"/>
    </row>
    <row r="145">
      <c r="N145" s="86"/>
    </row>
    <row r="146">
      <c r="N146" s="86"/>
    </row>
    <row r="147">
      <c r="N147" s="86"/>
    </row>
    <row r="148">
      <c r="N148" s="86"/>
    </row>
    <row r="149">
      <c r="N149" s="86"/>
    </row>
    <row r="150">
      <c r="N150" s="86"/>
    </row>
    <row r="151">
      <c r="N151" s="86"/>
    </row>
    <row r="152">
      <c r="N152" s="86"/>
    </row>
    <row r="153">
      <c r="N153" s="86"/>
    </row>
    <row r="154">
      <c r="N154" s="86"/>
    </row>
    <row r="155">
      <c r="N155" s="86"/>
    </row>
    <row r="156">
      <c r="N156" s="86"/>
    </row>
    <row r="157">
      <c r="N157" s="86"/>
    </row>
    <row r="158">
      <c r="N158" s="86"/>
    </row>
    <row r="159">
      <c r="N159" s="86"/>
    </row>
    <row r="160">
      <c r="N160" s="86"/>
    </row>
    <row r="161">
      <c r="N161" s="86"/>
    </row>
    <row r="162">
      <c r="N162" s="86"/>
    </row>
    <row r="163">
      <c r="N163" s="86"/>
    </row>
    <row r="164">
      <c r="N164" s="86"/>
    </row>
    <row r="165">
      <c r="N165" s="86"/>
    </row>
    <row r="166">
      <c r="N166" s="86"/>
    </row>
    <row r="167">
      <c r="N167" s="86"/>
    </row>
    <row r="168">
      <c r="N168" s="86"/>
    </row>
    <row r="169">
      <c r="N169" s="86"/>
    </row>
    <row r="170">
      <c r="N170" s="86"/>
    </row>
    <row r="171">
      <c r="N171" s="86"/>
    </row>
    <row r="172">
      <c r="N172" s="86"/>
    </row>
    <row r="173">
      <c r="N173" s="86"/>
    </row>
    <row r="174">
      <c r="N174" s="86"/>
    </row>
    <row r="175">
      <c r="N175" s="86"/>
    </row>
    <row r="176">
      <c r="N176" s="86"/>
    </row>
    <row r="177">
      <c r="N177" s="86"/>
    </row>
    <row r="178">
      <c r="N178" s="86"/>
    </row>
    <row r="179">
      <c r="N179" s="86"/>
    </row>
    <row r="180">
      <c r="N180" s="86"/>
    </row>
    <row r="181">
      <c r="N181" s="86"/>
    </row>
    <row r="182">
      <c r="N182" s="86"/>
    </row>
    <row r="183">
      <c r="N183" s="86"/>
    </row>
    <row r="184">
      <c r="N184" s="86"/>
    </row>
    <row r="185">
      <c r="N185" s="86"/>
    </row>
    <row r="186">
      <c r="N186" s="86"/>
    </row>
    <row r="187">
      <c r="N187" s="86"/>
    </row>
    <row r="188">
      <c r="N188" s="86"/>
    </row>
    <row r="189">
      <c r="N189" s="86"/>
    </row>
    <row r="190">
      <c r="N190" s="86"/>
    </row>
    <row r="191">
      <c r="N191" s="86"/>
    </row>
    <row r="192">
      <c r="N192" s="86"/>
    </row>
    <row r="193">
      <c r="N193" s="86"/>
    </row>
    <row r="194">
      <c r="N194" s="86"/>
    </row>
    <row r="195">
      <c r="N195" s="86"/>
    </row>
    <row r="196">
      <c r="N196" s="86"/>
    </row>
    <row r="197">
      <c r="N197" s="86"/>
    </row>
    <row r="198">
      <c r="N198" s="86"/>
    </row>
    <row r="199">
      <c r="N199" s="86"/>
    </row>
    <row r="200">
      <c r="N200" s="86"/>
    </row>
    <row r="201">
      <c r="N201" s="86"/>
    </row>
    <row r="202">
      <c r="N202" s="86"/>
    </row>
    <row r="203">
      <c r="N203" s="86"/>
    </row>
    <row r="204">
      <c r="N204" s="86"/>
    </row>
    <row r="205">
      <c r="N205" s="86"/>
    </row>
    <row r="206">
      <c r="N206" s="86"/>
    </row>
    <row r="207">
      <c r="N207" s="86"/>
    </row>
    <row r="208">
      <c r="N208" s="86"/>
    </row>
    <row r="209">
      <c r="N209" s="86"/>
    </row>
    <row r="210">
      <c r="N210" s="86"/>
    </row>
    <row r="211">
      <c r="N211" s="86"/>
    </row>
    <row r="212">
      <c r="N212" s="86"/>
    </row>
    <row r="213">
      <c r="N213" s="86"/>
    </row>
    <row r="214">
      <c r="N214" s="86"/>
    </row>
    <row r="215">
      <c r="N215" s="86"/>
    </row>
    <row r="216">
      <c r="N216" s="86"/>
    </row>
    <row r="217">
      <c r="N217" s="86"/>
    </row>
    <row r="218">
      <c r="N218" s="86"/>
    </row>
    <row r="219">
      <c r="N219" s="86"/>
    </row>
    <row r="220">
      <c r="N220" s="86"/>
    </row>
    <row r="221">
      <c r="N221" s="86"/>
    </row>
    <row r="222">
      <c r="N222" s="86"/>
    </row>
    <row r="223">
      <c r="N223" s="86"/>
    </row>
    <row r="224">
      <c r="N224" s="86"/>
    </row>
    <row r="225">
      <c r="N225" s="86"/>
    </row>
    <row r="226">
      <c r="N226" s="86"/>
    </row>
    <row r="227">
      <c r="N227" s="86"/>
    </row>
    <row r="228">
      <c r="N228" s="86"/>
    </row>
    <row r="229">
      <c r="N229" s="86"/>
    </row>
    <row r="230">
      <c r="N230" s="86"/>
    </row>
    <row r="231">
      <c r="N231" s="86"/>
    </row>
    <row r="232">
      <c r="N232" s="86"/>
    </row>
    <row r="233">
      <c r="N233" s="86"/>
    </row>
    <row r="234">
      <c r="N234" s="86"/>
    </row>
    <row r="235">
      <c r="N235" s="86"/>
    </row>
    <row r="236">
      <c r="N236" s="86"/>
    </row>
    <row r="237">
      <c r="N237" s="86"/>
    </row>
    <row r="238">
      <c r="N238" s="86"/>
    </row>
    <row r="239">
      <c r="N239" s="86"/>
    </row>
    <row r="240">
      <c r="N240" s="86"/>
    </row>
    <row r="241">
      <c r="N241" s="86"/>
    </row>
    <row r="242">
      <c r="N242" s="86"/>
    </row>
    <row r="243">
      <c r="N243" s="86"/>
    </row>
    <row r="244">
      <c r="N244" s="86"/>
    </row>
    <row r="245">
      <c r="N245" s="86"/>
    </row>
    <row r="246">
      <c r="N246" s="86"/>
    </row>
    <row r="247">
      <c r="N247" s="86"/>
    </row>
    <row r="248">
      <c r="N248" s="86"/>
    </row>
    <row r="249">
      <c r="N249" s="86"/>
    </row>
    <row r="250">
      <c r="N250" s="86"/>
    </row>
    <row r="251">
      <c r="N251" s="86"/>
    </row>
    <row r="252">
      <c r="N252" s="86"/>
    </row>
    <row r="253">
      <c r="N253" s="86"/>
    </row>
    <row r="254">
      <c r="N254" s="86"/>
    </row>
    <row r="255">
      <c r="N255" s="86"/>
    </row>
    <row r="256">
      <c r="N256" s="86"/>
    </row>
    <row r="257">
      <c r="N257" s="86"/>
    </row>
    <row r="258">
      <c r="N258" s="86"/>
    </row>
    <row r="259">
      <c r="N259" s="86"/>
    </row>
    <row r="260">
      <c r="N260" s="86"/>
    </row>
    <row r="261">
      <c r="N261" s="86"/>
    </row>
    <row r="262">
      <c r="N262" s="86"/>
    </row>
    <row r="263">
      <c r="N263" s="86"/>
    </row>
    <row r="264">
      <c r="N264" s="86"/>
    </row>
    <row r="265">
      <c r="N265" s="86"/>
    </row>
    <row r="266">
      <c r="N266" s="86"/>
    </row>
    <row r="267">
      <c r="N267" s="86"/>
    </row>
    <row r="268">
      <c r="N268" s="86"/>
    </row>
    <row r="269">
      <c r="N269" s="86"/>
    </row>
    <row r="270">
      <c r="N270" s="86"/>
    </row>
    <row r="271">
      <c r="N271" s="86"/>
    </row>
    <row r="272">
      <c r="N272" s="86"/>
    </row>
    <row r="273">
      <c r="N273" s="86"/>
    </row>
    <row r="274">
      <c r="N274" s="86"/>
    </row>
    <row r="275">
      <c r="N275" s="86"/>
    </row>
    <row r="276">
      <c r="N276" s="86"/>
    </row>
    <row r="277">
      <c r="N277" s="86"/>
    </row>
    <row r="278">
      <c r="N278" s="86"/>
    </row>
    <row r="279">
      <c r="N279" s="86"/>
    </row>
    <row r="280">
      <c r="N280" s="86"/>
    </row>
    <row r="281">
      <c r="N281" s="86"/>
    </row>
    <row r="282">
      <c r="N282" s="86"/>
    </row>
    <row r="283">
      <c r="N283" s="86"/>
    </row>
    <row r="284">
      <c r="N284" s="86"/>
    </row>
    <row r="285">
      <c r="N285" s="86"/>
    </row>
    <row r="286">
      <c r="N286" s="86"/>
    </row>
    <row r="287">
      <c r="N287" s="86"/>
    </row>
    <row r="288">
      <c r="N288" s="86"/>
    </row>
    <row r="289">
      <c r="N289" s="86"/>
    </row>
    <row r="290">
      <c r="N290" s="86"/>
    </row>
    <row r="291">
      <c r="N291" s="86"/>
    </row>
    <row r="292">
      <c r="N292" s="86"/>
    </row>
    <row r="293">
      <c r="N293" s="86"/>
    </row>
    <row r="294">
      <c r="N294" s="86"/>
    </row>
    <row r="295">
      <c r="N295" s="86"/>
    </row>
    <row r="296">
      <c r="N296" s="86"/>
    </row>
    <row r="297">
      <c r="N297" s="86"/>
    </row>
    <row r="298">
      <c r="N298" s="86"/>
    </row>
    <row r="299">
      <c r="N299" s="86"/>
    </row>
    <row r="300">
      <c r="N300" s="86"/>
    </row>
    <row r="301">
      <c r="N301" s="86"/>
    </row>
    <row r="302">
      <c r="N302" s="86"/>
    </row>
    <row r="303">
      <c r="N303" s="86"/>
    </row>
    <row r="304">
      <c r="N304" s="86"/>
    </row>
    <row r="305">
      <c r="N305" s="86"/>
    </row>
    <row r="306">
      <c r="N306" s="86"/>
    </row>
    <row r="307">
      <c r="N307" s="86"/>
    </row>
    <row r="308">
      <c r="N308" s="86"/>
    </row>
    <row r="309">
      <c r="N309" s="86"/>
    </row>
    <row r="310">
      <c r="N310" s="86"/>
    </row>
    <row r="311">
      <c r="N311" s="86"/>
    </row>
    <row r="312">
      <c r="N312" s="86"/>
    </row>
    <row r="313">
      <c r="N313" s="86"/>
    </row>
    <row r="314">
      <c r="N314" s="86"/>
    </row>
    <row r="315">
      <c r="N315" s="86"/>
    </row>
    <row r="316">
      <c r="N316" s="86"/>
    </row>
    <row r="317">
      <c r="N317" s="86"/>
    </row>
    <row r="318">
      <c r="N318" s="86"/>
    </row>
    <row r="319">
      <c r="N319" s="86"/>
    </row>
    <row r="320">
      <c r="N320" s="86"/>
    </row>
    <row r="321">
      <c r="N321" s="86"/>
    </row>
    <row r="322">
      <c r="N322" s="86"/>
    </row>
    <row r="323">
      <c r="N323" s="86"/>
    </row>
    <row r="324">
      <c r="N324" s="86"/>
    </row>
    <row r="325">
      <c r="N325" s="86"/>
    </row>
    <row r="326">
      <c r="N326" s="86"/>
    </row>
    <row r="327">
      <c r="N327" s="86"/>
    </row>
    <row r="328">
      <c r="N328" s="86"/>
    </row>
    <row r="329">
      <c r="N329" s="86"/>
    </row>
    <row r="330">
      <c r="N330" s="86"/>
    </row>
    <row r="331">
      <c r="N331" s="86"/>
    </row>
    <row r="332">
      <c r="N332" s="86"/>
    </row>
    <row r="333">
      <c r="N333" s="86"/>
    </row>
    <row r="334">
      <c r="N334" s="86"/>
    </row>
    <row r="335">
      <c r="N335" s="86"/>
    </row>
    <row r="336">
      <c r="N336" s="86"/>
    </row>
    <row r="337">
      <c r="N337" s="86"/>
    </row>
    <row r="338">
      <c r="N338" s="86"/>
    </row>
    <row r="339">
      <c r="N339" s="86"/>
    </row>
    <row r="340">
      <c r="N340" s="86"/>
    </row>
    <row r="341">
      <c r="N341" s="86"/>
    </row>
    <row r="342">
      <c r="N342" s="86"/>
    </row>
    <row r="343">
      <c r="N343" s="86"/>
    </row>
    <row r="344">
      <c r="N344" s="86"/>
    </row>
    <row r="345">
      <c r="N345" s="86"/>
    </row>
    <row r="346">
      <c r="N346" s="86"/>
    </row>
    <row r="347">
      <c r="N347" s="86"/>
    </row>
    <row r="348">
      <c r="N348" s="86"/>
    </row>
    <row r="349">
      <c r="N349" s="86"/>
    </row>
    <row r="350">
      <c r="N350" s="86"/>
    </row>
    <row r="351">
      <c r="N351" s="86"/>
    </row>
    <row r="352">
      <c r="N352" s="86"/>
    </row>
    <row r="353">
      <c r="N353" s="86"/>
    </row>
    <row r="354">
      <c r="N354" s="86"/>
    </row>
    <row r="355">
      <c r="N355" s="86"/>
    </row>
    <row r="356">
      <c r="N356" s="86"/>
    </row>
    <row r="357">
      <c r="N357" s="86"/>
    </row>
    <row r="358">
      <c r="N358" s="86"/>
    </row>
    <row r="359">
      <c r="N359" s="86"/>
    </row>
    <row r="360">
      <c r="N360" s="86"/>
    </row>
    <row r="361">
      <c r="N361" s="86"/>
    </row>
    <row r="362">
      <c r="N362" s="86"/>
    </row>
    <row r="363">
      <c r="N363" s="86"/>
    </row>
    <row r="364">
      <c r="N364" s="86"/>
    </row>
    <row r="365">
      <c r="N365" s="86"/>
    </row>
    <row r="366">
      <c r="N366" s="86"/>
    </row>
    <row r="367">
      <c r="N367" s="86"/>
    </row>
    <row r="368">
      <c r="N368" s="86"/>
    </row>
    <row r="369">
      <c r="N369" s="86"/>
    </row>
    <row r="370">
      <c r="N370" s="86"/>
    </row>
    <row r="371">
      <c r="N371" s="86"/>
    </row>
    <row r="372">
      <c r="N372" s="86"/>
    </row>
    <row r="373">
      <c r="N373" s="86"/>
    </row>
    <row r="374">
      <c r="N374" s="86"/>
    </row>
    <row r="375">
      <c r="N375" s="86"/>
    </row>
    <row r="376">
      <c r="N376" s="86"/>
    </row>
    <row r="377">
      <c r="N377" s="86"/>
    </row>
    <row r="378">
      <c r="N378" s="86"/>
    </row>
    <row r="379">
      <c r="N379" s="86"/>
    </row>
    <row r="380">
      <c r="N380" s="86"/>
    </row>
    <row r="381">
      <c r="N381" s="86"/>
    </row>
    <row r="382">
      <c r="N382" s="86"/>
    </row>
    <row r="383">
      <c r="N383" s="86"/>
    </row>
    <row r="384">
      <c r="N384" s="86"/>
    </row>
    <row r="385">
      <c r="N385" s="86"/>
    </row>
    <row r="386">
      <c r="N386" s="86"/>
    </row>
    <row r="387">
      <c r="N387" s="86"/>
    </row>
    <row r="388">
      <c r="N388" s="86"/>
    </row>
    <row r="389">
      <c r="N389" s="86"/>
    </row>
    <row r="390">
      <c r="N390" s="86"/>
    </row>
    <row r="391">
      <c r="N391" s="86"/>
    </row>
    <row r="392">
      <c r="N392" s="86"/>
    </row>
    <row r="393">
      <c r="N393" s="86"/>
    </row>
    <row r="394">
      <c r="N394" s="86"/>
    </row>
    <row r="395">
      <c r="N395" s="86"/>
    </row>
    <row r="396">
      <c r="N396" s="86"/>
    </row>
    <row r="397">
      <c r="N397" s="86"/>
    </row>
    <row r="398">
      <c r="N398" s="86"/>
    </row>
    <row r="399">
      <c r="N399" s="86"/>
    </row>
    <row r="400">
      <c r="N400" s="86"/>
    </row>
    <row r="401">
      <c r="N401" s="86"/>
    </row>
    <row r="402">
      <c r="N402" s="86"/>
    </row>
    <row r="403">
      <c r="N403" s="86"/>
    </row>
    <row r="404">
      <c r="N404" s="86"/>
    </row>
    <row r="405">
      <c r="N405" s="86"/>
    </row>
    <row r="406">
      <c r="N406" s="86"/>
    </row>
    <row r="407">
      <c r="N407" s="86"/>
    </row>
    <row r="408">
      <c r="N408" s="86"/>
    </row>
    <row r="409">
      <c r="N409" s="86"/>
    </row>
    <row r="410">
      <c r="N410" s="86"/>
    </row>
    <row r="411">
      <c r="N411" s="86"/>
    </row>
    <row r="412">
      <c r="N412" s="86"/>
    </row>
    <row r="413">
      <c r="N413" s="86"/>
    </row>
    <row r="414">
      <c r="N414" s="86"/>
    </row>
    <row r="415">
      <c r="N415" s="86"/>
    </row>
    <row r="416">
      <c r="N416" s="86"/>
    </row>
    <row r="417">
      <c r="N417" s="86"/>
    </row>
    <row r="418">
      <c r="N418" s="86"/>
    </row>
    <row r="419">
      <c r="N419" s="86"/>
    </row>
    <row r="420">
      <c r="N420" s="86"/>
    </row>
    <row r="421">
      <c r="N421" s="86"/>
    </row>
    <row r="422">
      <c r="N422" s="86"/>
    </row>
    <row r="423">
      <c r="N423" s="86"/>
    </row>
    <row r="424">
      <c r="N424" s="86"/>
    </row>
    <row r="425">
      <c r="N425" s="86"/>
    </row>
    <row r="426">
      <c r="N426" s="86"/>
    </row>
    <row r="427">
      <c r="N427" s="86"/>
    </row>
    <row r="428">
      <c r="N428" s="86"/>
    </row>
    <row r="429">
      <c r="N429" s="86"/>
    </row>
    <row r="430">
      <c r="N430" s="86"/>
    </row>
    <row r="431">
      <c r="N431" s="86"/>
    </row>
    <row r="432">
      <c r="N432" s="86"/>
    </row>
    <row r="433">
      <c r="N433" s="86"/>
    </row>
    <row r="434">
      <c r="N434" s="86"/>
    </row>
    <row r="435">
      <c r="N435" s="86"/>
    </row>
    <row r="436">
      <c r="N436" s="86"/>
    </row>
    <row r="437">
      <c r="N437" s="86"/>
    </row>
    <row r="438">
      <c r="N438" s="86"/>
    </row>
    <row r="439">
      <c r="N439" s="86"/>
    </row>
    <row r="440">
      <c r="N440" s="86"/>
    </row>
    <row r="441">
      <c r="N441" s="86"/>
    </row>
    <row r="442">
      <c r="N442" s="86"/>
    </row>
    <row r="443">
      <c r="N443" s="86"/>
    </row>
    <row r="444">
      <c r="N444" s="86"/>
    </row>
    <row r="445">
      <c r="N445" s="86"/>
    </row>
    <row r="446">
      <c r="N446" s="86"/>
    </row>
    <row r="447">
      <c r="N447" s="86"/>
    </row>
    <row r="448">
      <c r="N448" s="86"/>
    </row>
    <row r="449">
      <c r="N449" s="86"/>
    </row>
    <row r="450">
      <c r="N450" s="86"/>
    </row>
    <row r="451">
      <c r="N451" s="86"/>
    </row>
    <row r="452">
      <c r="N452" s="86"/>
    </row>
    <row r="453">
      <c r="N453" s="86"/>
    </row>
    <row r="454">
      <c r="N454" s="86"/>
    </row>
    <row r="455">
      <c r="N455" s="86"/>
    </row>
    <row r="456">
      <c r="N456" s="86"/>
    </row>
    <row r="457">
      <c r="N457" s="86"/>
    </row>
    <row r="458">
      <c r="N458" s="86"/>
    </row>
    <row r="459">
      <c r="N459" s="86"/>
    </row>
    <row r="460">
      <c r="N460" s="86"/>
    </row>
    <row r="461">
      <c r="N461" s="86"/>
    </row>
    <row r="462">
      <c r="N462" s="86"/>
    </row>
    <row r="463">
      <c r="N463" s="86"/>
    </row>
    <row r="464">
      <c r="N464" s="86"/>
    </row>
    <row r="465">
      <c r="N465" s="86"/>
    </row>
    <row r="466">
      <c r="N466" s="86"/>
    </row>
    <row r="467">
      <c r="N467" s="86"/>
    </row>
    <row r="468">
      <c r="N468" s="86"/>
    </row>
    <row r="469">
      <c r="N469" s="86"/>
    </row>
    <row r="470">
      <c r="N470" s="86"/>
    </row>
    <row r="471">
      <c r="N471" s="86"/>
    </row>
    <row r="472">
      <c r="N472" s="86"/>
    </row>
    <row r="473">
      <c r="N473" s="86"/>
    </row>
    <row r="474">
      <c r="N474" s="86"/>
    </row>
    <row r="475">
      <c r="N475" s="86"/>
    </row>
    <row r="476">
      <c r="N476" s="86"/>
    </row>
    <row r="477">
      <c r="N477" s="86"/>
    </row>
    <row r="478">
      <c r="N478" s="86"/>
    </row>
    <row r="479">
      <c r="N479" s="86"/>
    </row>
    <row r="480">
      <c r="N480" s="86"/>
    </row>
    <row r="481">
      <c r="N481" s="86"/>
    </row>
    <row r="482">
      <c r="N482" s="86"/>
    </row>
    <row r="483">
      <c r="N483" s="86"/>
    </row>
    <row r="484">
      <c r="N484" s="86"/>
    </row>
    <row r="485">
      <c r="N485" s="86"/>
    </row>
    <row r="486">
      <c r="N486" s="86"/>
    </row>
    <row r="487">
      <c r="N487" s="86"/>
    </row>
    <row r="488">
      <c r="N488" s="86"/>
    </row>
    <row r="489">
      <c r="N489" s="86"/>
    </row>
    <row r="490">
      <c r="N490" s="86"/>
    </row>
    <row r="491">
      <c r="N491" s="86"/>
    </row>
    <row r="492">
      <c r="N492" s="86"/>
    </row>
    <row r="493">
      <c r="N493" s="86"/>
    </row>
    <row r="494">
      <c r="N494" s="86"/>
    </row>
    <row r="495">
      <c r="N495" s="86"/>
    </row>
    <row r="496">
      <c r="N496" s="86"/>
    </row>
    <row r="497">
      <c r="N497" s="86"/>
    </row>
    <row r="498">
      <c r="N498" s="86"/>
    </row>
    <row r="499">
      <c r="N499" s="86"/>
    </row>
    <row r="500">
      <c r="N500" s="86"/>
    </row>
    <row r="501">
      <c r="N501" s="86"/>
    </row>
    <row r="502">
      <c r="N502" s="86"/>
    </row>
    <row r="503">
      <c r="N503" s="86"/>
    </row>
    <row r="504">
      <c r="N504" s="86"/>
    </row>
    <row r="505">
      <c r="N505" s="86"/>
    </row>
    <row r="506">
      <c r="N506" s="86"/>
    </row>
    <row r="507">
      <c r="N507" s="86"/>
    </row>
    <row r="508">
      <c r="N508" s="86"/>
    </row>
    <row r="509">
      <c r="N509" s="86"/>
    </row>
    <row r="510">
      <c r="N510" s="86"/>
    </row>
    <row r="511">
      <c r="N511" s="86"/>
    </row>
    <row r="512">
      <c r="N512" s="86"/>
    </row>
    <row r="513">
      <c r="N513" s="86"/>
    </row>
    <row r="514">
      <c r="N514" s="86"/>
    </row>
    <row r="515">
      <c r="N515" s="86"/>
    </row>
    <row r="516">
      <c r="N516" s="86"/>
    </row>
    <row r="517">
      <c r="N517" s="86"/>
    </row>
    <row r="518">
      <c r="N518" s="86"/>
    </row>
    <row r="519">
      <c r="N519" s="86"/>
    </row>
    <row r="520">
      <c r="N520" s="86"/>
    </row>
    <row r="521">
      <c r="N521" s="86"/>
    </row>
    <row r="522">
      <c r="N522" s="86"/>
    </row>
    <row r="523">
      <c r="N523" s="86"/>
    </row>
    <row r="524">
      <c r="N524" s="86"/>
    </row>
    <row r="525">
      <c r="N525" s="86"/>
    </row>
    <row r="526">
      <c r="N526" s="86"/>
    </row>
    <row r="527">
      <c r="N527" s="86"/>
    </row>
    <row r="528">
      <c r="N528" s="86"/>
    </row>
    <row r="529">
      <c r="N529" s="86"/>
    </row>
    <row r="530">
      <c r="N530" s="86"/>
    </row>
    <row r="531">
      <c r="N531" s="86"/>
    </row>
    <row r="532">
      <c r="N532" s="86"/>
    </row>
    <row r="533">
      <c r="N533" s="86"/>
    </row>
    <row r="534">
      <c r="N534" s="86"/>
    </row>
    <row r="535">
      <c r="N535" s="86"/>
    </row>
    <row r="536">
      <c r="N536" s="86"/>
    </row>
    <row r="537">
      <c r="N537" s="86"/>
    </row>
    <row r="538">
      <c r="N538" s="86"/>
    </row>
    <row r="539">
      <c r="N539" s="86"/>
    </row>
    <row r="540">
      <c r="N540" s="86"/>
    </row>
    <row r="541">
      <c r="N541" s="86"/>
    </row>
    <row r="542">
      <c r="N542" s="86"/>
    </row>
    <row r="543">
      <c r="N543" s="86"/>
    </row>
    <row r="544">
      <c r="N544" s="86"/>
    </row>
    <row r="545">
      <c r="N545" s="86"/>
    </row>
    <row r="546">
      <c r="N546" s="86"/>
    </row>
    <row r="547">
      <c r="N547" s="86"/>
    </row>
    <row r="548">
      <c r="N548" s="86"/>
    </row>
    <row r="549">
      <c r="N549" s="86"/>
    </row>
    <row r="550">
      <c r="N550" s="86"/>
    </row>
    <row r="551">
      <c r="N551" s="86"/>
    </row>
    <row r="552">
      <c r="N552" s="86"/>
    </row>
    <row r="553">
      <c r="N553" s="86"/>
    </row>
    <row r="554">
      <c r="N554" s="86"/>
    </row>
    <row r="555">
      <c r="N555" s="86"/>
    </row>
    <row r="556">
      <c r="N556" s="86"/>
    </row>
    <row r="557">
      <c r="N557" s="86"/>
    </row>
    <row r="558">
      <c r="N558" s="86"/>
    </row>
    <row r="559">
      <c r="N559" s="86"/>
    </row>
    <row r="560">
      <c r="N560" s="86"/>
    </row>
    <row r="561">
      <c r="N561" s="86"/>
    </row>
    <row r="562">
      <c r="N562" s="86"/>
    </row>
    <row r="563">
      <c r="N563" s="86"/>
    </row>
    <row r="564">
      <c r="N564" s="86"/>
    </row>
    <row r="565">
      <c r="N565" s="86"/>
    </row>
    <row r="566">
      <c r="N566" s="86"/>
    </row>
    <row r="567">
      <c r="N567" s="86"/>
    </row>
    <row r="568">
      <c r="N568" s="86"/>
    </row>
    <row r="569">
      <c r="N569" s="86"/>
    </row>
    <row r="570">
      <c r="N570" s="86"/>
    </row>
    <row r="571">
      <c r="N571" s="86"/>
    </row>
    <row r="572">
      <c r="N572" s="86"/>
    </row>
    <row r="573">
      <c r="N573" s="86"/>
    </row>
    <row r="574">
      <c r="N574" s="86"/>
    </row>
    <row r="575">
      <c r="N575" s="86"/>
    </row>
    <row r="576">
      <c r="N576" s="86"/>
    </row>
    <row r="577">
      <c r="N577" s="86"/>
    </row>
    <row r="578">
      <c r="N578" s="86"/>
    </row>
    <row r="579">
      <c r="N579" s="86"/>
    </row>
    <row r="580">
      <c r="N580" s="86"/>
    </row>
    <row r="581">
      <c r="N581" s="86"/>
    </row>
    <row r="582">
      <c r="N582" s="86"/>
    </row>
    <row r="583">
      <c r="N583" s="86"/>
    </row>
    <row r="584">
      <c r="N584" s="86"/>
    </row>
    <row r="585">
      <c r="N585" s="86"/>
    </row>
    <row r="586">
      <c r="N586" s="86"/>
    </row>
    <row r="587">
      <c r="N587" s="86"/>
    </row>
    <row r="588">
      <c r="N588" s="86"/>
    </row>
    <row r="589">
      <c r="N589" s="86"/>
    </row>
    <row r="590">
      <c r="N590" s="86"/>
    </row>
    <row r="591">
      <c r="N591" s="86"/>
    </row>
    <row r="592">
      <c r="N592" s="86"/>
    </row>
    <row r="593">
      <c r="N593" s="86"/>
    </row>
    <row r="594">
      <c r="N594" s="86"/>
    </row>
    <row r="595">
      <c r="N595" s="86"/>
    </row>
    <row r="596">
      <c r="N596" s="86"/>
    </row>
    <row r="597">
      <c r="N597" s="86"/>
    </row>
    <row r="598">
      <c r="N598" s="86"/>
    </row>
    <row r="599">
      <c r="N599" s="86"/>
    </row>
    <row r="600">
      <c r="N600" s="86"/>
    </row>
    <row r="601">
      <c r="N601" s="86"/>
    </row>
    <row r="602">
      <c r="N602" s="86"/>
    </row>
    <row r="603">
      <c r="N603" s="86"/>
    </row>
    <row r="604">
      <c r="N604" s="86"/>
    </row>
    <row r="605">
      <c r="N605" s="86"/>
    </row>
    <row r="606">
      <c r="N606" s="86"/>
    </row>
    <row r="607">
      <c r="N607" s="86"/>
    </row>
    <row r="608">
      <c r="N608" s="86"/>
    </row>
    <row r="609">
      <c r="N609" s="86"/>
    </row>
    <row r="610">
      <c r="N610" s="86"/>
    </row>
    <row r="611">
      <c r="N611" s="86"/>
    </row>
    <row r="612">
      <c r="N612" s="86"/>
    </row>
    <row r="613">
      <c r="N613" s="86"/>
    </row>
    <row r="614">
      <c r="N614" s="86"/>
    </row>
    <row r="615">
      <c r="N615" s="86"/>
    </row>
    <row r="616">
      <c r="N616" s="86"/>
    </row>
    <row r="617">
      <c r="N617" s="86"/>
    </row>
    <row r="618">
      <c r="N618" s="86"/>
    </row>
    <row r="619">
      <c r="N619" s="86"/>
    </row>
    <row r="620">
      <c r="N620" s="86"/>
    </row>
    <row r="621">
      <c r="N621" s="86"/>
    </row>
    <row r="622">
      <c r="N622" s="86"/>
    </row>
    <row r="623">
      <c r="N623" s="86"/>
    </row>
    <row r="624">
      <c r="N624" s="86"/>
    </row>
    <row r="625">
      <c r="N625" s="86"/>
    </row>
    <row r="626">
      <c r="N626" s="86"/>
    </row>
    <row r="627">
      <c r="N627" s="86"/>
    </row>
    <row r="628">
      <c r="N628" s="86"/>
    </row>
    <row r="629">
      <c r="N629" s="86"/>
    </row>
    <row r="630">
      <c r="N630" s="86"/>
    </row>
    <row r="631">
      <c r="N631" s="86"/>
    </row>
    <row r="632">
      <c r="N632" s="86"/>
    </row>
    <row r="633">
      <c r="N633" s="86"/>
    </row>
    <row r="634">
      <c r="N634" s="86"/>
    </row>
    <row r="635">
      <c r="N635" s="86"/>
    </row>
    <row r="636">
      <c r="N636" s="86"/>
    </row>
    <row r="637">
      <c r="N637" s="86"/>
    </row>
    <row r="638">
      <c r="N638" s="86"/>
    </row>
    <row r="639">
      <c r="N639" s="86"/>
    </row>
    <row r="640">
      <c r="N640" s="86"/>
    </row>
    <row r="641">
      <c r="N641" s="86"/>
    </row>
    <row r="642">
      <c r="N642" s="86"/>
    </row>
    <row r="643">
      <c r="N643" s="86"/>
    </row>
    <row r="644">
      <c r="N644" s="86"/>
    </row>
    <row r="645">
      <c r="N645" s="86"/>
    </row>
    <row r="646">
      <c r="N646" s="86"/>
    </row>
    <row r="647">
      <c r="N647" s="86"/>
    </row>
    <row r="648">
      <c r="N648" s="86"/>
    </row>
    <row r="649">
      <c r="N649" s="86"/>
    </row>
    <row r="650">
      <c r="N650" s="86"/>
    </row>
    <row r="651">
      <c r="N651" s="86"/>
    </row>
    <row r="652">
      <c r="N652" s="86"/>
    </row>
    <row r="653">
      <c r="N653" s="86"/>
    </row>
    <row r="654">
      <c r="N654" s="86"/>
    </row>
    <row r="655">
      <c r="N655" s="86"/>
    </row>
    <row r="656">
      <c r="N656" s="86"/>
    </row>
    <row r="657">
      <c r="N657" s="86"/>
    </row>
    <row r="658">
      <c r="N658" s="86"/>
    </row>
    <row r="659">
      <c r="N659" s="86"/>
    </row>
    <row r="660">
      <c r="N660" s="86"/>
    </row>
    <row r="661">
      <c r="N661" s="86"/>
    </row>
    <row r="662">
      <c r="N662" s="86"/>
    </row>
    <row r="663">
      <c r="N663" s="86"/>
    </row>
    <row r="664">
      <c r="N664" s="86"/>
    </row>
    <row r="665">
      <c r="N665" s="86"/>
    </row>
    <row r="666">
      <c r="N666" s="86"/>
    </row>
    <row r="667">
      <c r="N667" s="86"/>
    </row>
    <row r="668">
      <c r="N668" s="86"/>
    </row>
    <row r="669">
      <c r="N669" s="86"/>
    </row>
    <row r="670">
      <c r="N670" s="86"/>
    </row>
    <row r="671">
      <c r="N671" s="86"/>
    </row>
    <row r="672">
      <c r="N672" s="86"/>
    </row>
    <row r="673">
      <c r="N673" s="86"/>
    </row>
    <row r="674">
      <c r="N674" s="86"/>
    </row>
    <row r="675">
      <c r="N675" s="86"/>
    </row>
    <row r="676">
      <c r="N676" s="86"/>
    </row>
    <row r="677">
      <c r="N677" s="86"/>
    </row>
    <row r="678">
      <c r="N678" s="86"/>
    </row>
    <row r="679">
      <c r="N679" s="86"/>
    </row>
    <row r="680">
      <c r="N680" s="86"/>
    </row>
    <row r="681">
      <c r="N681" s="86"/>
    </row>
    <row r="682">
      <c r="N682" s="86"/>
    </row>
    <row r="683">
      <c r="N683" s="86"/>
    </row>
    <row r="684">
      <c r="N684" s="86"/>
    </row>
    <row r="685">
      <c r="N685" s="86"/>
    </row>
    <row r="686">
      <c r="N686" s="86"/>
    </row>
    <row r="687">
      <c r="N687" s="86"/>
    </row>
    <row r="688">
      <c r="N688" s="86"/>
    </row>
    <row r="689">
      <c r="N689" s="86"/>
    </row>
    <row r="690">
      <c r="N690" s="86"/>
    </row>
    <row r="691">
      <c r="N691" s="86"/>
    </row>
    <row r="692">
      <c r="N692" s="86"/>
    </row>
    <row r="693">
      <c r="N693" s="86"/>
    </row>
    <row r="694">
      <c r="N694" s="86"/>
    </row>
    <row r="695">
      <c r="N695" s="86"/>
    </row>
    <row r="696">
      <c r="N696" s="86"/>
    </row>
    <row r="697">
      <c r="N697" s="86"/>
    </row>
    <row r="698">
      <c r="N698" s="86"/>
    </row>
    <row r="699">
      <c r="N699" s="86"/>
    </row>
    <row r="700">
      <c r="N700" s="86"/>
    </row>
    <row r="701">
      <c r="N701" s="86"/>
    </row>
    <row r="702">
      <c r="N702" s="86"/>
    </row>
    <row r="703">
      <c r="N703" s="86"/>
    </row>
    <row r="704">
      <c r="N704" s="86"/>
    </row>
    <row r="705">
      <c r="N705" s="86"/>
    </row>
    <row r="706">
      <c r="N706" s="86"/>
    </row>
    <row r="707">
      <c r="N707" s="86"/>
    </row>
    <row r="708">
      <c r="N708" s="86"/>
    </row>
    <row r="709">
      <c r="N709" s="86"/>
    </row>
    <row r="710">
      <c r="N710" s="86"/>
    </row>
    <row r="711">
      <c r="N711" s="86"/>
    </row>
    <row r="712">
      <c r="N712" s="86"/>
    </row>
    <row r="713">
      <c r="N713" s="86"/>
    </row>
    <row r="714">
      <c r="N714" s="86"/>
    </row>
    <row r="715">
      <c r="N715" s="86"/>
    </row>
    <row r="716">
      <c r="N716" s="86"/>
    </row>
    <row r="717">
      <c r="N717" s="86"/>
    </row>
    <row r="718">
      <c r="N718" s="86"/>
    </row>
    <row r="719">
      <c r="N719" s="86"/>
    </row>
    <row r="720">
      <c r="N720" s="86"/>
    </row>
    <row r="721">
      <c r="N721" s="86"/>
    </row>
    <row r="722">
      <c r="N722" s="86"/>
    </row>
    <row r="723">
      <c r="N723" s="86"/>
    </row>
    <row r="724">
      <c r="N724" s="86"/>
    </row>
    <row r="725">
      <c r="N725" s="86"/>
    </row>
    <row r="726">
      <c r="N726" s="86"/>
    </row>
    <row r="727">
      <c r="N727" s="86"/>
    </row>
    <row r="728">
      <c r="N728" s="86"/>
    </row>
    <row r="729">
      <c r="N729" s="86"/>
    </row>
    <row r="730">
      <c r="N730" s="86"/>
    </row>
    <row r="731">
      <c r="N731" s="86"/>
    </row>
    <row r="732">
      <c r="N732" s="86"/>
    </row>
    <row r="733">
      <c r="N733" s="86"/>
    </row>
    <row r="734">
      <c r="N734" s="86"/>
    </row>
    <row r="735">
      <c r="N735" s="86"/>
    </row>
    <row r="736">
      <c r="N736" s="86"/>
    </row>
    <row r="737">
      <c r="N737" s="86"/>
    </row>
    <row r="738">
      <c r="N738" s="86"/>
    </row>
    <row r="739">
      <c r="N739" s="86"/>
    </row>
    <row r="740">
      <c r="N740" s="86"/>
    </row>
    <row r="741">
      <c r="N741" s="86"/>
    </row>
    <row r="742">
      <c r="N742" s="86"/>
    </row>
    <row r="743">
      <c r="N743" s="86"/>
    </row>
    <row r="744">
      <c r="N744" s="86"/>
    </row>
    <row r="745">
      <c r="N745" s="86"/>
    </row>
    <row r="746">
      <c r="N746" s="86"/>
    </row>
    <row r="747">
      <c r="N747" s="86"/>
    </row>
    <row r="748">
      <c r="N748" s="86"/>
    </row>
    <row r="749">
      <c r="N749" s="86"/>
    </row>
    <row r="750">
      <c r="N750" s="86"/>
    </row>
    <row r="751">
      <c r="N751" s="86"/>
    </row>
    <row r="752">
      <c r="N752" s="86"/>
    </row>
    <row r="753">
      <c r="N753" s="86"/>
    </row>
    <row r="754">
      <c r="N754" s="86"/>
    </row>
    <row r="755">
      <c r="N755" s="86"/>
    </row>
    <row r="756">
      <c r="N756" s="86"/>
    </row>
    <row r="757">
      <c r="N757" s="86"/>
    </row>
    <row r="758">
      <c r="N758" s="86"/>
    </row>
    <row r="759">
      <c r="N759" s="86"/>
    </row>
    <row r="760">
      <c r="N760" s="86"/>
    </row>
    <row r="761">
      <c r="N761" s="86"/>
    </row>
    <row r="762">
      <c r="N762" s="86"/>
    </row>
    <row r="763">
      <c r="N763" s="86"/>
    </row>
    <row r="764">
      <c r="N764" s="86"/>
    </row>
    <row r="765">
      <c r="N765" s="86"/>
    </row>
    <row r="766">
      <c r="N766" s="86"/>
    </row>
    <row r="767">
      <c r="N767" s="86"/>
    </row>
    <row r="768">
      <c r="N768" s="86"/>
    </row>
    <row r="769">
      <c r="N769" s="86"/>
    </row>
    <row r="770">
      <c r="N770" s="86"/>
    </row>
    <row r="771">
      <c r="N771" s="86"/>
    </row>
    <row r="772">
      <c r="N772" s="86"/>
    </row>
    <row r="773">
      <c r="N773" s="86"/>
    </row>
    <row r="774">
      <c r="N774" s="86"/>
    </row>
    <row r="775">
      <c r="N775" s="86"/>
    </row>
    <row r="776">
      <c r="N776" s="86"/>
    </row>
    <row r="777">
      <c r="N777" s="86"/>
    </row>
    <row r="778">
      <c r="N778" s="86"/>
    </row>
    <row r="779">
      <c r="N779" s="86"/>
    </row>
    <row r="780">
      <c r="N780" s="86"/>
    </row>
    <row r="781">
      <c r="N781" s="86"/>
    </row>
    <row r="782">
      <c r="N782" s="86"/>
    </row>
    <row r="783">
      <c r="N783" s="86"/>
    </row>
    <row r="784">
      <c r="N784" s="86"/>
    </row>
    <row r="785">
      <c r="N785" s="86"/>
    </row>
    <row r="786">
      <c r="N786" s="86"/>
    </row>
    <row r="787">
      <c r="N787" s="86"/>
    </row>
    <row r="788">
      <c r="N788" s="86"/>
    </row>
    <row r="789">
      <c r="N789" s="86"/>
    </row>
    <row r="790">
      <c r="N790" s="86"/>
    </row>
    <row r="791">
      <c r="N791" s="86"/>
    </row>
    <row r="792">
      <c r="N792" s="86"/>
    </row>
    <row r="793">
      <c r="N793" s="86"/>
    </row>
    <row r="794">
      <c r="N794" s="86"/>
    </row>
    <row r="795">
      <c r="N795" s="86"/>
    </row>
    <row r="796">
      <c r="N796" s="86"/>
    </row>
    <row r="797">
      <c r="N797" s="86"/>
    </row>
    <row r="798">
      <c r="N798" s="86"/>
    </row>
    <row r="799">
      <c r="N799" s="86"/>
    </row>
    <row r="800">
      <c r="N800" s="86"/>
    </row>
    <row r="801">
      <c r="N801" s="86"/>
    </row>
    <row r="802">
      <c r="N802" s="86"/>
    </row>
    <row r="803">
      <c r="N803" s="86"/>
    </row>
    <row r="804">
      <c r="N804" s="86"/>
    </row>
    <row r="805">
      <c r="N805" s="86"/>
    </row>
    <row r="806">
      <c r="N806" s="86"/>
    </row>
    <row r="807">
      <c r="N807" s="86"/>
    </row>
    <row r="808">
      <c r="N808" s="86"/>
    </row>
    <row r="809">
      <c r="N809" s="86"/>
    </row>
    <row r="810">
      <c r="N810" s="86"/>
    </row>
    <row r="811">
      <c r="N811" s="86"/>
    </row>
    <row r="812">
      <c r="N812" s="86"/>
    </row>
    <row r="813">
      <c r="N813" s="86"/>
    </row>
    <row r="814">
      <c r="N814" s="86"/>
    </row>
    <row r="815">
      <c r="N815" s="86"/>
    </row>
    <row r="816">
      <c r="N816" s="86"/>
    </row>
    <row r="817">
      <c r="N817" s="86"/>
    </row>
    <row r="818">
      <c r="N818" s="86"/>
    </row>
    <row r="819">
      <c r="N819" s="86"/>
    </row>
    <row r="820">
      <c r="N820" s="86"/>
    </row>
    <row r="821">
      <c r="N821" s="86"/>
    </row>
    <row r="822">
      <c r="N822" s="86"/>
    </row>
    <row r="823">
      <c r="N823" s="86"/>
    </row>
    <row r="824">
      <c r="N824" s="86"/>
    </row>
    <row r="825">
      <c r="N825" s="86"/>
    </row>
    <row r="826">
      <c r="N826" s="86"/>
    </row>
    <row r="827">
      <c r="N827" s="86"/>
    </row>
    <row r="828">
      <c r="N828" s="86"/>
    </row>
    <row r="829">
      <c r="N829" s="86"/>
    </row>
    <row r="830">
      <c r="N830" s="86"/>
    </row>
    <row r="831">
      <c r="N831" s="86"/>
    </row>
    <row r="832">
      <c r="N832" s="86"/>
    </row>
    <row r="833">
      <c r="N833" s="86"/>
    </row>
    <row r="834">
      <c r="N834" s="86"/>
    </row>
    <row r="835">
      <c r="N835" s="86"/>
    </row>
    <row r="836">
      <c r="N836" s="86"/>
    </row>
    <row r="837">
      <c r="N837" s="86"/>
    </row>
    <row r="838">
      <c r="N838" s="86"/>
    </row>
    <row r="839">
      <c r="N839" s="86"/>
    </row>
    <row r="840">
      <c r="N840" s="86"/>
    </row>
    <row r="841">
      <c r="N841" s="86"/>
    </row>
    <row r="842">
      <c r="N842" s="86"/>
    </row>
    <row r="843">
      <c r="N843" s="86"/>
    </row>
    <row r="844">
      <c r="N844" s="86"/>
    </row>
    <row r="845">
      <c r="N845" s="86"/>
    </row>
    <row r="846">
      <c r="N846" s="86"/>
    </row>
    <row r="847">
      <c r="N847" s="86"/>
    </row>
    <row r="848">
      <c r="N848" s="86"/>
    </row>
    <row r="849">
      <c r="N849" s="86"/>
    </row>
    <row r="850">
      <c r="N850" s="86"/>
    </row>
    <row r="851">
      <c r="N851" s="86"/>
    </row>
    <row r="852">
      <c r="N852" s="86"/>
    </row>
    <row r="853">
      <c r="N853" s="86"/>
    </row>
    <row r="854">
      <c r="N854" s="86"/>
    </row>
    <row r="855">
      <c r="N855" s="86"/>
    </row>
    <row r="856">
      <c r="N856" s="86"/>
    </row>
    <row r="857">
      <c r="N857" s="86"/>
    </row>
    <row r="858">
      <c r="N858" s="86"/>
    </row>
    <row r="859">
      <c r="N859" s="86"/>
    </row>
    <row r="860">
      <c r="N860" s="86"/>
    </row>
    <row r="861">
      <c r="N861" s="86"/>
    </row>
    <row r="862">
      <c r="N862" s="86"/>
    </row>
    <row r="863">
      <c r="N863" s="86"/>
    </row>
    <row r="864">
      <c r="N864" s="86"/>
    </row>
    <row r="865">
      <c r="N865" s="86"/>
    </row>
    <row r="866">
      <c r="N866" s="86"/>
    </row>
    <row r="867">
      <c r="N867" s="86"/>
    </row>
    <row r="868">
      <c r="N868" s="86"/>
    </row>
    <row r="869">
      <c r="N869" s="86"/>
    </row>
    <row r="870">
      <c r="N870" s="86"/>
    </row>
    <row r="871">
      <c r="N871" s="86"/>
    </row>
    <row r="872">
      <c r="N872" s="86"/>
    </row>
    <row r="873">
      <c r="N873" s="86"/>
    </row>
    <row r="874">
      <c r="N874" s="86"/>
    </row>
    <row r="875">
      <c r="N875" s="86"/>
    </row>
    <row r="876">
      <c r="N876" s="86"/>
    </row>
    <row r="877">
      <c r="N877" s="86"/>
    </row>
    <row r="878">
      <c r="N878" s="86"/>
    </row>
    <row r="879">
      <c r="N879" s="86"/>
    </row>
    <row r="880">
      <c r="N880" s="86"/>
    </row>
    <row r="881">
      <c r="N881" s="86"/>
    </row>
    <row r="882">
      <c r="N882" s="86"/>
    </row>
    <row r="883">
      <c r="N883" s="86"/>
    </row>
    <row r="884">
      <c r="N884" s="86"/>
    </row>
    <row r="885">
      <c r="N885" s="86"/>
    </row>
    <row r="886">
      <c r="N886" s="86"/>
    </row>
    <row r="887">
      <c r="N887" s="86"/>
    </row>
    <row r="888">
      <c r="N888" s="86"/>
    </row>
    <row r="889">
      <c r="N889" s="86"/>
    </row>
    <row r="890">
      <c r="N890" s="86"/>
    </row>
    <row r="891">
      <c r="N891" s="86"/>
    </row>
    <row r="892">
      <c r="N892" s="86"/>
    </row>
    <row r="893">
      <c r="N893" s="86"/>
    </row>
    <row r="894">
      <c r="N894" s="86"/>
    </row>
    <row r="895">
      <c r="N895" s="86"/>
    </row>
    <row r="896">
      <c r="N896" s="86"/>
    </row>
    <row r="897">
      <c r="N897" s="86"/>
    </row>
    <row r="898">
      <c r="N898" s="86"/>
    </row>
    <row r="899">
      <c r="N899" s="86"/>
    </row>
    <row r="900">
      <c r="N900" s="86"/>
    </row>
    <row r="901">
      <c r="N901" s="86"/>
    </row>
    <row r="902">
      <c r="N902" s="86"/>
    </row>
    <row r="903">
      <c r="N903" s="86"/>
    </row>
    <row r="904">
      <c r="N904" s="86"/>
    </row>
    <row r="905">
      <c r="N905" s="86"/>
    </row>
    <row r="906">
      <c r="N906" s="86"/>
    </row>
    <row r="907">
      <c r="N907" s="86"/>
    </row>
    <row r="908">
      <c r="N908" s="86"/>
    </row>
    <row r="909">
      <c r="N909" s="86"/>
    </row>
    <row r="910">
      <c r="N910" s="86"/>
    </row>
    <row r="911">
      <c r="N911" s="86"/>
    </row>
    <row r="912">
      <c r="N912" s="86"/>
    </row>
    <row r="913">
      <c r="N913" s="86"/>
    </row>
    <row r="914">
      <c r="N914" s="86"/>
    </row>
    <row r="915">
      <c r="N915" s="86"/>
    </row>
    <row r="916">
      <c r="N916" s="86"/>
    </row>
    <row r="917">
      <c r="N917" s="86"/>
    </row>
    <row r="918">
      <c r="N918" s="86"/>
    </row>
    <row r="919">
      <c r="N919" s="86"/>
    </row>
    <row r="920">
      <c r="N920" s="86"/>
    </row>
    <row r="921">
      <c r="N921" s="86"/>
    </row>
    <row r="922">
      <c r="N922" s="86"/>
    </row>
    <row r="923">
      <c r="N923" s="86"/>
    </row>
    <row r="924">
      <c r="N924" s="86"/>
    </row>
    <row r="925">
      <c r="N925" s="86"/>
    </row>
    <row r="926">
      <c r="N926" s="86"/>
    </row>
    <row r="927">
      <c r="N927" s="86"/>
    </row>
    <row r="928">
      <c r="N928" s="86"/>
    </row>
    <row r="929">
      <c r="N929" s="86"/>
    </row>
    <row r="930">
      <c r="N930" s="86"/>
    </row>
    <row r="931">
      <c r="N931" s="86"/>
    </row>
    <row r="932">
      <c r="N932" s="86"/>
    </row>
    <row r="933">
      <c r="N933" s="86"/>
    </row>
    <row r="934">
      <c r="N934" s="86"/>
    </row>
    <row r="935">
      <c r="N935" s="86"/>
    </row>
    <row r="936">
      <c r="N936" s="86"/>
    </row>
    <row r="937">
      <c r="N937" s="86"/>
    </row>
    <row r="938">
      <c r="N938" s="86"/>
    </row>
    <row r="939">
      <c r="N939" s="86"/>
    </row>
    <row r="940">
      <c r="N940" s="86"/>
    </row>
    <row r="941">
      <c r="N941" s="86"/>
    </row>
    <row r="942">
      <c r="N942" s="86"/>
    </row>
    <row r="943">
      <c r="N943" s="86"/>
    </row>
    <row r="944">
      <c r="N944" s="86"/>
    </row>
    <row r="945">
      <c r="N945" s="86"/>
    </row>
    <row r="946">
      <c r="N946" s="86"/>
    </row>
    <row r="947">
      <c r="N947" s="86"/>
    </row>
    <row r="948">
      <c r="N948" s="86"/>
    </row>
    <row r="949">
      <c r="N949" s="86"/>
    </row>
    <row r="950">
      <c r="N950" s="86"/>
    </row>
    <row r="951">
      <c r="N951" s="86"/>
    </row>
    <row r="952">
      <c r="N952" s="86"/>
    </row>
    <row r="953">
      <c r="N953" s="86"/>
    </row>
    <row r="954">
      <c r="N954" s="86"/>
    </row>
    <row r="955">
      <c r="N955" s="86"/>
    </row>
    <row r="956">
      <c r="N956" s="86"/>
    </row>
    <row r="957">
      <c r="N957" s="86"/>
    </row>
    <row r="958">
      <c r="N958" s="86"/>
    </row>
    <row r="959">
      <c r="N959" s="86"/>
    </row>
    <row r="960">
      <c r="N960" s="86"/>
    </row>
    <row r="961">
      <c r="N961" s="86"/>
    </row>
    <row r="962">
      <c r="N962" s="86"/>
    </row>
    <row r="963">
      <c r="N963" s="86"/>
    </row>
    <row r="964">
      <c r="N964" s="86"/>
    </row>
    <row r="965">
      <c r="N965" s="86"/>
    </row>
    <row r="966">
      <c r="N966" s="86"/>
    </row>
    <row r="967">
      <c r="N967" s="86"/>
    </row>
    <row r="968">
      <c r="N968" s="86"/>
    </row>
    <row r="969">
      <c r="N969" s="86"/>
    </row>
    <row r="970">
      <c r="N970" s="86"/>
    </row>
    <row r="971">
      <c r="N971" s="86"/>
    </row>
    <row r="972">
      <c r="N972" s="86"/>
    </row>
    <row r="973">
      <c r="N973" s="86"/>
    </row>
    <row r="974">
      <c r="N974" s="86"/>
    </row>
    <row r="975">
      <c r="N975" s="86"/>
    </row>
    <row r="976">
      <c r="N976" s="86"/>
    </row>
    <row r="977">
      <c r="N977" s="86"/>
    </row>
    <row r="978">
      <c r="N978" s="86"/>
    </row>
    <row r="979">
      <c r="N979" s="86"/>
    </row>
    <row r="980">
      <c r="N980" s="86"/>
    </row>
    <row r="981">
      <c r="N981" s="86"/>
    </row>
    <row r="982">
      <c r="N982" s="86"/>
    </row>
    <row r="983">
      <c r="N983" s="86"/>
    </row>
    <row r="984">
      <c r="N984" s="86"/>
    </row>
    <row r="985">
      <c r="N985" s="86"/>
    </row>
    <row r="986">
      <c r="N986" s="86"/>
    </row>
    <row r="987">
      <c r="N987" s="86"/>
    </row>
    <row r="988">
      <c r="N988" s="86"/>
    </row>
    <row r="989">
      <c r="N989" s="86"/>
    </row>
    <row r="990">
      <c r="N990" s="86"/>
    </row>
    <row r="991">
      <c r="N991" s="86"/>
    </row>
    <row r="992">
      <c r="N992" s="86"/>
    </row>
    <row r="993">
      <c r="N993" s="86"/>
    </row>
    <row r="994">
      <c r="N994" s="86"/>
    </row>
  </sheetData>
  <mergeCells count="28">
    <mergeCell ref="A1:B1"/>
    <mergeCell ref="B3:B7"/>
    <mergeCell ref="A9:B9"/>
    <mergeCell ref="B11:B15"/>
    <mergeCell ref="A21:C21"/>
    <mergeCell ref="A23:C23"/>
    <mergeCell ref="D3:D7"/>
    <mergeCell ref="F3:F7"/>
    <mergeCell ref="A8:I8"/>
    <mergeCell ref="C1:D1"/>
    <mergeCell ref="C9:D9"/>
    <mergeCell ref="D11:D15"/>
    <mergeCell ref="G9:H9"/>
    <mergeCell ref="F11:F15"/>
    <mergeCell ref="H11:H15"/>
    <mergeCell ref="H16:I16"/>
    <mergeCell ref="H17:I17"/>
    <mergeCell ref="H18:I18"/>
    <mergeCell ref="Q21:Q22"/>
    <mergeCell ref="A22:E22"/>
    <mergeCell ref="E1:F1"/>
    <mergeCell ref="G1:H1"/>
    <mergeCell ref="J1:L14"/>
    <mergeCell ref="M1:M994"/>
    <mergeCell ref="N1:O1"/>
    <mergeCell ref="R1:S1"/>
    <mergeCell ref="H3:H7"/>
    <mergeCell ref="Q26:Q2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outlinePr summaryBelow="0" summaryRight="0"/>
  </sheetPr>
  <sheetViews>
    <sheetView workbookViewId="0"/>
  </sheetViews>
  <sheetFormatPr customHeight="1" defaultColWidth="12.63" defaultRowHeight="15.75"/>
  <cols>
    <col customWidth="1" min="1" max="1" width="17.38"/>
    <col customWidth="1" min="2" max="2" width="16.63"/>
    <col customWidth="1" min="3" max="4" width="15.75"/>
    <col customWidth="1" min="5" max="5" width="14.75"/>
    <col customWidth="1" min="6" max="6" width="14.0"/>
    <col customWidth="1" min="7" max="7" width="14.63"/>
    <col customWidth="1" min="8" max="8" width="20.88"/>
    <col customWidth="1" min="9" max="9" width="18.63"/>
    <col customWidth="1" min="10" max="10" width="15.63"/>
    <col customWidth="1" min="11" max="11" width="16.38"/>
  </cols>
  <sheetData>
    <row r="2">
      <c r="B2" s="256" t="s">
        <v>406</v>
      </c>
      <c r="C2" s="256" t="s">
        <v>407</v>
      </c>
      <c r="D2" s="256" t="s">
        <v>408</v>
      </c>
      <c r="E2" s="256" t="s">
        <v>409</v>
      </c>
      <c r="F2" s="256" t="s">
        <v>158</v>
      </c>
      <c r="G2" s="256" t="s">
        <v>410</v>
      </c>
      <c r="H2" s="256" t="s">
        <v>411</v>
      </c>
      <c r="I2" s="256" t="s">
        <v>412</v>
      </c>
      <c r="J2" s="256" t="s">
        <v>413</v>
      </c>
      <c r="K2" s="256" t="s">
        <v>414</v>
      </c>
    </row>
    <row r="3">
      <c r="A3" s="257">
        <v>2026.0</v>
      </c>
      <c r="B3" s="258" t="str">
        <f t="array" ref="B3">INDIRECT("'2026 (Year VI: Current Season)'!A2")
</f>
        <v/>
      </c>
      <c r="C3" s="259" t="str">
        <f t="array" ref="C3">INDIRECT("'2026 (Year VI: Current Season)'!C2")
</f>
        <v/>
      </c>
      <c r="D3" s="259" t="str">
        <f t="array" ref="D3">INDIRECT("'2026 (Year VI: Current Season)'!E2")</f>
        <v>1st Round Delaney</v>
      </c>
      <c r="E3" s="259" t="str">
        <f t="array" ref="E3">INDIRECT("'2026 (Year VI: Current Season)'!G2")</f>
        <v/>
      </c>
      <c r="F3" s="260" t="str">
        <f t="array" ref="F3">INDIRECT("'2026 (Year VI: Current Season)'!I2")</f>
        <v/>
      </c>
      <c r="G3" s="260" t="str">
        <f t="array" ref="G3">INDIRECT("'2026 (Year VI: Current Season)'!A10")</f>
        <v>1st Round Gold (Trager 2026 FRP owns swap rights)</v>
      </c>
      <c r="H3" s="260" t="str">
        <f t="array" ref="H3">INDIRECT("'2026 (Year VI: Current Season)'!C10")</f>
        <v/>
      </c>
      <c r="I3" s="260" t="str">
        <f t="array" ref="I3">INDIRECT("'2026 (Year VI: Current Season)'!E10")</f>
        <v>1st Round Baden</v>
      </c>
      <c r="J3" s="260" t="str">
        <f t="array" ref="J3">INDIRECT("'2026 (Year VI: Current Season)'!G10")</f>
        <v>1st Round Trager (right to swap with Gold 2026 FRP)</v>
      </c>
      <c r="K3" s="260" t="str">
        <f t="array" ref="K3">INDIRECT("'2026 (Year VI: Current Season)'!I10")</f>
        <v>1st Round Zujewski</v>
      </c>
    </row>
    <row r="4">
      <c r="A4" s="261"/>
      <c r="B4" s="262" t="str">
        <f t="array" ref="B4">INDIRECT("'2026 (Year VI: Current Season)'!A3")
</f>
        <v/>
      </c>
      <c r="C4" s="263" t="str">
        <f t="array" ref="C4">INDIRECT("'2026 (Year VI: Current Season)'!C3")
</f>
        <v/>
      </c>
      <c r="D4" s="263" t="str">
        <f t="array" ref="D4">INDIRECT("'2026 (Year VI: Current Season)'!E3")</f>
        <v>1st Round Peterson** (2026 Jowkar FRP owns swap rights)</v>
      </c>
      <c r="E4" s="260" t="str">
        <f t="array" ref="E4">INDIRECT("'2026 (Year VI: Current Season)'!G3")</f>
        <v/>
      </c>
      <c r="F4" s="260" t="str">
        <f t="array" ref="F4">INDIRECT("'2026 (Year VI: Current Season)'!I3")</f>
        <v/>
      </c>
      <c r="G4" s="260" t="str">
        <f t="array" ref="G4">INDIRECT("'2026 (Year VI: Current Season)'!A11")</f>
        <v/>
      </c>
      <c r="H4" s="260" t="str">
        <f t="array" ref="H4">INDIRECT("'2026 (Year VI: Current Season)'!C11")</f>
        <v/>
      </c>
      <c r="I4" s="260" t="str">
        <f t="array" ref="I4">INDIRECT("'2026 (Year VI: Current Season)'!E11")</f>
        <v>1st Round Jowkar * (owns 2026 Peterson FRP swap rights)</v>
      </c>
      <c r="J4" s="260" t="str">
        <f t="array" ref="J4">INDIRECT("'2026 (Year VI: Current Season)'!G11")</f>
        <v>1st Round Berke</v>
      </c>
      <c r="K4" s="260" t="str">
        <f t="array" ref="K4">INDIRECT("'2026 (Year VI: Current Season)'!I11")</f>
        <v>1st Round Moss</v>
      </c>
    </row>
    <row r="5">
      <c r="A5" s="261"/>
      <c r="B5" s="262" t="str">
        <f t="array" ref="B5">INDIRECT("'2026 (Year VI: Current Season)'!A4")
</f>
        <v/>
      </c>
      <c r="C5" s="263" t="str">
        <f t="array" ref="C5">INDIRECT("'2026 (Year VI: Current Season)'!C4")
</f>
        <v/>
      </c>
      <c r="D5" s="263" t="str">
        <f t="array" ref="D5">INDIRECT("'2026 (Year VI: Current Season)'!E4")</f>
        <v>1st Round Green</v>
      </c>
      <c r="E5" s="260" t="str">
        <f t="array" ref="E5">INDIRECT("'2026 (Year VI: Current Season)'!G4")</f>
        <v/>
      </c>
      <c r="F5" s="260" t="str">
        <f t="array" ref="F5">INDIRECT("'2026 (Year VI: Current Season)'!I4")</f>
        <v/>
      </c>
      <c r="G5" s="260" t="str">
        <f t="array" ref="G5">INDIRECT("'2026 (Year VI: Current Season)'!A12")</f>
        <v/>
      </c>
      <c r="H5" s="260" t="str">
        <f t="array" ref="H5">INDIRECT("'2026 (Year VI: Current Season)'!C12")</f>
        <v/>
      </c>
      <c r="I5" s="260" t="str">
        <f t="array" ref="I5">INDIRECT("'2026 (Year VI: Current Season)'!E12")</f>
        <v>2nd Round Baden</v>
      </c>
      <c r="J5" s="260" t="str">
        <f t="array" ref="J5">INDIRECT("'2026 (Year VI: Current Season)'!G12")</f>
        <v>2nd Round Gold</v>
      </c>
      <c r="K5" s="260" t="str">
        <f t="array" ref="K5">INDIRECT("'2026 (Year VI: Current Season)'!I12")</f>
        <v>2nd Round Peterson</v>
      </c>
    </row>
    <row r="6">
      <c r="A6" s="261"/>
      <c r="B6" s="262" t="str">
        <f t="array" ref="B6">INDIRECT("'2026 (Year VI: Current Season)'!A5")
</f>
        <v/>
      </c>
      <c r="C6" s="263" t="str">
        <f t="array" ref="C6">INDIRECT("'2026 (Year VI: Current Season)'!C5")
</f>
        <v/>
      </c>
      <c r="D6" s="263" t="str">
        <f t="array" ref="D6">INDIRECT("'2026 (Year VI: Current Season)'!E5")</f>
        <v>2nd Round Delaney</v>
      </c>
      <c r="E6" s="260" t="str">
        <f t="array" ref="E6">INDIRECT("'2026 (Year VI: Current Season)'!G5")</f>
        <v/>
      </c>
      <c r="F6" s="260" t="str">
        <f t="array" ref="F6">INDIRECT("'2026 (Year VI: Current Season)'!I5")</f>
        <v/>
      </c>
      <c r="G6" s="260" t="str">
        <f t="array" ref="G6">INDIRECT("'2026 (Year VI: Current Season)'!A13")</f>
        <v/>
      </c>
      <c r="H6" s="260" t="str">
        <f t="array" ref="H6">INDIRECT("'2026 (Year VI: Current Season)'!C13")</f>
        <v/>
      </c>
      <c r="I6" s="260" t="str">
        <f t="array" ref="I6">INDIRECT("'2026 (Year VI: Current Season)'!E13")</f>
        <v>2nd Round Zujewski</v>
      </c>
      <c r="J6" s="264" t="str">
        <f t="array" ref="J6">INDIRECT("'2026 (Year VI: Current Season)'!G13")</f>
        <v>2nd Round Moss</v>
      </c>
      <c r="K6" s="260" t="str">
        <f t="array" ref="K6">INDIRECT("'2026 (Year VI: Current Season)'!I13")</f>
        <v/>
      </c>
    </row>
    <row r="7">
      <c r="A7" s="261"/>
      <c r="B7" s="262" t="str">
        <f t="array" ref="B7">INDIRECT("'2026 (Year VI: Current Season)'!A6")
</f>
        <v/>
      </c>
      <c r="C7" s="263" t="str">
        <f t="array" ref="C7">INDIRECT("'2026 (Year VI: Current Season)'!C6")
</f>
        <v/>
      </c>
      <c r="D7" s="263" t="str">
        <f t="array" ref="D7">INDIRECT("'2026 (Year VI: Current Season)'!E6")</f>
        <v>2nd Round Trager</v>
      </c>
      <c r="E7" s="260" t="str">
        <f t="array" ref="E7">INDIRECT("'2026 (Year VI: Current Season)'!G6")</f>
        <v/>
      </c>
      <c r="F7" s="265" t="str">
        <f t="array" ref="F7">INDIRECT("'2026 (Year VI: Current Season)'!I6")</f>
        <v/>
      </c>
      <c r="G7" s="260" t="str">
        <f t="array" ref="G7">INDIRECT("'2026 (Year VI: Current Season)'!A14")</f>
        <v/>
      </c>
      <c r="H7" s="260" t="str">
        <f t="array" ref="H7">INDIRECT("'2026 (Year VI: Current Season)'!C14")</f>
        <v/>
      </c>
      <c r="I7" s="260" t="str">
        <f t="array" ref="I7">INDIRECT("'2026 (Year VI: Current Season)'!E14")</f>
        <v>2nd Round Berke</v>
      </c>
      <c r="J7" s="260" t="str">
        <f t="array" ref="J7">INDIRECT("'2026 (Year VI: Current Season)'!G14")</f>
        <v/>
      </c>
      <c r="K7" s="260" t="str">
        <f t="array" ref="K7">INDIRECT("'2026 (Year VI: Current Season)'!I14")</f>
        <v/>
      </c>
    </row>
    <row r="8">
      <c r="A8" s="266"/>
      <c r="B8" s="263" t="str">
        <f t="array" ref="B8">INDIRECT("'2026 (Year VI: Current Season)'!A7")
</f>
        <v/>
      </c>
      <c r="C8" s="263" t="str">
        <f t="array" ref="C8">INDIRECT("'2026 (Year VI: Current Season)'!C7")
</f>
        <v/>
      </c>
      <c r="D8" s="263" t="str">
        <f t="array" ref="D8">INDIRECT("'2026 (Year VI: Current Season)'!E7")</f>
        <v>2nd Round Green</v>
      </c>
      <c r="E8" s="260" t="str">
        <f t="array" ref="E8">INDIRECT("'2026 (Year VI: Current Season)'!G7")</f>
        <v/>
      </c>
      <c r="F8" s="260" t="str">
        <f t="array" ref="F8">INDIRECT("'2026 (Year VI: Current Season)'!I7")</f>
        <v/>
      </c>
      <c r="G8" s="260" t="str">
        <f t="array" ref="G8">INDIRECT("'2026 (Year VI: Current Season)'!A15")</f>
        <v/>
      </c>
      <c r="H8" s="260" t="str">
        <f t="array" ref="H8">INDIRECT("'2026 (Year VI: Current Season)'!C15")</f>
        <v/>
      </c>
      <c r="I8" s="260" t="str">
        <f t="array" ref="I8">INDIRECT("'2026 (Year VI: Current Season)'!E15")</f>
        <v>2nd Round Jowkar</v>
      </c>
      <c r="J8" s="260" t="str">
        <f t="array" ref="J8">INDIRECT("'2026 (Year VI: Current Season)'!G15")</f>
        <v/>
      </c>
      <c r="K8" s="260" t="str">
        <f t="array" ref="K8">INDIRECT("'2026 (Year VI: Current Season)'!I15")</f>
        <v/>
      </c>
    </row>
    <row r="9">
      <c r="A9" s="267">
        <v>2027.0</v>
      </c>
      <c r="B9" s="258" t="str">
        <f t="array" ref="B9">INDIRECT("'2027'!A2")
</f>
        <v>1st Round Trager (right to swap w/Baden 2027 FRP*)</v>
      </c>
      <c r="C9" s="259" t="str">
        <f t="array" ref="C9">INDIRECT("'2027'!C2")
</f>
        <v>1st Round Delaney</v>
      </c>
      <c r="D9" s="259" t="str">
        <f t="array" ref="D9">INDIRECT("'2027'!E2")</f>
        <v>1st Round Peterson</v>
      </c>
      <c r="E9" s="259" t="str">
        <f t="array" ref="E9">INDIRECT("'2027'!G2")</f>
        <v>1st Round Green</v>
      </c>
      <c r="F9" s="268" t="str">
        <f t="array" ref="F9">INDIRECT("'2027'!I2")</f>
        <v/>
      </c>
      <c r="G9" s="268" t="str">
        <f t="array" ref="G9">INDIRECT("'2027'!A10")</f>
        <v>1st Round Gold</v>
      </c>
      <c r="H9" s="268" t="str">
        <f t="array" ref="H9">INDIRECT("'2027'!C10")</f>
        <v>1st Round Moss (Baden 2027 FRP owns swap rights)</v>
      </c>
      <c r="I9" s="268" t="str">
        <f t="array" ref="I9">INDIRECT("'2027'!E10")</f>
        <v>1st Round Baden* (Trager 2027 FRP owns swap rights) (right to swap w/Moss 2027 FRP)</v>
      </c>
      <c r="J9" s="269" t="str">
        <f t="array" ref="J9">INDIRECT("'2027'!G10")</f>
        <v/>
      </c>
      <c r="K9" s="268" t="str">
        <f t="array" ref="K9">INDIRECT("'2027'!I10")</f>
        <v>1st Round Zujewski</v>
      </c>
    </row>
    <row r="10">
      <c r="A10" s="261"/>
      <c r="B10" s="262" t="str">
        <f t="array" ref="B10">INDIRECT("'2027'!A3")
</f>
        <v>2nd Round Trager</v>
      </c>
      <c r="C10" s="263" t="str">
        <f t="array" ref="C10">INDIRECT("'2027'!C3")
</f>
        <v>2nd Round Berke</v>
      </c>
      <c r="D10" s="263" t="str">
        <f t="array" ref="D10">INDIRECT("'2027'!E3")</f>
        <v>2nd Round Delaney</v>
      </c>
      <c r="E10" s="260" t="str">
        <f t="array" ref="E10">INDIRECT("'2027'!G3")</f>
        <v/>
      </c>
      <c r="F10" s="260" t="str">
        <f t="array" ref="F10">INDIRECT("'2027'!I3")</f>
        <v/>
      </c>
      <c r="G10" s="260" t="str">
        <f t="array" ref="G10">INDIRECT("'2027'!A11")</f>
        <v/>
      </c>
      <c r="H10" s="260" t="str">
        <f t="array" ref="H10">INDIRECT("'2027'!C11")</f>
        <v/>
      </c>
      <c r="I10" s="260" t="str">
        <f t="array" ref="I10">INDIRECT("'2027'!E11")</f>
        <v>1st Round Jowkar</v>
      </c>
      <c r="J10" s="260" t="str">
        <f t="array" ref="J10">INDIRECT("'2027'!G11")</f>
        <v/>
      </c>
      <c r="K10" s="260" t="str">
        <f t="array" ref="K10">INDIRECT("'2027'!I11")</f>
        <v>2nd Round Peterson</v>
      </c>
    </row>
    <row r="11">
      <c r="A11" s="261"/>
      <c r="B11" s="262" t="str">
        <f t="array" ref="B11">INDIRECT("'2027'!A4")
</f>
        <v/>
      </c>
      <c r="C11" s="263" t="str">
        <f t="array" ref="C11">INDIRECT("'2027'!C4")
</f>
        <v/>
      </c>
      <c r="D11" s="263" t="str">
        <f t="array" ref="D11">INDIRECT("'2027'!E4")</f>
        <v>2nd Round Zujewski</v>
      </c>
      <c r="E11" s="260" t="str">
        <f t="array" ref="E11">INDIRECT("'2027'!G4")</f>
        <v/>
      </c>
      <c r="F11" s="260" t="str">
        <f t="array" ref="F11">INDIRECT("'2027'!I4")</f>
        <v/>
      </c>
      <c r="G11" s="260" t="str">
        <f t="array" ref="G11">INDIRECT("'2027'!A12")</f>
        <v/>
      </c>
      <c r="H11" s="260" t="str">
        <f t="array" ref="H11">INDIRECT("'2027'!C12")</f>
        <v/>
      </c>
      <c r="I11" s="260" t="str">
        <f t="array" ref="I11">INDIRECT("'2027'!E12")</f>
        <v>1st Round Berke</v>
      </c>
      <c r="J11" s="260" t="str">
        <f t="array" ref="J11">INDIRECT("'2027'!G12")</f>
        <v/>
      </c>
      <c r="K11" s="260" t="str">
        <f t="array" ref="K11">INDIRECT("'2027'!I12")</f>
        <v/>
      </c>
    </row>
    <row r="12">
      <c r="A12" s="261"/>
      <c r="B12" s="262" t="str">
        <f t="array" ref="B12">INDIRECT("'2027'!A5")
</f>
        <v/>
      </c>
      <c r="C12" s="263" t="str">
        <f t="array" ref="C12">INDIRECT("'2027'!C5")
</f>
        <v/>
      </c>
      <c r="D12" s="263" t="str">
        <f t="array" ref="D12">INDIRECT("'2027'!E5")</f>
        <v/>
      </c>
      <c r="E12" s="260" t="str">
        <f t="array" ref="E12">INDIRECT("'2027'!G5")</f>
        <v/>
      </c>
      <c r="F12" s="265" t="str">
        <f t="array" ref="F12">INDIRECT("'2027'!I5")</f>
        <v/>
      </c>
      <c r="G12" s="260" t="str">
        <f t="array" ref="G12">INDIRECT("'2027'!A13")</f>
        <v/>
      </c>
      <c r="H12" s="260" t="str">
        <f t="array" ref="H12">INDIRECT("'2027'!C13")</f>
        <v/>
      </c>
      <c r="I12" s="260" t="str">
        <f t="array" ref="I12">INDIRECT("'2027'!E13")</f>
        <v>2nd Round Baden</v>
      </c>
      <c r="J12" s="260" t="str">
        <f t="array" ref="J12">INDIRECT("'2027'!G13")</f>
        <v/>
      </c>
      <c r="K12" s="260" t="str">
        <f t="array" ref="K12">INDIRECT("'2027'!I13")</f>
        <v/>
      </c>
    </row>
    <row r="13">
      <c r="A13" s="261"/>
      <c r="B13" s="262" t="str">
        <f t="array" ref="B13">INDIRECT("'2027'!A6")
</f>
        <v/>
      </c>
      <c r="C13" s="263" t="str">
        <f t="array" ref="C13">INDIRECT("'2027'!C6")
</f>
        <v/>
      </c>
      <c r="D13" s="263" t="str">
        <f t="array" ref="D13">INDIRECT("'2027'!E6")</f>
        <v/>
      </c>
      <c r="E13" s="260" t="str">
        <f t="array" ref="E13">INDIRECT("'2027'!G6")</f>
        <v/>
      </c>
      <c r="F13" s="260" t="str">
        <f t="array" ref="F13">INDIRECT("'2027'!I6")</f>
        <v/>
      </c>
      <c r="G13" s="260" t="str">
        <f t="array" ref="G13">INDIRECT("'2027'!A14")</f>
        <v/>
      </c>
      <c r="H13" s="260" t="str">
        <f t="array" ref="H13">INDIRECT("'2027'!C14")</f>
        <v/>
      </c>
      <c r="I13" s="260" t="str">
        <f t="array" ref="I13">INDIRECT("'2027'!E14")</f>
        <v>2nd Round Jowkar</v>
      </c>
      <c r="J13" s="260" t="str">
        <f t="array" ref="J13">INDIRECT("'2027'!G14")</f>
        <v/>
      </c>
      <c r="K13" s="260" t="str">
        <f t="array" ref="K13">INDIRECT("'2027'!I14")</f>
        <v/>
      </c>
    </row>
    <row r="14">
      <c r="A14" s="261"/>
      <c r="B14" s="263" t="str">
        <f t="array" ref="B14">INDIRECT("'2027'!A7")
</f>
        <v/>
      </c>
      <c r="C14" s="263" t="str">
        <f t="array" ref="C14">INDIRECT("'2027'!C7")
</f>
        <v/>
      </c>
      <c r="D14" s="263" t="str">
        <f t="array" ref="D14">INDIRECT("'2027'!E7")</f>
        <v/>
      </c>
      <c r="E14" s="260" t="str">
        <f t="array" ref="E14">INDIRECT("'2027'!G7")</f>
        <v/>
      </c>
      <c r="F14" s="260" t="str">
        <f t="array" ref="F14">INDIRECT("'2027'!I7")</f>
        <v/>
      </c>
      <c r="G14" s="260" t="str">
        <f t="array" ref="G14">INDIRECT("'2027'!A15")</f>
        <v/>
      </c>
      <c r="H14" s="260" t="str">
        <f t="array" ref="H14">INDIRECT("'2027'!C15")</f>
        <v/>
      </c>
      <c r="I14" s="260" t="str">
        <f t="array" ref="I14">INDIRECT("'2027'!E15")</f>
        <v>2nd Round Moss</v>
      </c>
      <c r="J14" s="260" t="str">
        <f t="array" ref="J14">INDIRECT("'2027'!G15")</f>
        <v/>
      </c>
      <c r="K14" s="260" t="str">
        <f t="array" ref="K14">INDIRECT("'2027'!I15")</f>
        <v/>
      </c>
    </row>
    <row r="15">
      <c r="A15" s="261"/>
      <c r="B15" s="263"/>
      <c r="C15" s="263"/>
      <c r="D15" s="263"/>
      <c r="E15" s="260"/>
      <c r="F15" s="260"/>
      <c r="G15" s="260"/>
      <c r="H15" s="260"/>
      <c r="I15" s="260" t="str">
        <f t="array" ref="I15">INDIRECT("'2027'!E16")</f>
        <v>2nd Round Green </v>
      </c>
      <c r="J15" s="260"/>
      <c r="K15" s="260"/>
    </row>
    <row r="16">
      <c r="A16" s="266"/>
      <c r="B16" s="270"/>
      <c r="C16" s="270"/>
      <c r="D16" s="270"/>
      <c r="E16" s="271"/>
      <c r="F16" s="271"/>
      <c r="G16" s="271"/>
      <c r="H16" s="271"/>
      <c r="I16" s="271" t="str">
        <f t="array" ref="I16">INDIRECT("'2027'!E17")</f>
        <v>2nd Round Gold</v>
      </c>
      <c r="J16" s="271"/>
      <c r="K16" s="271"/>
    </row>
    <row r="17">
      <c r="A17" s="272">
        <v>2028.0</v>
      </c>
      <c r="B17" s="262" t="str">
        <f t="array" ref="B17">INDIRECT("'2028'!A2")
</f>
        <v>2nd Round Trager</v>
      </c>
      <c r="C17" s="263" t="str">
        <f t="array" ref="C17">INDIRECT("'2028'!C2")
</f>
        <v>1st Round Jowkar</v>
      </c>
      <c r="D17" s="263" t="str">
        <f t="array" ref="D17">INDIRECT("'2028'!E2")</f>
        <v>1st Round Delaney</v>
      </c>
      <c r="E17" s="263" t="str">
        <f t="array" ref="E17">INDIRECT("'2028'!G2")</f>
        <v>1st Round Green</v>
      </c>
      <c r="F17" s="260" t="str">
        <f t="array" ref="F17">INDIRECT("'2028'!I2")</f>
        <v/>
      </c>
      <c r="G17" s="260" t="str">
        <f t="array" ref="G17">INDIRECT("'2028'!A10")</f>
        <v>1st Round Gold</v>
      </c>
      <c r="H17" s="260" t="str">
        <f t="array" ref="H17">INDIRECT("'2028'!C10")</f>
        <v/>
      </c>
      <c r="I17" s="260" t="str">
        <f t="array" ref="I17">INDIRECT("'2028'!E10")</f>
        <v>1st Round Baden*</v>
      </c>
      <c r="J17" s="260" t="str">
        <f t="array" ref="J17">INDIRECT("'2028'!G10")</f>
        <v>1st Round Peterson</v>
      </c>
      <c r="K17" s="260" t="str">
        <f t="array" ref="K17">INDIRECT("'2028'!I10")</f>
        <v>1st Round Zujewski</v>
      </c>
    </row>
    <row r="18">
      <c r="A18" s="261"/>
      <c r="B18" s="262" t="str">
        <f t="array" ref="B18">INDIRECT("'2028'!A3")
</f>
        <v/>
      </c>
      <c r="C18" s="263" t="str">
        <f t="array" ref="C18">INDIRECT("'2028'!C3")
</f>
        <v>2nd Round Berke</v>
      </c>
      <c r="D18" s="263" t="str">
        <f t="array" ref="D18">INDIRECT("'2028'!E3")</f>
        <v>1st Round Berke</v>
      </c>
      <c r="E18" s="260" t="str">
        <f t="array" ref="E18">INDIRECT("'2028'!G3")</f>
        <v>2nd Round Green </v>
      </c>
      <c r="F18" s="260" t="str">
        <f t="array" ref="F18">INDIRECT("'2028'!I3")</f>
        <v/>
      </c>
      <c r="G18" s="260" t="str">
        <f t="array" ref="G18">INDIRECT("'2028'!A11")</f>
        <v/>
      </c>
      <c r="H18" s="260" t="str">
        <f t="array" ref="H18">INDIRECT("'2028'!C11")</f>
        <v/>
      </c>
      <c r="I18" s="260" t="str">
        <f t="array" ref="I18">INDIRECT("'2028'!E11")</f>
        <v>1st Round Moss</v>
      </c>
      <c r="J18" s="260" t="str">
        <f t="array" ref="J18">INDIRECT("'2028'!G11")</f>
        <v>1st Round Trager</v>
      </c>
      <c r="K18" s="260" t="str">
        <f t="array" ref="K18">INDIRECT("'2028'!I11")</f>
        <v>2nd Round Zujewski</v>
      </c>
    </row>
    <row r="19">
      <c r="A19" s="261"/>
      <c r="B19" s="262" t="str">
        <f t="array" ref="B19">INDIRECT("'2028'!A4")
</f>
        <v/>
      </c>
      <c r="C19" s="263" t="str">
        <f t="array" ref="C19">INDIRECT("'2028'!C4")
</f>
        <v/>
      </c>
      <c r="D19" s="263" t="str">
        <f t="array" ref="D19">INDIRECT("'2028'!E4")</f>
        <v>2nd Round Delaney</v>
      </c>
      <c r="E19" s="260" t="str">
        <f t="array" ref="E19">INDIRECT("'2028'!G4")</f>
        <v/>
      </c>
      <c r="F19" s="260" t="str">
        <f t="array" ref="F19">INDIRECT("'2028'!I4")</f>
        <v/>
      </c>
      <c r="G19" s="260" t="str">
        <f t="array" ref="G19">INDIRECT("'2028'!A12")</f>
        <v/>
      </c>
      <c r="H19" s="260" t="str">
        <f t="array" ref="H19">INDIRECT("'2028'!C12")</f>
        <v/>
      </c>
      <c r="I19" s="260" t="str">
        <f t="array" ref="I19">INDIRECT("'2028'!E12")</f>
        <v>2nd Round Moss</v>
      </c>
      <c r="J19" s="260" t="str">
        <f t="array" ref="J19">INDIRECT("'2028'!G12")</f>
        <v>2nd Round Peterson</v>
      </c>
      <c r="K19" s="260" t="str">
        <f t="array" ref="K19">INDIRECT("'2028'!I12")</f>
        <v/>
      </c>
    </row>
    <row r="20">
      <c r="A20" s="261"/>
      <c r="B20" s="262" t="str">
        <f t="array" ref="B20">INDIRECT("'2028'!A5")
</f>
        <v/>
      </c>
      <c r="C20" s="263" t="str">
        <f t="array" ref="C20">INDIRECT("'2028'!C5")
</f>
        <v/>
      </c>
      <c r="D20" s="263" t="str">
        <f t="array" ref="D20">INDIRECT("'2028'!E5")</f>
        <v>2nd Round Jowkar</v>
      </c>
      <c r="E20" s="260" t="str">
        <f t="array" ref="E20">INDIRECT("'2028'!G5")</f>
        <v/>
      </c>
      <c r="F20" s="260" t="str">
        <f t="array" ref="F20">INDIRECT("'2028'!I5")</f>
        <v/>
      </c>
      <c r="G20" s="260" t="str">
        <f t="array" ref="G20">INDIRECT("'2028'!A13")</f>
        <v/>
      </c>
      <c r="H20" s="260" t="str">
        <f t="array" ref="H20">INDIRECT("'2028'!C13")</f>
        <v/>
      </c>
      <c r="I20" s="260" t="str">
        <f t="array" ref="I20">INDIRECT("'2028'!E13")</f>
        <v>2nd Round Kelley</v>
      </c>
      <c r="J20" s="260" t="str">
        <f t="array" ref="J20">INDIRECT("'2028'!G13")</f>
        <v/>
      </c>
      <c r="K20" s="260" t="str">
        <f t="array" ref="K20">INDIRECT("'2028'!I13")</f>
        <v/>
      </c>
    </row>
    <row r="21">
      <c r="A21" s="261"/>
      <c r="B21" s="263" t="str">
        <f t="array" ref="B21">INDIRECT("'2028'!A6")
</f>
        <v/>
      </c>
      <c r="C21" s="263" t="str">
        <f t="array" ref="C21">INDIRECT("'2028'!C6")
</f>
        <v/>
      </c>
      <c r="D21" s="263" t="str">
        <f t="array" ref="D21">INDIRECT("'2028'!E6")</f>
        <v/>
      </c>
      <c r="E21" s="260" t="str">
        <f t="array" ref="E21">INDIRECT("'2028'!G6")</f>
        <v/>
      </c>
      <c r="F21" s="260" t="str">
        <f t="array" ref="F21">INDIRECT("'2028'!I6")</f>
        <v/>
      </c>
      <c r="G21" s="260" t="str">
        <f t="array" ref="G21">INDIRECT("'2028'!A14")</f>
        <v/>
      </c>
      <c r="H21" s="260" t="str">
        <f t="array" ref="H21">INDIRECT("'2028'!C14")</f>
        <v/>
      </c>
      <c r="I21" s="260" t="str">
        <f t="array" ref="I21">INDIRECT("'2028'!E14")</f>
        <v>2nd Round Gold</v>
      </c>
      <c r="J21" s="260" t="str">
        <f t="array" ref="J21">INDIRECT("'2028'!G14")</f>
        <v/>
      </c>
      <c r="K21" s="260" t="str">
        <f t="array" ref="K21">INDIRECT("'2028'!I14")</f>
        <v/>
      </c>
    </row>
    <row r="22">
      <c r="A22" s="266"/>
      <c r="B22" s="270" t="str">
        <f t="array" ref="B22">INDIRECT("'2028'!A7")
</f>
        <v/>
      </c>
      <c r="C22" s="270" t="str">
        <f t="array" ref="C22">INDIRECT("'2028'!C7")
</f>
        <v/>
      </c>
      <c r="D22" s="270" t="str">
        <f t="array" ref="D22">INDIRECT("'2028'!E7")</f>
        <v/>
      </c>
      <c r="E22" s="271" t="str">
        <f t="array" ref="E22">INDIRECT("'2028'!G7")</f>
        <v/>
      </c>
      <c r="F22" s="271" t="str">
        <f t="array" ref="F22">INDIRECT("'2028'!I7")</f>
        <v/>
      </c>
      <c r="G22" s="271" t="str">
        <f t="array" ref="G22">INDIRECT("'2028'!A15")</f>
        <v/>
      </c>
      <c r="H22" s="271" t="str">
        <f t="array" ref="H22">INDIRECT("'2028'!C15")</f>
        <v/>
      </c>
      <c r="I22" s="271" t="str">
        <f t="array" ref="I22">INDIRECT("'2028'!E15")</f>
        <v/>
      </c>
      <c r="J22" s="271" t="str">
        <f t="array" ref="J22">INDIRECT("'2028'!G15")</f>
        <v/>
      </c>
      <c r="K22" s="271" t="str">
        <f t="array" ref="K22">INDIRECT("'2028'!I15")</f>
        <v/>
      </c>
    </row>
    <row r="23">
      <c r="A23" s="273">
        <v>2029.0</v>
      </c>
      <c r="B23" s="262" t="str">
        <f t="array" ref="B23">INDIRECT("'2029'!A2")
</f>
        <v>1st Round Trager</v>
      </c>
      <c r="C23" s="263" t="str">
        <f t="array" ref="C23">INDIRECT("'2029'!C2")
</f>
        <v>1st Round Jowkar</v>
      </c>
      <c r="D23" s="263" t="str">
        <f t="array" ref="D23">INDIRECT("'2029'!E2")</f>
        <v>1st Round Delaney</v>
      </c>
      <c r="E23" s="263" t="str">
        <f t="array" ref="E23">INDIRECT("'2029'!G2")</f>
        <v>2nd Round Green </v>
      </c>
      <c r="F23" s="260" t="str">
        <f t="array" ref="F23">INDIRECT("'2029'!I2")</f>
        <v/>
      </c>
      <c r="G23" s="260" t="str">
        <f t="array" ref="G23">INDIRECT("'2029'!A10")</f>
        <v>1st Round Gold</v>
      </c>
      <c r="H23" s="260" t="str">
        <f t="array" ref="H23">INDIRECT("'2029'!C10")</f>
        <v>1st Round Moss</v>
      </c>
      <c r="I23" s="260" t="str">
        <f t="array" ref="I23">INDIRECT("'2029'!E10")</f>
        <v>1st Round Baden*</v>
      </c>
      <c r="J23" s="260" t="str">
        <f t="array" ref="J23">INDIRECT("'2029'!G10")</f>
        <v>1st Round Peterson</v>
      </c>
      <c r="K23" s="260" t="str">
        <f t="array" ref="K23">INDIRECT("'2029'!I10")</f>
        <v>1st Round Zujewski</v>
      </c>
    </row>
    <row r="24">
      <c r="A24" s="261"/>
      <c r="B24" s="262" t="str">
        <f t="array" ref="B24">INDIRECT("'2029'!A3")
</f>
        <v>2nd Round Trager</v>
      </c>
      <c r="C24" s="263" t="str">
        <f t="array" ref="C24">INDIRECT("'2029'!C3")
</f>
        <v>2nd Round Jowkar</v>
      </c>
      <c r="D24" s="263" t="str">
        <f t="array" ref="D24">INDIRECT("'2029'!E3")</f>
        <v>2nd Round Delaney</v>
      </c>
      <c r="E24" s="260" t="str">
        <f t="array" ref="E24">INDIRECT("'2029'!G3")</f>
        <v/>
      </c>
      <c r="F24" s="260" t="str">
        <f t="array" ref="F24">INDIRECT("'2029'!I3")</f>
        <v/>
      </c>
      <c r="G24" s="260" t="str">
        <f t="array" ref="G24">INDIRECT("'2029'!A11")</f>
        <v/>
      </c>
      <c r="H24" s="260" t="str">
        <f t="array" ref="H24">INDIRECT("'2029'!C11")</f>
        <v>1st Round Green</v>
      </c>
      <c r="I24" s="260" t="str">
        <f t="array" ref="I24">INDIRECT("'2029'!E11")</f>
        <v>2nd Round Baden</v>
      </c>
      <c r="J24" s="260" t="str">
        <f t="array" ref="J24">INDIRECT("'2029'!G11")</f>
        <v>1st Round Berke</v>
      </c>
      <c r="K24" s="260" t="str">
        <f t="array" ref="K24">INDIRECT("'2029'!I11")</f>
        <v>2nd Round Zujewski</v>
      </c>
    </row>
    <row r="25">
      <c r="A25" s="261"/>
      <c r="B25" s="262" t="str">
        <f t="array" ref="B25">INDIRECT("'2029'!A4")
</f>
        <v/>
      </c>
      <c r="C25" s="263" t="str">
        <f t="array" ref="C25">INDIRECT("'2029'!C4")
</f>
        <v>2nd Round Berke</v>
      </c>
      <c r="D25" s="263" t="str">
        <f t="array" ref="D25">INDIRECT("'2029'!E4")</f>
        <v/>
      </c>
      <c r="E25" s="260" t="str">
        <f t="array" ref="E25">INDIRECT("'2029'!G4")</f>
        <v/>
      </c>
      <c r="F25" s="260" t="str">
        <f t="array" ref="F25">INDIRECT("'2029'!I4")</f>
        <v/>
      </c>
      <c r="G25" s="260" t="str">
        <f t="array" ref="G25">INDIRECT("'2029'!A12")</f>
        <v/>
      </c>
      <c r="H25" s="260" t="str">
        <f t="array" ref="H25">INDIRECT("'2029'!C12")</f>
        <v>2nd Round Moss</v>
      </c>
      <c r="I25" s="260" t="str">
        <f t="array" ref="I25">INDIRECT("'2029'!E12")</f>
        <v/>
      </c>
      <c r="J25" s="260" t="str">
        <f t="array" ref="J25">INDIRECT("'2029'!G12")</f>
        <v>2nd Round Peterson</v>
      </c>
      <c r="K25" s="260" t="str">
        <f t="array" ref="K25">INDIRECT("'2029'!I12")</f>
        <v/>
      </c>
    </row>
    <row r="26">
      <c r="A26" s="261"/>
      <c r="B26" s="262" t="str">
        <f t="array" ref="B26">INDIRECT("'2029'!A5")
</f>
        <v/>
      </c>
      <c r="C26" s="263" t="str">
        <f t="array" ref="C26">INDIRECT("'2029'!C5")
</f>
        <v/>
      </c>
      <c r="D26" s="263" t="str">
        <f t="array" ref="D26">INDIRECT("'2029'!E5")</f>
        <v/>
      </c>
      <c r="E26" s="260" t="str">
        <f t="array" ref="E26">INDIRECT("'2029'!G5")</f>
        <v/>
      </c>
      <c r="F26" s="260" t="str">
        <f t="array" ref="F26">INDIRECT("'2029'!I5")</f>
        <v/>
      </c>
      <c r="G26" s="260" t="str">
        <f t="array" ref="G26">INDIRECT("'2029'!A13")</f>
        <v/>
      </c>
      <c r="H26" s="260" t="str">
        <f t="array" ref="H26">INDIRECT("'2029'!C13")</f>
        <v/>
      </c>
      <c r="I26" s="260" t="str">
        <f t="array" ref="I26">INDIRECT("'2029'!E13")</f>
        <v/>
      </c>
      <c r="J26" s="260" t="str">
        <f t="array" ref="J26">INDIRECT("'2029'!G13")</f>
        <v>2nd Round Gold</v>
      </c>
      <c r="K26" s="260" t="str">
        <f t="array" ref="K26">INDIRECT("'2029'!I13")</f>
        <v/>
      </c>
    </row>
    <row r="27">
      <c r="A27" s="261"/>
      <c r="B27" s="263" t="str">
        <f t="array" ref="B27">INDIRECT("'2029'!A6")
</f>
        <v/>
      </c>
      <c r="C27" s="263" t="str">
        <f t="array" ref="C27">INDIRECT("'2029'!C6")
</f>
        <v/>
      </c>
      <c r="D27" s="263" t="str">
        <f t="array" ref="D27">INDIRECT("'2029'!E6")</f>
        <v/>
      </c>
      <c r="E27" s="260" t="str">
        <f t="array" ref="E27">INDIRECT("'2029'!G6")</f>
        <v/>
      </c>
      <c r="F27" s="260" t="str">
        <f t="array" ref="F27">INDIRECT("'2029'!I6")</f>
        <v/>
      </c>
      <c r="G27" s="260" t="str">
        <f t="array" ref="G27">INDIRECT("'2029'!A14")</f>
        <v/>
      </c>
      <c r="H27" s="260" t="str">
        <f t="array" ref="H27">INDIRECT("'2029'!C14")</f>
        <v/>
      </c>
      <c r="I27" s="260" t="str">
        <f t="array" ref="I27">INDIRECT("'2029'!E14")</f>
        <v/>
      </c>
      <c r="J27" s="260" t="str">
        <f t="array" ref="J27">INDIRECT("'2029'!G14")</f>
        <v/>
      </c>
      <c r="K27" s="260" t="str">
        <f t="array" ref="K27">INDIRECT("'2029'!I14")</f>
        <v/>
      </c>
    </row>
    <row r="28">
      <c r="A28" s="266"/>
      <c r="B28" s="270" t="str">
        <f t="array" ref="B28">INDIRECT("'2029'!A7")
</f>
        <v/>
      </c>
      <c r="C28" s="270" t="str">
        <f t="array" ref="C28">INDIRECT("'2029'!C7")
</f>
        <v/>
      </c>
      <c r="D28" s="270" t="str">
        <f t="array" ref="D28">INDIRECT("'2029'!E7")</f>
        <v/>
      </c>
      <c r="E28" s="271" t="str">
        <f t="array" ref="E28">INDIRECT("'2029'!G7")</f>
        <v/>
      </c>
      <c r="F28" s="271" t="str">
        <f t="array" ref="F28">INDIRECT("'2029'!I7")</f>
        <v/>
      </c>
      <c r="G28" s="271" t="str">
        <f t="array" ref="G28">INDIRECT("'2029'!A15")</f>
        <v/>
      </c>
      <c r="H28" s="271" t="str">
        <f t="array" ref="H28">INDIRECT("'2029'!C15")</f>
        <v/>
      </c>
      <c r="I28" s="271" t="str">
        <f t="array" ref="I28">INDIRECT("'2029'!E15")</f>
        <v/>
      </c>
      <c r="J28" s="271" t="str">
        <f t="array" ref="J28">INDIRECT("'2029'!G15")</f>
        <v/>
      </c>
      <c r="K28" s="271" t="str">
        <f t="array" ref="K28">INDIRECT("'2029'!I15")</f>
        <v/>
      </c>
    </row>
    <row r="29">
      <c r="A29" s="274">
        <v>2030.0</v>
      </c>
      <c r="B29" s="262" t="str">
        <f t="array" ref="B29">INDIRECT("'2030'!A2")
</f>
        <v>1st Round Trager</v>
      </c>
      <c r="C29" s="263" t="str">
        <f t="array" ref="C29">INDIRECT("'2030'!C2")
</f>
        <v>1st Round Jowkar</v>
      </c>
      <c r="D29" s="263" t="str">
        <f t="array" ref="D29">INDIRECT("'2030'!E2")</f>
        <v>1st Round Delaney</v>
      </c>
      <c r="E29" s="263" t="str">
        <f t="array" ref="E29">INDIRECT("'2030'!G2")</f>
        <v>1st Round Green</v>
      </c>
      <c r="F29" s="260" t="str">
        <f t="array" ref="F29">INDIRECT("'2030'!I2")</f>
        <v>1st Round Berke</v>
      </c>
      <c r="G29" s="260" t="str">
        <f t="array" ref="G29">INDIRECT("'2030'!A10")</f>
        <v>1st Round Gold</v>
      </c>
      <c r="H29" s="260" t="str">
        <f t="array" ref="H29">INDIRECT("'2030'!C10")</f>
        <v>1st Round Moss</v>
      </c>
      <c r="I29" s="260" t="str">
        <f t="array" ref="I29">INDIRECT("'2030'!E10")</f>
        <v>1st Round Baden</v>
      </c>
      <c r="J29" s="260" t="str">
        <f t="array" ref="J29">INDIRECT("'2030'!G10")</f>
        <v>1st Round Peterson</v>
      </c>
      <c r="K29" s="260" t="str">
        <f t="array" ref="K29">INDIRECT("'2030'!I10")</f>
        <v>1st Round Zujewski</v>
      </c>
    </row>
    <row r="30">
      <c r="A30" s="261"/>
      <c r="B30" s="262" t="str">
        <f t="array" ref="B30">INDIRECT("'2030'!A3")
</f>
        <v>2nd Round Trager</v>
      </c>
      <c r="C30" s="263" t="str">
        <f t="array" ref="C30">INDIRECT("'2030'!C3")
</f>
        <v>2nd Round Jowkar</v>
      </c>
      <c r="D30" s="263" t="str">
        <f t="array" ref="D30">INDIRECT("'2030'!E3")</f>
        <v>2nd Round Delaney</v>
      </c>
      <c r="E30" s="260" t="str">
        <f t="array" ref="E30">INDIRECT("'2030'!G3")</f>
        <v>2nd Round Green </v>
      </c>
      <c r="F30" s="260" t="str">
        <f t="array" ref="F30">INDIRECT("'2030'!I3")</f>
        <v/>
      </c>
      <c r="G30" s="260" t="str">
        <f t="array" ref="G30">INDIRECT("'2030'!A11")</f>
        <v/>
      </c>
      <c r="H30" s="260" t="str">
        <f t="array" ref="H30">INDIRECT("'2030'!C11")</f>
        <v>2nd Round Moss</v>
      </c>
      <c r="I30" s="260" t="str">
        <f t="array" ref="I30">INDIRECT("'2030'!E11")</f>
        <v>2nd Round Baden</v>
      </c>
      <c r="J30" s="260" t="str">
        <f t="array" ref="J30">INDIRECT("'2030'!G11")</f>
        <v>2nd Round Peterson</v>
      </c>
      <c r="K30" s="260" t="str">
        <f t="array" ref="K30">INDIRECT("'2030'!I11")</f>
        <v>2nd Round Zujewski</v>
      </c>
    </row>
    <row r="31">
      <c r="A31" s="261"/>
      <c r="B31" s="262" t="str">
        <f t="array" ref="B31">INDIRECT("'2030'!A4")
</f>
        <v>2nd Round Gold</v>
      </c>
      <c r="C31" s="263" t="str">
        <f t="array" ref="C31">INDIRECT("'2030'!C4")
</f>
        <v>2nd Round Berke</v>
      </c>
      <c r="D31" s="263" t="str">
        <f t="array" ref="D31">INDIRECT("'2030'!E4")</f>
        <v/>
      </c>
      <c r="E31" s="260" t="str">
        <f t="array" ref="E31">INDIRECT("'2030'!G4")</f>
        <v/>
      </c>
      <c r="F31" s="260" t="str">
        <f t="array" ref="F31">INDIRECT("'2030'!I4")</f>
        <v/>
      </c>
      <c r="G31" s="260" t="str">
        <f t="array" ref="G31">INDIRECT("'2030'!A12")</f>
        <v/>
      </c>
      <c r="H31" s="260" t="str">
        <f t="array" ref="H31">INDIRECT("'2030'!C12")</f>
        <v/>
      </c>
      <c r="I31" s="260" t="str">
        <f t="array" ref="I31">INDIRECT("'2030'!E12")</f>
        <v/>
      </c>
      <c r="J31" s="260" t="str">
        <f t="array" ref="J31">INDIRECT("'2030'!G12")</f>
        <v/>
      </c>
      <c r="K31" s="260" t="str">
        <f t="array" ref="K31">INDIRECT("'2030'!I12")</f>
        <v/>
      </c>
    </row>
    <row r="32">
      <c r="A32" s="261"/>
      <c r="B32" s="262" t="str">
        <f t="array" ref="B32">INDIRECT("'2030'!A5")
</f>
        <v/>
      </c>
      <c r="C32" s="263" t="str">
        <f t="array" ref="C32">INDIRECT("'2030'!C5")
</f>
        <v/>
      </c>
      <c r="D32" s="263" t="str">
        <f t="array" ref="D32">INDIRECT("'2030'!E5")</f>
        <v/>
      </c>
      <c r="E32" s="260" t="str">
        <f t="array" ref="E32">INDIRECT("'2030'!G5")</f>
        <v/>
      </c>
      <c r="F32" s="260" t="str">
        <f t="array" ref="F32">INDIRECT("'2030'!I5")</f>
        <v/>
      </c>
      <c r="G32" s="260" t="str">
        <f t="array" ref="G32">INDIRECT("'2030'!A13")</f>
        <v/>
      </c>
      <c r="H32" s="260" t="str">
        <f t="array" ref="H32">INDIRECT("'2030'!C13")</f>
        <v/>
      </c>
      <c r="I32" s="260" t="str">
        <f t="array" ref="I32">INDIRECT("'2030'!E13")</f>
        <v/>
      </c>
      <c r="J32" s="260" t="str">
        <f t="array" ref="J32">INDIRECT("'2030'!G13")</f>
        <v/>
      </c>
      <c r="K32" s="260" t="str">
        <f t="array" ref="K32">INDIRECT("'2030'!I13")</f>
        <v/>
      </c>
    </row>
    <row r="33">
      <c r="A33" s="261"/>
      <c r="B33" s="263" t="str">
        <f t="array" ref="B33">INDIRECT("'2030'!A6")
</f>
        <v/>
      </c>
      <c r="C33" s="263" t="str">
        <f t="array" ref="C33">INDIRECT("'2030'!C6")
</f>
        <v/>
      </c>
      <c r="D33" s="263" t="str">
        <f t="array" ref="D33">INDIRECT("'2030'!E6")</f>
        <v/>
      </c>
      <c r="E33" s="260" t="str">
        <f t="array" ref="E33">INDIRECT("'2030'!G6")</f>
        <v/>
      </c>
      <c r="F33" s="260" t="str">
        <f t="array" ref="F33">INDIRECT("'2030'!I6")</f>
        <v/>
      </c>
      <c r="G33" s="260" t="str">
        <f t="array" ref="G33">INDIRECT("'2030'!A14")</f>
        <v/>
      </c>
      <c r="H33" s="260" t="str">
        <f t="array" ref="H33">INDIRECT("'2030'!C14")</f>
        <v/>
      </c>
      <c r="I33" s="260" t="str">
        <f t="array" ref="I33">INDIRECT("'2030'!E14")</f>
        <v/>
      </c>
      <c r="J33" s="260" t="str">
        <f t="array" ref="J33">INDIRECT("'2030'!G14")</f>
        <v/>
      </c>
      <c r="K33" s="260" t="str">
        <f t="array" ref="K33">INDIRECT("'2030'!I14")</f>
        <v/>
      </c>
    </row>
    <row r="34">
      <c r="A34" s="266"/>
      <c r="B34" s="270" t="str">
        <f t="array" ref="B34">INDIRECT("'2030'!A7")
</f>
        <v/>
      </c>
      <c r="C34" s="270" t="str">
        <f t="array" ref="C34">INDIRECT("'2030'!C7")
</f>
        <v/>
      </c>
      <c r="D34" s="270" t="str">
        <f t="array" ref="D34">INDIRECT("'2030'!E7")</f>
        <v/>
      </c>
      <c r="E34" s="271" t="str">
        <f t="array" ref="E34">INDIRECT("'2030'!G7")</f>
        <v/>
      </c>
      <c r="F34" s="271" t="str">
        <f t="array" ref="F34">INDIRECT("'2030'!I7")</f>
        <v/>
      </c>
      <c r="G34" s="271" t="str">
        <f t="array" ref="G34">INDIRECT("'2030'!A15")</f>
        <v/>
      </c>
      <c r="H34" s="271" t="str">
        <f t="array" ref="H34">INDIRECT("'2030'!C15")</f>
        <v/>
      </c>
      <c r="I34" s="271" t="str">
        <f t="array" ref="I34">INDIRECT("'2030'!E15")</f>
        <v/>
      </c>
      <c r="J34" s="271" t="str">
        <f t="array" ref="J34">INDIRECT("'2030'!G15")</f>
        <v/>
      </c>
      <c r="K34" s="271" t="str">
        <f t="array" ref="K34">INDIRECT("'2030'!I15")</f>
        <v/>
      </c>
    </row>
    <row r="37">
      <c r="B37" s="256" t="s">
        <v>406</v>
      </c>
      <c r="C37" s="256" t="s">
        <v>407</v>
      </c>
      <c r="D37" s="256" t="s">
        <v>408</v>
      </c>
      <c r="E37" s="256" t="s">
        <v>409</v>
      </c>
      <c r="F37" s="256" t="s">
        <v>158</v>
      </c>
      <c r="G37" s="256" t="s">
        <v>410</v>
      </c>
      <c r="H37" s="256" t="s">
        <v>411</v>
      </c>
      <c r="I37" s="256" t="s">
        <v>412</v>
      </c>
      <c r="J37" s="256" t="s">
        <v>413</v>
      </c>
      <c r="K37" s="256" t="s">
        <v>414</v>
      </c>
    </row>
    <row r="38">
      <c r="A38" s="275" t="s">
        <v>415</v>
      </c>
      <c r="B38" s="276">
        <f t="shared" ref="B38:K38" si="1">SUM(COUNTIF(B3:B34, "*1st Round*"))</f>
        <v>3</v>
      </c>
      <c r="C38" s="277">
        <f t="shared" si="1"/>
        <v>4</v>
      </c>
      <c r="D38" s="277">
        <f t="shared" si="1"/>
        <v>8</v>
      </c>
      <c r="E38" s="277">
        <f t="shared" si="1"/>
        <v>3</v>
      </c>
      <c r="F38" s="277">
        <f t="shared" si="1"/>
        <v>1</v>
      </c>
      <c r="G38" s="277">
        <f t="shared" si="1"/>
        <v>5</v>
      </c>
      <c r="H38" s="277">
        <f t="shared" si="1"/>
        <v>4</v>
      </c>
      <c r="I38" s="277">
        <f t="shared" si="1"/>
        <v>9</v>
      </c>
      <c r="J38" s="277">
        <f t="shared" si="1"/>
        <v>7</v>
      </c>
      <c r="K38" s="277">
        <f t="shared" si="1"/>
        <v>6</v>
      </c>
    </row>
    <row r="39">
      <c r="A39" s="278" t="s">
        <v>416</v>
      </c>
      <c r="B39" s="279">
        <f t="shared" ref="B39:K39" si="2">SUM(COUNTIF(B3:B34, "*2nd Round*"))</f>
        <v>5</v>
      </c>
      <c r="C39" s="280">
        <f t="shared" si="2"/>
        <v>6</v>
      </c>
      <c r="D39" s="280">
        <f t="shared" si="2"/>
        <v>9</v>
      </c>
      <c r="E39" s="280">
        <f t="shared" si="2"/>
        <v>3</v>
      </c>
      <c r="F39" s="280">
        <f t="shared" si="2"/>
        <v>0</v>
      </c>
      <c r="G39" s="280">
        <f t="shared" si="2"/>
        <v>0</v>
      </c>
      <c r="H39" s="280">
        <f t="shared" si="2"/>
        <v>2</v>
      </c>
      <c r="I39" s="280">
        <f t="shared" si="2"/>
        <v>14</v>
      </c>
      <c r="J39" s="280">
        <f t="shared" si="2"/>
        <v>6</v>
      </c>
      <c r="K39" s="280">
        <f t="shared" si="2"/>
        <v>5</v>
      </c>
    </row>
    <row r="40">
      <c r="A40" s="281" t="s">
        <v>417</v>
      </c>
      <c r="B40" s="282">
        <f t="shared" ref="B40:K40" si="3">COUNTA(B3:B34)</f>
        <v>8</v>
      </c>
      <c r="C40" s="283">
        <f t="shared" si="3"/>
        <v>10</v>
      </c>
      <c r="D40" s="283">
        <f t="shared" si="3"/>
        <v>17</v>
      </c>
      <c r="E40" s="283">
        <f t="shared" si="3"/>
        <v>6</v>
      </c>
      <c r="F40" s="283">
        <f t="shared" si="3"/>
        <v>1</v>
      </c>
      <c r="G40" s="283">
        <f t="shared" si="3"/>
        <v>5</v>
      </c>
      <c r="H40" s="283">
        <f t="shared" si="3"/>
        <v>6</v>
      </c>
      <c r="I40" s="283">
        <f t="shared" si="3"/>
        <v>23</v>
      </c>
      <c r="J40" s="283">
        <f t="shared" si="3"/>
        <v>13</v>
      </c>
      <c r="K40" s="283">
        <f t="shared" si="3"/>
        <v>11</v>
      </c>
    </row>
  </sheetData>
  <mergeCells count="5">
    <mergeCell ref="A3:A8"/>
    <mergeCell ref="A9:A16"/>
    <mergeCell ref="A17:A22"/>
    <mergeCell ref="A23:A28"/>
    <mergeCell ref="A29:A34"/>
  </mergeCells>
  <conditionalFormatting sqref="B38:K38">
    <cfRule type="colorScale" priority="1">
      <colorScale>
        <cfvo type="min"/>
        <cfvo type="percentile" val="50"/>
        <cfvo type="max"/>
        <color rgb="FFE67C73"/>
        <color rgb="FFFFD666"/>
        <color rgb="FF57BB8A"/>
      </colorScale>
    </cfRule>
  </conditionalFormatting>
  <conditionalFormatting sqref="B39:K39">
    <cfRule type="colorScale" priority="2">
      <colorScale>
        <cfvo type="min"/>
        <cfvo type="percentile" val="50"/>
        <cfvo type="max"/>
        <color rgb="FFE67C73"/>
        <color rgb="FFFFD666"/>
        <color rgb="FF57BB8A"/>
      </colorScale>
    </cfRule>
  </conditionalFormatting>
  <conditionalFormatting sqref="B40:K40">
    <cfRule type="colorScale" priority="3">
      <colorScale>
        <cfvo type="min"/>
        <cfvo type="percentile" val="50"/>
        <cfvo type="max"/>
        <color rgb="FFE67C73"/>
        <color rgb="FFFFD666"/>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19.88"/>
    <col customWidth="1" min="2" max="2" width="2.25"/>
    <col customWidth="1" min="3" max="3" width="19.13"/>
    <col customWidth="1" min="4" max="4" width="2.75"/>
    <col customWidth="1" min="5" max="5" width="19.63"/>
    <col customWidth="1" min="6" max="6" width="2.63"/>
    <col customWidth="1" min="7" max="7" width="17.88"/>
    <col customWidth="1" min="8" max="8" width="2.5"/>
    <col customWidth="1" min="9" max="9" width="20.13"/>
    <col customWidth="1" min="10" max="10" width="3.88"/>
    <col customWidth="1" min="11" max="11" width="8.0"/>
    <col customWidth="1" min="12" max="12" width="3.63"/>
    <col customWidth="1" min="13" max="13" width="1.5"/>
    <col customWidth="1" min="14" max="14" width="28.0"/>
    <col customWidth="1" min="15" max="15" width="5.13"/>
    <col customWidth="1" min="16" max="16" width="27.13"/>
    <col customWidth="1" min="17" max="17" width="4.88"/>
    <col customWidth="1" min="18" max="18" width="26.25"/>
    <col customWidth="1" min="19" max="19" width="6.13"/>
    <col customWidth="1" min="20" max="20" width="26.13"/>
  </cols>
  <sheetData>
    <row r="1">
      <c r="A1" s="1" t="s">
        <v>59</v>
      </c>
      <c r="B1" s="2"/>
      <c r="C1" s="1" t="s">
        <v>1</v>
      </c>
      <c r="D1" s="3"/>
      <c r="E1" s="1" t="s">
        <v>2</v>
      </c>
      <c r="F1" s="2"/>
      <c r="G1" s="4" t="s">
        <v>3</v>
      </c>
      <c r="H1" s="2"/>
      <c r="I1" s="5" t="s">
        <v>73</v>
      </c>
      <c r="J1" s="6">
        <v>2031.0</v>
      </c>
      <c r="K1" s="7"/>
      <c r="L1" s="8"/>
      <c r="M1" s="9"/>
      <c r="N1" s="108" t="s">
        <v>418</v>
      </c>
      <c r="O1" s="109"/>
      <c r="P1" s="110"/>
      <c r="Q1" s="13"/>
      <c r="R1" s="14" t="s">
        <v>419</v>
      </c>
      <c r="S1" s="15"/>
      <c r="T1" s="16" t="s">
        <v>8</v>
      </c>
    </row>
    <row r="2">
      <c r="A2" s="26" t="s">
        <v>128</v>
      </c>
      <c r="B2" s="284"/>
      <c r="C2" s="26" t="s">
        <v>396</v>
      </c>
      <c r="D2" s="285"/>
      <c r="E2" s="18" t="s">
        <v>9</v>
      </c>
      <c r="F2" s="285"/>
      <c r="G2" s="26" t="s">
        <v>14</v>
      </c>
      <c r="H2" s="285"/>
      <c r="I2" s="31" t="s">
        <v>35</v>
      </c>
      <c r="J2" s="19"/>
      <c r="L2" s="20"/>
      <c r="N2" s="231"/>
      <c r="O2" s="22" t="s">
        <v>11</v>
      </c>
      <c r="P2" s="232"/>
      <c r="Q2" s="24"/>
      <c r="R2" s="24"/>
      <c r="S2" s="24"/>
      <c r="T2" s="24"/>
    </row>
    <row r="3">
      <c r="A3" s="26" t="s">
        <v>18</v>
      </c>
      <c r="B3" s="25"/>
      <c r="C3" s="18" t="s">
        <v>46</v>
      </c>
      <c r="D3" s="25"/>
      <c r="E3" s="31" t="s">
        <v>15</v>
      </c>
      <c r="F3" s="25"/>
      <c r="G3" s="26" t="s">
        <v>397</v>
      </c>
      <c r="H3" s="25"/>
      <c r="I3" s="18" t="s">
        <v>45</v>
      </c>
      <c r="J3" s="19"/>
      <c r="L3" s="20"/>
      <c r="N3" s="27"/>
      <c r="O3" s="233"/>
      <c r="P3" s="29"/>
      <c r="Q3" s="24"/>
      <c r="R3" s="24"/>
      <c r="S3" s="24"/>
      <c r="T3" s="24"/>
    </row>
    <row r="4">
      <c r="B4" s="30"/>
      <c r="D4" s="30"/>
      <c r="F4" s="30"/>
      <c r="H4" s="30"/>
      <c r="J4" s="19"/>
      <c r="L4" s="20"/>
      <c r="Q4" s="24"/>
      <c r="R4" s="24"/>
      <c r="S4" s="24"/>
      <c r="T4" s="24"/>
    </row>
    <row r="5">
      <c r="B5" s="30"/>
      <c r="D5" s="30"/>
      <c r="F5" s="30"/>
      <c r="G5" s="32"/>
      <c r="H5" s="30"/>
      <c r="J5" s="19"/>
      <c r="L5" s="20"/>
      <c r="N5" s="41"/>
      <c r="O5" s="41"/>
      <c r="P5" s="41"/>
      <c r="Q5" s="24"/>
    </row>
    <row r="6">
      <c r="B6" s="30"/>
      <c r="D6" s="30"/>
      <c r="F6" s="30"/>
      <c r="H6" s="30"/>
      <c r="J6" s="19"/>
      <c r="L6" s="20"/>
    </row>
    <row r="7">
      <c r="B7" s="40"/>
      <c r="D7" s="40"/>
      <c r="F7" s="40"/>
      <c r="H7" s="40"/>
      <c r="J7" s="19"/>
      <c r="L7" s="20"/>
    </row>
    <row r="8">
      <c r="A8" s="42">
        <v>2031.0</v>
      </c>
      <c r="B8" s="43"/>
      <c r="C8" s="43"/>
      <c r="D8" s="43"/>
      <c r="E8" s="43"/>
      <c r="F8" s="43"/>
      <c r="G8" s="43"/>
      <c r="H8" s="43"/>
      <c r="I8" s="44"/>
      <c r="J8" s="19"/>
      <c r="L8" s="20"/>
      <c r="N8" s="41"/>
      <c r="O8" s="41"/>
    </row>
    <row r="9">
      <c r="A9" s="45" t="s">
        <v>22</v>
      </c>
      <c r="B9" s="46"/>
      <c r="C9" s="47" t="s">
        <v>78</v>
      </c>
      <c r="D9" s="46"/>
      <c r="E9" s="48" t="s">
        <v>24</v>
      </c>
      <c r="F9" s="49"/>
      <c r="G9" s="47" t="s">
        <v>84</v>
      </c>
      <c r="H9" s="46"/>
      <c r="I9" s="50" t="s">
        <v>26</v>
      </c>
      <c r="J9" s="19"/>
      <c r="L9" s="20"/>
      <c r="N9" s="41"/>
      <c r="O9" s="41"/>
      <c r="P9" s="41"/>
    </row>
    <row r="10">
      <c r="A10" s="26" t="s">
        <v>119</v>
      </c>
      <c r="B10" s="286"/>
      <c r="C10" s="134" t="s">
        <v>36</v>
      </c>
      <c r="D10" s="286"/>
      <c r="E10" s="18" t="s">
        <v>30</v>
      </c>
      <c r="F10" s="287"/>
      <c r="G10" s="26" t="s">
        <v>393</v>
      </c>
      <c r="H10" s="286"/>
      <c r="I10" s="18" t="s">
        <v>32</v>
      </c>
      <c r="J10" s="19"/>
      <c r="L10" s="20"/>
      <c r="N10" s="41"/>
    </row>
    <row r="11">
      <c r="A11" s="18" t="s">
        <v>39</v>
      </c>
      <c r="B11" s="25"/>
      <c r="C11" s="18" t="s">
        <v>43</v>
      </c>
      <c r="D11" s="25"/>
      <c r="E11" s="31" t="s">
        <v>38</v>
      </c>
      <c r="F11" s="25"/>
      <c r="G11" s="18" t="s">
        <v>40</v>
      </c>
      <c r="H11" s="25"/>
      <c r="I11" s="248" t="s">
        <v>42</v>
      </c>
      <c r="J11" s="19"/>
      <c r="L11" s="20"/>
    </row>
    <row r="12">
      <c r="A12" s="18"/>
      <c r="B12" s="30"/>
      <c r="D12" s="30"/>
      <c r="F12" s="30"/>
      <c r="H12" s="30"/>
      <c r="I12" s="60"/>
      <c r="J12" s="19"/>
      <c r="L12" s="20"/>
      <c r="N12" s="41"/>
      <c r="O12" s="41"/>
      <c r="P12" s="41"/>
    </row>
    <row r="13">
      <c r="B13" s="30"/>
      <c r="C13" s="24"/>
      <c r="D13" s="30"/>
      <c r="F13" s="30"/>
      <c r="H13" s="30"/>
      <c r="I13" s="236"/>
      <c r="J13" s="19"/>
      <c r="L13" s="20"/>
    </row>
    <row r="14">
      <c r="A14" s="24"/>
      <c r="B14" s="30"/>
      <c r="C14" s="24"/>
      <c r="D14" s="30"/>
      <c r="E14" s="41"/>
      <c r="F14" s="30"/>
      <c r="G14" s="41"/>
      <c r="H14" s="30"/>
      <c r="I14" s="237"/>
      <c r="J14" s="63"/>
      <c r="K14" s="64"/>
      <c r="L14" s="46"/>
      <c r="N14" s="41"/>
      <c r="O14" s="41"/>
      <c r="P14" s="41"/>
    </row>
    <row r="15">
      <c r="A15" s="65"/>
      <c r="B15" s="66"/>
      <c r="C15" s="67"/>
      <c r="D15" s="66"/>
      <c r="E15" s="67"/>
      <c r="F15" s="66"/>
      <c r="G15" s="67"/>
      <c r="H15" s="66"/>
      <c r="I15" s="238"/>
      <c r="N15" s="41"/>
    </row>
    <row r="16">
      <c r="A16" s="18" t="s">
        <v>48</v>
      </c>
      <c r="B16" s="18"/>
      <c r="C16" s="72"/>
      <c r="D16" s="18"/>
      <c r="E16" s="18"/>
      <c r="F16" s="24"/>
      <c r="G16" s="18"/>
      <c r="H16" s="73" t="s">
        <v>49</v>
      </c>
      <c r="I16" s="74"/>
      <c r="O16" s="41"/>
    </row>
    <row r="17">
      <c r="A17" s="18"/>
      <c r="B17" s="24"/>
      <c r="C17" s="72"/>
      <c r="D17" s="18"/>
      <c r="E17" s="18"/>
      <c r="F17" s="18"/>
      <c r="G17" s="18"/>
      <c r="H17" s="75" t="s">
        <v>51</v>
      </c>
      <c r="I17" s="76"/>
      <c r="N17" s="41"/>
      <c r="O17" s="41"/>
      <c r="P17" s="41"/>
    </row>
    <row r="18">
      <c r="A18" s="18"/>
      <c r="B18" s="18"/>
      <c r="C18" s="72"/>
      <c r="D18" s="18"/>
      <c r="E18" s="18"/>
      <c r="F18" s="18"/>
      <c r="G18" s="18"/>
      <c r="H18" s="77" t="s">
        <v>53</v>
      </c>
      <c r="I18" s="78"/>
      <c r="L18" s="79"/>
      <c r="N18" s="41"/>
    </row>
    <row r="19">
      <c r="A19" s="80"/>
      <c r="B19" s="81"/>
      <c r="C19" s="82"/>
      <c r="D19" s="24"/>
      <c r="E19" s="24"/>
      <c r="F19" s="18"/>
      <c r="G19" s="18"/>
      <c r="H19" s="24"/>
      <c r="I19" s="24"/>
      <c r="L19" s="79"/>
      <c r="O19" s="41"/>
      <c r="P19" s="41"/>
      <c r="Q19" s="83"/>
    </row>
    <row r="20">
      <c r="F20" s="79"/>
      <c r="G20" s="79"/>
      <c r="L20" s="79"/>
      <c r="N20" s="41"/>
      <c r="O20" s="41"/>
      <c r="P20" s="41"/>
      <c r="Q20" s="83"/>
    </row>
    <row r="21">
      <c r="A21" s="84"/>
      <c r="L21" s="79"/>
      <c r="N21" s="41"/>
      <c r="O21" s="41"/>
      <c r="P21" s="41"/>
      <c r="Q21" s="83"/>
    </row>
    <row r="22">
      <c r="F22" s="79"/>
      <c r="G22" s="79"/>
      <c r="P22" s="41"/>
    </row>
    <row r="23">
      <c r="A23" s="85"/>
      <c r="F23" s="79"/>
      <c r="G23" s="79"/>
      <c r="P23" s="41"/>
      <c r="Q23" s="83"/>
    </row>
    <row r="24">
      <c r="F24" s="79"/>
      <c r="G24" s="79"/>
      <c r="N24" s="41"/>
      <c r="O24" s="41"/>
      <c r="P24" s="41"/>
    </row>
    <row r="25">
      <c r="A25" s="79"/>
      <c r="B25" s="79"/>
      <c r="C25" s="79"/>
      <c r="D25" s="79"/>
      <c r="E25" s="79"/>
      <c r="F25" s="79"/>
      <c r="G25" s="79"/>
    </row>
    <row r="26">
      <c r="A26" s="79"/>
      <c r="B26" s="79"/>
      <c r="C26" s="79"/>
      <c r="D26" s="79"/>
      <c r="E26" s="79"/>
      <c r="F26" s="79"/>
      <c r="G26" s="79"/>
      <c r="N26" s="41"/>
      <c r="O26" s="41"/>
      <c r="P26" s="41"/>
    </row>
    <row r="27">
      <c r="N27" s="41"/>
      <c r="P27" s="41"/>
    </row>
    <row r="29">
      <c r="N29" s="41"/>
      <c r="O29" s="41"/>
      <c r="P29" s="41"/>
    </row>
    <row r="30">
      <c r="N30" s="41"/>
      <c r="P30" s="41"/>
    </row>
    <row r="31">
      <c r="P31" s="41"/>
    </row>
    <row r="32">
      <c r="N32" s="41"/>
      <c r="P32" s="41"/>
    </row>
    <row r="33">
      <c r="P33" s="41"/>
    </row>
    <row r="34">
      <c r="P34" s="41"/>
    </row>
    <row r="35">
      <c r="P35" s="41"/>
    </row>
    <row r="37">
      <c r="N37" s="41"/>
      <c r="O37" s="41"/>
      <c r="P37" s="41"/>
    </row>
    <row r="38">
      <c r="N38" s="41"/>
    </row>
    <row r="39">
      <c r="N39" s="41"/>
      <c r="P39" s="41"/>
    </row>
    <row r="40">
      <c r="N40" s="41"/>
      <c r="P40" s="41"/>
    </row>
    <row r="41">
      <c r="N41" s="41"/>
      <c r="P41" s="41"/>
    </row>
    <row r="42">
      <c r="P42" s="41"/>
    </row>
    <row r="43">
      <c r="N43" s="41"/>
      <c r="O43" s="41"/>
      <c r="P43" s="41"/>
    </row>
    <row r="44">
      <c r="N44" s="41"/>
      <c r="P44" s="41"/>
    </row>
    <row r="46">
      <c r="N46" s="86"/>
    </row>
    <row r="47">
      <c r="N47" s="86"/>
    </row>
    <row r="48">
      <c r="N48" s="86"/>
    </row>
    <row r="49">
      <c r="N49" s="86"/>
    </row>
    <row r="50">
      <c r="N50" s="86"/>
    </row>
    <row r="51">
      <c r="N51" s="86"/>
    </row>
    <row r="52">
      <c r="N52" s="86"/>
    </row>
    <row r="53">
      <c r="N53" s="86"/>
    </row>
    <row r="54">
      <c r="N54" s="86"/>
    </row>
    <row r="55">
      <c r="N55" s="86"/>
    </row>
    <row r="56">
      <c r="N56" s="86"/>
    </row>
    <row r="57">
      <c r="N57" s="86"/>
    </row>
    <row r="58">
      <c r="N58" s="86"/>
    </row>
    <row r="59">
      <c r="N59" s="86"/>
    </row>
    <row r="60">
      <c r="N60" s="86"/>
    </row>
    <row r="61">
      <c r="N61" s="86"/>
    </row>
    <row r="62">
      <c r="N62" s="86"/>
    </row>
    <row r="63">
      <c r="N63" s="86"/>
    </row>
    <row r="64">
      <c r="N64" s="86"/>
    </row>
    <row r="65">
      <c r="N65" s="86"/>
    </row>
    <row r="66">
      <c r="N66" s="86"/>
    </row>
    <row r="67">
      <c r="N67" s="86"/>
    </row>
    <row r="68">
      <c r="N68" s="86"/>
    </row>
    <row r="69">
      <c r="N69" s="86"/>
    </row>
    <row r="70">
      <c r="N70" s="86"/>
    </row>
    <row r="71">
      <c r="N71" s="86"/>
    </row>
    <row r="72">
      <c r="N72" s="86"/>
    </row>
    <row r="73">
      <c r="N73" s="86"/>
    </row>
    <row r="74">
      <c r="N74" s="86"/>
    </row>
    <row r="75">
      <c r="N75" s="86"/>
    </row>
    <row r="76">
      <c r="N76" s="86"/>
    </row>
    <row r="77">
      <c r="N77" s="86"/>
    </row>
    <row r="78">
      <c r="N78" s="86"/>
    </row>
    <row r="79">
      <c r="N79" s="86"/>
    </row>
    <row r="80">
      <c r="N80" s="86"/>
    </row>
    <row r="81">
      <c r="N81" s="86"/>
    </row>
    <row r="82">
      <c r="N82" s="86"/>
    </row>
    <row r="83">
      <c r="N83" s="86"/>
    </row>
    <row r="84">
      <c r="N84" s="86"/>
    </row>
    <row r="85">
      <c r="N85" s="86"/>
    </row>
    <row r="86">
      <c r="N86" s="86"/>
    </row>
    <row r="87">
      <c r="N87" s="86"/>
    </row>
    <row r="88">
      <c r="N88" s="86"/>
    </row>
    <row r="89">
      <c r="N89" s="86"/>
    </row>
    <row r="90">
      <c r="N90" s="86"/>
    </row>
    <row r="91">
      <c r="N91" s="86"/>
    </row>
    <row r="92">
      <c r="N92" s="86"/>
    </row>
    <row r="93">
      <c r="N93" s="86"/>
    </row>
    <row r="94">
      <c r="N94" s="86"/>
    </row>
    <row r="95">
      <c r="N95" s="86"/>
    </row>
    <row r="96">
      <c r="N96" s="86"/>
    </row>
    <row r="97">
      <c r="N97" s="86"/>
    </row>
    <row r="98">
      <c r="N98" s="86"/>
    </row>
    <row r="99">
      <c r="N99" s="86"/>
    </row>
    <row r="100">
      <c r="N100" s="86"/>
    </row>
    <row r="101">
      <c r="N101" s="86"/>
    </row>
    <row r="102">
      <c r="N102" s="86"/>
    </row>
    <row r="103">
      <c r="N103" s="86"/>
    </row>
    <row r="104">
      <c r="N104" s="86"/>
    </row>
    <row r="105">
      <c r="N105" s="86"/>
    </row>
    <row r="106">
      <c r="N106" s="86"/>
    </row>
    <row r="107">
      <c r="N107" s="86"/>
    </row>
    <row r="108">
      <c r="N108" s="86"/>
    </row>
    <row r="109">
      <c r="N109" s="86"/>
    </row>
    <row r="110">
      <c r="N110" s="86"/>
    </row>
    <row r="111">
      <c r="N111" s="86"/>
    </row>
    <row r="112">
      <c r="N112" s="86"/>
    </row>
    <row r="113">
      <c r="N113" s="86"/>
    </row>
    <row r="114">
      <c r="N114" s="86"/>
    </row>
    <row r="115">
      <c r="N115" s="86"/>
    </row>
    <row r="116">
      <c r="N116" s="86"/>
    </row>
    <row r="117">
      <c r="N117" s="86"/>
    </row>
    <row r="118">
      <c r="N118" s="86"/>
    </row>
    <row r="119">
      <c r="N119" s="86"/>
    </row>
    <row r="120">
      <c r="N120" s="86"/>
    </row>
    <row r="121">
      <c r="N121" s="86"/>
    </row>
    <row r="122">
      <c r="N122" s="86"/>
    </row>
    <row r="123">
      <c r="N123" s="86"/>
    </row>
    <row r="124">
      <c r="N124" s="86"/>
    </row>
    <row r="125">
      <c r="N125" s="86"/>
    </row>
    <row r="126">
      <c r="N126" s="86"/>
    </row>
    <row r="127">
      <c r="N127" s="86"/>
    </row>
    <row r="128">
      <c r="N128" s="86"/>
    </row>
    <row r="129">
      <c r="N129" s="86"/>
    </row>
    <row r="130">
      <c r="N130" s="86"/>
    </row>
    <row r="131">
      <c r="N131" s="86"/>
    </row>
    <row r="132">
      <c r="N132" s="86"/>
    </row>
    <row r="133">
      <c r="N133" s="86"/>
    </row>
    <row r="134">
      <c r="N134" s="86"/>
    </row>
    <row r="135">
      <c r="N135" s="86"/>
    </row>
    <row r="136">
      <c r="N136" s="86"/>
    </row>
    <row r="137">
      <c r="N137" s="86"/>
    </row>
    <row r="138">
      <c r="N138" s="86"/>
    </row>
    <row r="139">
      <c r="N139" s="86"/>
    </row>
    <row r="140">
      <c r="N140" s="86"/>
    </row>
    <row r="141">
      <c r="N141" s="86"/>
    </row>
    <row r="142">
      <c r="N142" s="86"/>
    </row>
    <row r="143">
      <c r="N143" s="86"/>
    </row>
    <row r="144">
      <c r="N144" s="86"/>
    </row>
    <row r="145">
      <c r="N145" s="86"/>
    </row>
    <row r="146">
      <c r="N146" s="86"/>
    </row>
    <row r="147">
      <c r="N147" s="86"/>
    </row>
    <row r="148">
      <c r="N148" s="86"/>
    </row>
    <row r="149">
      <c r="N149" s="86"/>
    </row>
    <row r="150">
      <c r="N150" s="86"/>
    </row>
    <row r="151">
      <c r="N151" s="86"/>
    </row>
    <row r="152">
      <c r="N152" s="86"/>
    </row>
    <row r="153">
      <c r="N153" s="86"/>
    </row>
    <row r="154">
      <c r="N154" s="86"/>
    </row>
    <row r="155">
      <c r="N155" s="86"/>
    </row>
    <row r="156">
      <c r="N156" s="86"/>
    </row>
    <row r="157">
      <c r="N157" s="86"/>
    </row>
    <row r="158">
      <c r="N158" s="86"/>
    </row>
    <row r="159">
      <c r="N159" s="86"/>
    </row>
    <row r="160">
      <c r="N160" s="86"/>
    </row>
    <row r="161">
      <c r="N161" s="86"/>
    </row>
    <row r="162">
      <c r="N162" s="86"/>
    </row>
    <row r="163">
      <c r="N163" s="86"/>
    </row>
    <row r="164">
      <c r="N164" s="86"/>
    </row>
    <row r="165">
      <c r="N165" s="86"/>
    </row>
    <row r="166">
      <c r="N166" s="86"/>
    </row>
    <row r="167">
      <c r="N167" s="86"/>
    </row>
    <row r="168">
      <c r="N168" s="86"/>
    </row>
    <row r="169">
      <c r="N169" s="86"/>
    </row>
    <row r="170">
      <c r="N170" s="86"/>
    </row>
    <row r="171">
      <c r="N171" s="86"/>
    </row>
    <row r="172">
      <c r="N172" s="86"/>
    </row>
    <row r="173">
      <c r="N173" s="86"/>
    </row>
    <row r="174">
      <c r="N174" s="86"/>
    </row>
    <row r="175">
      <c r="N175" s="86"/>
    </row>
    <row r="176">
      <c r="N176" s="86"/>
    </row>
    <row r="177">
      <c r="N177" s="86"/>
    </row>
    <row r="178">
      <c r="N178" s="86"/>
    </row>
    <row r="179">
      <c r="N179" s="86"/>
    </row>
    <row r="180">
      <c r="N180" s="86"/>
    </row>
    <row r="181">
      <c r="N181" s="86"/>
    </row>
    <row r="182">
      <c r="N182" s="86"/>
    </row>
    <row r="183">
      <c r="N183" s="86"/>
    </row>
    <row r="184">
      <c r="N184" s="86"/>
    </row>
    <row r="185">
      <c r="N185" s="86"/>
    </row>
    <row r="186">
      <c r="N186" s="86"/>
    </row>
    <row r="187">
      <c r="N187" s="86"/>
    </row>
    <row r="188">
      <c r="N188" s="86"/>
    </row>
    <row r="189">
      <c r="N189" s="86"/>
    </row>
    <row r="190">
      <c r="N190" s="86"/>
    </row>
    <row r="191">
      <c r="N191" s="86"/>
    </row>
    <row r="192">
      <c r="N192" s="86"/>
    </row>
    <row r="193">
      <c r="N193" s="86"/>
    </row>
    <row r="194">
      <c r="N194" s="86"/>
    </row>
    <row r="195">
      <c r="N195" s="86"/>
    </row>
    <row r="196">
      <c r="N196" s="86"/>
    </row>
    <row r="197">
      <c r="N197" s="86"/>
    </row>
    <row r="198">
      <c r="N198" s="86"/>
    </row>
    <row r="199">
      <c r="N199" s="86"/>
    </row>
    <row r="200">
      <c r="N200" s="86"/>
    </row>
    <row r="201">
      <c r="N201" s="86"/>
    </row>
    <row r="202">
      <c r="N202" s="86"/>
    </row>
    <row r="203">
      <c r="N203" s="86"/>
    </row>
    <row r="204">
      <c r="N204" s="86"/>
    </row>
    <row r="205">
      <c r="N205" s="86"/>
    </row>
    <row r="206">
      <c r="N206" s="86"/>
    </row>
    <row r="207">
      <c r="N207" s="86"/>
    </row>
    <row r="208">
      <c r="N208" s="86"/>
    </row>
    <row r="209">
      <c r="N209" s="86"/>
    </row>
    <row r="210">
      <c r="N210" s="86"/>
    </row>
    <row r="211">
      <c r="N211" s="86"/>
    </row>
    <row r="212">
      <c r="N212" s="86"/>
    </row>
    <row r="213">
      <c r="N213" s="86"/>
    </row>
    <row r="214">
      <c r="N214" s="86"/>
    </row>
    <row r="215">
      <c r="N215" s="86"/>
    </row>
    <row r="216">
      <c r="N216" s="86"/>
    </row>
    <row r="217">
      <c r="N217" s="86"/>
    </row>
    <row r="218">
      <c r="N218" s="86"/>
    </row>
    <row r="219">
      <c r="N219" s="86"/>
    </row>
    <row r="220">
      <c r="N220" s="86"/>
    </row>
    <row r="221">
      <c r="N221" s="86"/>
    </row>
    <row r="222">
      <c r="N222" s="86"/>
    </row>
    <row r="223">
      <c r="N223" s="86"/>
    </row>
    <row r="224">
      <c r="N224" s="86"/>
    </row>
    <row r="225">
      <c r="N225" s="86"/>
    </row>
    <row r="226">
      <c r="N226" s="86"/>
    </row>
    <row r="227">
      <c r="N227" s="86"/>
    </row>
    <row r="228">
      <c r="N228" s="86"/>
    </row>
    <row r="229">
      <c r="N229" s="86"/>
    </row>
    <row r="230">
      <c r="N230" s="86"/>
    </row>
    <row r="231">
      <c r="N231" s="86"/>
    </row>
    <row r="232">
      <c r="N232" s="86"/>
    </row>
    <row r="233">
      <c r="N233" s="86"/>
    </row>
    <row r="234">
      <c r="N234" s="86"/>
    </row>
    <row r="235">
      <c r="N235" s="86"/>
    </row>
    <row r="236">
      <c r="N236" s="86"/>
    </row>
    <row r="237">
      <c r="N237" s="86"/>
    </row>
    <row r="238">
      <c r="N238" s="86"/>
    </row>
    <row r="239">
      <c r="N239" s="86"/>
    </row>
    <row r="240">
      <c r="N240" s="86"/>
    </row>
    <row r="241">
      <c r="N241" s="86"/>
    </row>
    <row r="242">
      <c r="N242" s="86"/>
    </row>
    <row r="243">
      <c r="N243" s="86"/>
    </row>
    <row r="244">
      <c r="N244" s="86"/>
    </row>
    <row r="245">
      <c r="N245" s="86"/>
    </row>
    <row r="246">
      <c r="N246" s="86"/>
    </row>
    <row r="247">
      <c r="N247" s="86"/>
    </row>
    <row r="248">
      <c r="N248" s="86"/>
    </row>
    <row r="249">
      <c r="N249" s="86"/>
    </row>
    <row r="250">
      <c r="N250" s="86"/>
    </row>
    <row r="251">
      <c r="N251" s="86"/>
    </row>
    <row r="252">
      <c r="N252" s="86"/>
    </row>
    <row r="253">
      <c r="N253" s="86"/>
    </row>
    <row r="254">
      <c r="N254" s="86"/>
    </row>
    <row r="255">
      <c r="N255" s="86"/>
    </row>
    <row r="256">
      <c r="N256" s="86"/>
    </row>
    <row r="257">
      <c r="N257" s="86"/>
    </row>
    <row r="258">
      <c r="N258" s="86"/>
    </row>
    <row r="259">
      <c r="N259" s="86"/>
    </row>
    <row r="260">
      <c r="N260" s="86"/>
    </row>
    <row r="261">
      <c r="N261" s="86"/>
    </row>
    <row r="262">
      <c r="N262" s="86"/>
    </row>
    <row r="263">
      <c r="N263" s="86"/>
    </row>
    <row r="264">
      <c r="N264" s="86"/>
    </row>
    <row r="265">
      <c r="N265" s="86"/>
    </row>
    <row r="266">
      <c r="N266" s="86"/>
    </row>
    <row r="267">
      <c r="N267" s="86"/>
    </row>
    <row r="268">
      <c r="N268" s="86"/>
    </row>
    <row r="269">
      <c r="N269" s="86"/>
    </row>
    <row r="270">
      <c r="N270" s="86"/>
    </row>
    <row r="271">
      <c r="N271" s="86"/>
    </row>
    <row r="272">
      <c r="N272" s="86"/>
    </row>
    <row r="273">
      <c r="N273" s="86"/>
    </row>
    <row r="274">
      <c r="N274" s="86"/>
    </row>
    <row r="275">
      <c r="N275" s="86"/>
    </row>
    <row r="276">
      <c r="N276" s="86"/>
    </row>
    <row r="277">
      <c r="N277" s="86"/>
    </row>
    <row r="278">
      <c r="N278" s="86"/>
    </row>
    <row r="279">
      <c r="N279" s="86"/>
    </row>
    <row r="280">
      <c r="N280" s="86"/>
    </row>
    <row r="281">
      <c r="N281" s="86"/>
    </row>
    <row r="282">
      <c r="N282" s="86"/>
    </row>
    <row r="283">
      <c r="N283" s="86"/>
    </row>
    <row r="284">
      <c r="N284" s="86"/>
    </row>
    <row r="285">
      <c r="N285" s="86"/>
    </row>
    <row r="286">
      <c r="N286" s="86"/>
    </row>
    <row r="287">
      <c r="N287" s="86"/>
    </row>
    <row r="288">
      <c r="N288" s="86"/>
    </row>
    <row r="289">
      <c r="N289" s="86"/>
    </row>
    <row r="290">
      <c r="N290" s="86"/>
    </row>
    <row r="291">
      <c r="N291" s="86"/>
    </row>
    <row r="292">
      <c r="N292" s="86"/>
    </row>
    <row r="293">
      <c r="N293" s="86"/>
    </row>
    <row r="294">
      <c r="N294" s="86"/>
    </row>
    <row r="295">
      <c r="N295" s="86"/>
    </row>
    <row r="296">
      <c r="N296" s="86"/>
    </row>
    <row r="297">
      <c r="N297" s="86"/>
    </row>
    <row r="298">
      <c r="N298" s="86"/>
    </row>
    <row r="299">
      <c r="N299" s="86"/>
    </row>
    <row r="300">
      <c r="N300" s="86"/>
    </row>
    <row r="301">
      <c r="N301" s="86"/>
    </row>
    <row r="302">
      <c r="N302" s="86"/>
    </row>
    <row r="303">
      <c r="N303" s="86"/>
    </row>
    <row r="304">
      <c r="N304" s="86"/>
    </row>
    <row r="305">
      <c r="N305" s="86"/>
    </row>
    <row r="306">
      <c r="N306" s="86"/>
    </row>
    <row r="307">
      <c r="N307" s="86"/>
    </row>
    <row r="308">
      <c r="N308" s="86"/>
    </row>
    <row r="309">
      <c r="N309" s="86"/>
    </row>
    <row r="310">
      <c r="N310" s="86"/>
    </row>
    <row r="311">
      <c r="N311" s="86"/>
    </row>
    <row r="312">
      <c r="N312" s="86"/>
    </row>
    <row r="313">
      <c r="N313" s="86"/>
    </row>
    <row r="314">
      <c r="N314" s="86"/>
    </row>
    <row r="315">
      <c r="N315" s="86"/>
    </row>
    <row r="316">
      <c r="N316" s="86"/>
    </row>
    <row r="317">
      <c r="N317" s="86"/>
    </row>
    <row r="318">
      <c r="N318" s="86"/>
    </row>
    <row r="319">
      <c r="N319" s="86"/>
    </row>
    <row r="320">
      <c r="N320" s="86"/>
    </row>
    <row r="321">
      <c r="N321" s="86"/>
    </row>
    <row r="322">
      <c r="N322" s="86"/>
    </row>
    <row r="323">
      <c r="N323" s="86"/>
    </row>
    <row r="324">
      <c r="N324" s="86"/>
    </row>
    <row r="325">
      <c r="N325" s="86"/>
    </row>
    <row r="326">
      <c r="N326" s="86"/>
    </row>
    <row r="327">
      <c r="N327" s="86"/>
    </row>
    <row r="328">
      <c r="N328" s="86"/>
    </row>
    <row r="329">
      <c r="N329" s="86"/>
    </row>
    <row r="330">
      <c r="N330" s="86"/>
    </row>
    <row r="331">
      <c r="N331" s="86"/>
    </row>
    <row r="332">
      <c r="N332" s="86"/>
    </row>
    <row r="333">
      <c r="N333" s="86"/>
    </row>
    <row r="334">
      <c r="N334" s="86"/>
    </row>
    <row r="335">
      <c r="N335" s="86"/>
    </row>
    <row r="336">
      <c r="N336" s="86"/>
    </row>
    <row r="337">
      <c r="N337" s="86"/>
    </row>
    <row r="338">
      <c r="N338" s="86"/>
    </row>
    <row r="339">
      <c r="N339" s="86"/>
    </row>
    <row r="340">
      <c r="N340" s="86"/>
    </row>
    <row r="341">
      <c r="N341" s="86"/>
    </row>
    <row r="342">
      <c r="N342" s="86"/>
    </row>
    <row r="343">
      <c r="N343" s="86"/>
    </row>
    <row r="344">
      <c r="N344" s="86"/>
    </row>
    <row r="345">
      <c r="N345" s="86"/>
    </row>
    <row r="346">
      <c r="N346" s="86"/>
    </row>
    <row r="347">
      <c r="N347" s="86"/>
    </row>
    <row r="348">
      <c r="N348" s="86"/>
    </row>
    <row r="349">
      <c r="N349" s="86"/>
    </row>
    <row r="350">
      <c r="N350" s="86"/>
    </row>
    <row r="351">
      <c r="N351" s="86"/>
    </row>
    <row r="352">
      <c r="N352" s="86"/>
    </row>
    <row r="353">
      <c r="N353" s="86"/>
    </row>
    <row r="354">
      <c r="N354" s="86"/>
    </row>
    <row r="355">
      <c r="N355" s="86"/>
    </row>
    <row r="356">
      <c r="N356" s="86"/>
    </row>
    <row r="357">
      <c r="N357" s="86"/>
    </row>
    <row r="358">
      <c r="N358" s="86"/>
    </row>
    <row r="359">
      <c r="N359" s="86"/>
    </row>
    <row r="360">
      <c r="N360" s="86"/>
    </row>
    <row r="361">
      <c r="N361" s="86"/>
    </row>
    <row r="362">
      <c r="N362" s="86"/>
    </row>
    <row r="363">
      <c r="N363" s="86"/>
    </row>
    <row r="364">
      <c r="N364" s="86"/>
    </row>
    <row r="365">
      <c r="N365" s="86"/>
    </row>
    <row r="366">
      <c r="N366" s="86"/>
    </row>
    <row r="367">
      <c r="N367" s="86"/>
    </row>
    <row r="368">
      <c r="N368" s="86"/>
    </row>
    <row r="369">
      <c r="N369" s="86"/>
    </row>
    <row r="370">
      <c r="N370" s="86"/>
    </row>
    <row r="371">
      <c r="N371" s="86"/>
    </row>
    <row r="372">
      <c r="N372" s="86"/>
    </row>
    <row r="373">
      <c r="N373" s="86"/>
    </row>
    <row r="374">
      <c r="N374" s="86"/>
    </row>
    <row r="375">
      <c r="N375" s="86"/>
    </row>
    <row r="376">
      <c r="N376" s="86"/>
    </row>
    <row r="377">
      <c r="N377" s="86"/>
    </row>
    <row r="378">
      <c r="N378" s="86"/>
    </row>
    <row r="379">
      <c r="N379" s="86"/>
    </row>
    <row r="380">
      <c r="N380" s="86"/>
    </row>
    <row r="381">
      <c r="N381" s="86"/>
    </row>
    <row r="382">
      <c r="N382" s="86"/>
    </row>
    <row r="383">
      <c r="N383" s="86"/>
    </row>
    <row r="384">
      <c r="N384" s="86"/>
    </row>
    <row r="385">
      <c r="N385" s="86"/>
    </row>
    <row r="386">
      <c r="N386" s="86"/>
    </row>
    <row r="387">
      <c r="N387" s="86"/>
    </row>
    <row r="388">
      <c r="N388" s="86"/>
    </row>
    <row r="389">
      <c r="N389" s="86"/>
    </row>
    <row r="390">
      <c r="N390" s="86"/>
    </row>
    <row r="391">
      <c r="N391" s="86"/>
    </row>
    <row r="392">
      <c r="N392" s="86"/>
    </row>
    <row r="393">
      <c r="N393" s="86"/>
    </row>
    <row r="394">
      <c r="N394" s="86"/>
    </row>
    <row r="395">
      <c r="N395" s="86"/>
    </row>
    <row r="396">
      <c r="N396" s="86"/>
    </row>
    <row r="397">
      <c r="N397" s="86"/>
    </row>
    <row r="398">
      <c r="N398" s="86"/>
    </row>
    <row r="399">
      <c r="N399" s="86"/>
    </row>
    <row r="400">
      <c r="N400" s="86"/>
    </row>
    <row r="401">
      <c r="N401" s="86"/>
    </row>
    <row r="402">
      <c r="N402" s="86"/>
    </row>
    <row r="403">
      <c r="N403" s="86"/>
    </row>
    <row r="404">
      <c r="N404" s="86"/>
    </row>
    <row r="405">
      <c r="N405" s="86"/>
    </row>
    <row r="406">
      <c r="N406" s="86"/>
    </row>
    <row r="407">
      <c r="N407" s="86"/>
    </row>
    <row r="408">
      <c r="N408" s="86"/>
    </row>
    <row r="409">
      <c r="N409" s="86"/>
    </row>
    <row r="410">
      <c r="N410" s="86"/>
    </row>
    <row r="411">
      <c r="N411" s="86"/>
    </row>
    <row r="412">
      <c r="N412" s="86"/>
    </row>
    <row r="413">
      <c r="N413" s="86"/>
    </row>
    <row r="414">
      <c r="N414" s="86"/>
    </row>
    <row r="415">
      <c r="N415" s="86"/>
    </row>
    <row r="416">
      <c r="N416" s="86"/>
    </row>
    <row r="417">
      <c r="N417" s="86"/>
    </row>
    <row r="418">
      <c r="N418" s="86"/>
    </row>
    <row r="419">
      <c r="N419" s="86"/>
    </row>
    <row r="420">
      <c r="N420" s="86"/>
    </row>
    <row r="421">
      <c r="N421" s="86"/>
    </row>
    <row r="422">
      <c r="N422" s="86"/>
    </row>
    <row r="423">
      <c r="N423" s="86"/>
    </row>
    <row r="424">
      <c r="N424" s="86"/>
    </row>
    <row r="425">
      <c r="N425" s="86"/>
    </row>
    <row r="426">
      <c r="N426" s="86"/>
    </row>
    <row r="427">
      <c r="N427" s="86"/>
    </row>
    <row r="428">
      <c r="N428" s="86"/>
    </row>
    <row r="429">
      <c r="N429" s="86"/>
    </row>
    <row r="430">
      <c r="N430" s="86"/>
    </row>
    <row r="431">
      <c r="N431" s="86"/>
    </row>
    <row r="432">
      <c r="N432" s="86"/>
    </row>
    <row r="433">
      <c r="N433" s="86"/>
    </row>
    <row r="434">
      <c r="N434" s="86"/>
    </row>
    <row r="435">
      <c r="N435" s="86"/>
    </row>
    <row r="436">
      <c r="N436" s="86"/>
    </row>
    <row r="437">
      <c r="N437" s="86"/>
    </row>
    <row r="438">
      <c r="N438" s="86"/>
    </row>
    <row r="439">
      <c r="N439" s="86"/>
    </row>
    <row r="440">
      <c r="N440" s="86"/>
    </row>
    <row r="441">
      <c r="N441" s="86"/>
    </row>
    <row r="442">
      <c r="N442" s="86"/>
    </row>
    <row r="443">
      <c r="N443" s="86"/>
    </row>
    <row r="444">
      <c r="N444" s="86"/>
    </row>
    <row r="445">
      <c r="N445" s="86"/>
    </row>
    <row r="446">
      <c r="N446" s="86"/>
    </row>
    <row r="447">
      <c r="N447" s="86"/>
    </row>
    <row r="448">
      <c r="N448" s="86"/>
    </row>
    <row r="449">
      <c r="N449" s="86"/>
    </row>
    <row r="450">
      <c r="N450" s="86"/>
    </row>
    <row r="451">
      <c r="N451" s="86"/>
    </row>
    <row r="452">
      <c r="N452" s="86"/>
    </row>
    <row r="453">
      <c r="N453" s="86"/>
    </row>
    <row r="454">
      <c r="N454" s="86"/>
    </row>
    <row r="455">
      <c r="N455" s="86"/>
    </row>
    <row r="456">
      <c r="N456" s="86"/>
    </row>
    <row r="457">
      <c r="N457" s="86"/>
    </row>
    <row r="458">
      <c r="N458" s="86"/>
    </row>
    <row r="459">
      <c r="N459" s="86"/>
    </row>
    <row r="460">
      <c r="N460" s="86"/>
    </row>
    <row r="461">
      <c r="N461" s="86"/>
    </row>
    <row r="462">
      <c r="N462" s="86"/>
    </row>
    <row r="463">
      <c r="N463" s="86"/>
    </row>
    <row r="464">
      <c r="N464" s="86"/>
    </row>
    <row r="465">
      <c r="N465" s="86"/>
    </row>
    <row r="466">
      <c r="N466" s="86"/>
    </row>
    <row r="467">
      <c r="N467" s="86"/>
    </row>
    <row r="468">
      <c r="N468" s="86"/>
    </row>
    <row r="469">
      <c r="N469" s="86"/>
    </row>
    <row r="470">
      <c r="N470" s="86"/>
    </row>
    <row r="471">
      <c r="N471" s="86"/>
    </row>
    <row r="472">
      <c r="N472" s="86"/>
    </row>
    <row r="473">
      <c r="N473" s="86"/>
    </row>
    <row r="474">
      <c r="N474" s="86"/>
    </row>
    <row r="475">
      <c r="N475" s="86"/>
    </row>
    <row r="476">
      <c r="N476" s="86"/>
    </row>
    <row r="477">
      <c r="N477" s="86"/>
    </row>
    <row r="478">
      <c r="N478" s="86"/>
    </row>
    <row r="479">
      <c r="N479" s="86"/>
    </row>
    <row r="480">
      <c r="N480" s="86"/>
    </row>
    <row r="481">
      <c r="N481" s="86"/>
    </row>
    <row r="482">
      <c r="N482" s="86"/>
    </row>
    <row r="483">
      <c r="N483" s="86"/>
    </row>
    <row r="484">
      <c r="N484" s="86"/>
    </row>
    <row r="485">
      <c r="N485" s="86"/>
    </row>
    <row r="486">
      <c r="N486" s="86"/>
    </row>
    <row r="487">
      <c r="N487" s="86"/>
    </row>
    <row r="488">
      <c r="N488" s="86"/>
    </row>
    <row r="489">
      <c r="N489" s="86"/>
    </row>
    <row r="490">
      <c r="N490" s="86"/>
    </row>
    <row r="491">
      <c r="N491" s="86"/>
    </row>
    <row r="492">
      <c r="N492" s="86"/>
    </row>
    <row r="493">
      <c r="N493" s="86"/>
    </row>
    <row r="494">
      <c r="N494" s="86"/>
    </row>
    <row r="495">
      <c r="N495" s="86"/>
    </row>
    <row r="496">
      <c r="N496" s="86"/>
    </row>
    <row r="497">
      <c r="N497" s="86"/>
    </row>
    <row r="498">
      <c r="N498" s="86"/>
    </row>
    <row r="499">
      <c r="N499" s="86"/>
    </row>
    <row r="500">
      <c r="N500" s="86"/>
    </row>
    <row r="501">
      <c r="N501" s="86"/>
    </row>
    <row r="502">
      <c r="N502" s="86"/>
    </row>
    <row r="503">
      <c r="N503" s="86"/>
    </row>
    <row r="504">
      <c r="N504" s="86"/>
    </row>
    <row r="505">
      <c r="N505" s="86"/>
    </row>
    <row r="506">
      <c r="N506" s="86"/>
    </row>
    <row r="507">
      <c r="N507" s="86"/>
    </row>
    <row r="508">
      <c r="N508" s="86"/>
    </row>
    <row r="509">
      <c r="N509" s="86"/>
    </row>
    <row r="510">
      <c r="N510" s="86"/>
    </row>
    <row r="511">
      <c r="N511" s="86"/>
    </row>
    <row r="512">
      <c r="N512" s="86"/>
    </row>
    <row r="513">
      <c r="N513" s="86"/>
    </row>
    <row r="514">
      <c r="N514" s="86"/>
    </row>
    <row r="515">
      <c r="N515" s="86"/>
    </row>
    <row r="516">
      <c r="N516" s="86"/>
    </row>
    <row r="517">
      <c r="N517" s="86"/>
    </row>
    <row r="518">
      <c r="N518" s="86"/>
    </row>
    <row r="519">
      <c r="N519" s="86"/>
    </row>
    <row r="520">
      <c r="N520" s="86"/>
    </row>
    <row r="521">
      <c r="N521" s="86"/>
    </row>
    <row r="522">
      <c r="N522" s="86"/>
    </row>
    <row r="523">
      <c r="N523" s="86"/>
    </row>
    <row r="524">
      <c r="N524" s="86"/>
    </row>
    <row r="525">
      <c r="N525" s="86"/>
    </row>
    <row r="526">
      <c r="N526" s="86"/>
    </row>
    <row r="527">
      <c r="N527" s="86"/>
    </row>
    <row r="528">
      <c r="N528" s="86"/>
    </row>
    <row r="529">
      <c r="N529" s="86"/>
    </row>
    <row r="530">
      <c r="N530" s="86"/>
    </row>
    <row r="531">
      <c r="N531" s="86"/>
    </row>
    <row r="532">
      <c r="N532" s="86"/>
    </row>
    <row r="533">
      <c r="N533" s="86"/>
    </row>
    <row r="534">
      <c r="N534" s="86"/>
    </row>
    <row r="535">
      <c r="N535" s="86"/>
    </row>
    <row r="536">
      <c r="N536" s="86"/>
    </row>
    <row r="537">
      <c r="N537" s="86"/>
    </row>
    <row r="538">
      <c r="N538" s="86"/>
    </row>
    <row r="539">
      <c r="N539" s="86"/>
    </row>
    <row r="540">
      <c r="N540" s="86"/>
    </row>
    <row r="541">
      <c r="N541" s="86"/>
    </row>
    <row r="542">
      <c r="N542" s="86"/>
    </row>
    <row r="543">
      <c r="N543" s="86"/>
    </row>
    <row r="544">
      <c r="N544" s="86"/>
    </row>
    <row r="545">
      <c r="N545" s="86"/>
    </row>
    <row r="546">
      <c r="N546" s="86"/>
    </row>
    <row r="547">
      <c r="N547" s="86"/>
    </row>
    <row r="548">
      <c r="N548" s="86"/>
    </row>
    <row r="549">
      <c r="N549" s="86"/>
    </row>
    <row r="550">
      <c r="N550" s="86"/>
    </row>
    <row r="551">
      <c r="N551" s="86"/>
    </row>
    <row r="552">
      <c r="N552" s="86"/>
    </row>
    <row r="553">
      <c r="N553" s="86"/>
    </row>
    <row r="554">
      <c r="N554" s="86"/>
    </row>
    <row r="555">
      <c r="N555" s="86"/>
    </row>
    <row r="556">
      <c r="N556" s="86"/>
    </row>
    <row r="557">
      <c r="N557" s="86"/>
    </row>
    <row r="558">
      <c r="N558" s="86"/>
    </row>
    <row r="559">
      <c r="N559" s="86"/>
    </row>
    <row r="560">
      <c r="N560" s="86"/>
    </row>
    <row r="561">
      <c r="N561" s="86"/>
    </row>
    <row r="562">
      <c r="N562" s="86"/>
    </row>
    <row r="563">
      <c r="N563" s="86"/>
    </row>
    <row r="564">
      <c r="N564" s="86"/>
    </row>
    <row r="565">
      <c r="N565" s="86"/>
    </row>
    <row r="566">
      <c r="N566" s="86"/>
    </row>
    <row r="567">
      <c r="N567" s="86"/>
    </row>
    <row r="568">
      <c r="N568" s="86"/>
    </row>
    <row r="569">
      <c r="N569" s="86"/>
    </row>
    <row r="570">
      <c r="N570" s="86"/>
    </row>
    <row r="571">
      <c r="N571" s="86"/>
    </row>
    <row r="572">
      <c r="N572" s="86"/>
    </row>
    <row r="573">
      <c r="N573" s="86"/>
    </row>
    <row r="574">
      <c r="N574" s="86"/>
    </row>
    <row r="575">
      <c r="N575" s="86"/>
    </row>
    <row r="576">
      <c r="N576" s="86"/>
    </row>
    <row r="577">
      <c r="N577" s="86"/>
    </row>
    <row r="578">
      <c r="N578" s="86"/>
    </row>
    <row r="579">
      <c r="N579" s="86"/>
    </row>
    <row r="580">
      <c r="N580" s="86"/>
    </row>
    <row r="581">
      <c r="N581" s="86"/>
    </row>
    <row r="582">
      <c r="N582" s="86"/>
    </row>
    <row r="583">
      <c r="N583" s="86"/>
    </row>
    <row r="584">
      <c r="N584" s="86"/>
    </row>
    <row r="585">
      <c r="N585" s="86"/>
    </row>
    <row r="586">
      <c r="N586" s="86"/>
    </row>
    <row r="587">
      <c r="N587" s="86"/>
    </row>
    <row r="588">
      <c r="N588" s="86"/>
    </row>
    <row r="589">
      <c r="N589" s="86"/>
    </row>
    <row r="590">
      <c r="N590" s="86"/>
    </row>
    <row r="591">
      <c r="N591" s="86"/>
    </row>
    <row r="592">
      <c r="N592" s="86"/>
    </row>
    <row r="593">
      <c r="N593" s="86"/>
    </row>
    <row r="594">
      <c r="N594" s="86"/>
    </row>
    <row r="595">
      <c r="N595" s="86"/>
    </row>
    <row r="596">
      <c r="N596" s="86"/>
    </row>
    <row r="597">
      <c r="N597" s="86"/>
    </row>
    <row r="598">
      <c r="N598" s="86"/>
    </row>
    <row r="599">
      <c r="N599" s="86"/>
    </row>
    <row r="600">
      <c r="N600" s="86"/>
    </row>
    <row r="601">
      <c r="N601" s="86"/>
    </row>
    <row r="602">
      <c r="N602" s="86"/>
    </row>
    <row r="603">
      <c r="N603" s="86"/>
    </row>
    <row r="604">
      <c r="N604" s="86"/>
    </row>
    <row r="605">
      <c r="N605" s="86"/>
    </row>
    <row r="606">
      <c r="N606" s="86"/>
    </row>
    <row r="607">
      <c r="N607" s="86"/>
    </row>
    <row r="608">
      <c r="N608" s="86"/>
    </row>
    <row r="609">
      <c r="N609" s="86"/>
    </row>
    <row r="610">
      <c r="N610" s="86"/>
    </row>
    <row r="611">
      <c r="N611" s="86"/>
    </row>
    <row r="612">
      <c r="N612" s="86"/>
    </row>
    <row r="613">
      <c r="N613" s="86"/>
    </row>
    <row r="614">
      <c r="N614" s="86"/>
    </row>
    <row r="615">
      <c r="N615" s="86"/>
    </row>
    <row r="616">
      <c r="N616" s="86"/>
    </row>
    <row r="617">
      <c r="N617" s="86"/>
    </row>
    <row r="618">
      <c r="N618" s="86"/>
    </row>
    <row r="619">
      <c r="N619" s="86"/>
    </row>
    <row r="620">
      <c r="N620" s="86"/>
    </row>
    <row r="621">
      <c r="N621" s="86"/>
    </row>
    <row r="622">
      <c r="N622" s="86"/>
    </row>
    <row r="623">
      <c r="N623" s="86"/>
    </row>
    <row r="624">
      <c r="N624" s="86"/>
    </row>
    <row r="625">
      <c r="N625" s="86"/>
    </row>
    <row r="626">
      <c r="N626" s="86"/>
    </row>
    <row r="627">
      <c r="N627" s="86"/>
    </row>
    <row r="628">
      <c r="N628" s="86"/>
    </row>
    <row r="629">
      <c r="N629" s="86"/>
    </row>
    <row r="630">
      <c r="N630" s="86"/>
    </row>
    <row r="631">
      <c r="N631" s="86"/>
    </row>
    <row r="632">
      <c r="N632" s="86"/>
    </row>
    <row r="633">
      <c r="N633" s="86"/>
    </row>
    <row r="634">
      <c r="N634" s="86"/>
    </row>
    <row r="635">
      <c r="N635" s="86"/>
    </row>
    <row r="636">
      <c r="N636" s="86"/>
    </row>
    <row r="637">
      <c r="N637" s="86"/>
    </row>
    <row r="638">
      <c r="N638" s="86"/>
    </row>
    <row r="639">
      <c r="N639" s="86"/>
    </row>
    <row r="640">
      <c r="N640" s="86"/>
    </row>
    <row r="641">
      <c r="N641" s="86"/>
    </row>
    <row r="642">
      <c r="N642" s="86"/>
    </row>
    <row r="643">
      <c r="N643" s="86"/>
    </row>
    <row r="644">
      <c r="N644" s="86"/>
    </row>
    <row r="645">
      <c r="N645" s="86"/>
    </row>
    <row r="646">
      <c r="N646" s="86"/>
    </row>
    <row r="647">
      <c r="N647" s="86"/>
    </row>
    <row r="648">
      <c r="N648" s="86"/>
    </row>
    <row r="649">
      <c r="N649" s="86"/>
    </row>
    <row r="650">
      <c r="N650" s="86"/>
    </row>
    <row r="651">
      <c r="N651" s="86"/>
    </row>
    <row r="652">
      <c r="N652" s="86"/>
    </row>
    <row r="653">
      <c r="N653" s="86"/>
    </row>
    <row r="654">
      <c r="N654" s="86"/>
    </row>
    <row r="655">
      <c r="N655" s="86"/>
    </row>
    <row r="656">
      <c r="N656" s="86"/>
    </row>
    <row r="657">
      <c r="N657" s="86"/>
    </row>
    <row r="658">
      <c r="N658" s="86"/>
    </row>
    <row r="659">
      <c r="N659" s="86"/>
    </row>
    <row r="660">
      <c r="N660" s="86"/>
    </row>
    <row r="661">
      <c r="N661" s="86"/>
    </row>
    <row r="662">
      <c r="N662" s="86"/>
    </row>
    <row r="663">
      <c r="N663" s="86"/>
    </row>
    <row r="664">
      <c r="N664" s="86"/>
    </row>
    <row r="665">
      <c r="N665" s="86"/>
    </row>
    <row r="666">
      <c r="N666" s="86"/>
    </row>
    <row r="667">
      <c r="N667" s="86"/>
    </row>
    <row r="668">
      <c r="N668" s="86"/>
    </row>
    <row r="669">
      <c r="N669" s="86"/>
    </row>
    <row r="670">
      <c r="N670" s="86"/>
    </row>
    <row r="671">
      <c r="N671" s="86"/>
    </row>
    <row r="672">
      <c r="N672" s="86"/>
    </row>
    <row r="673">
      <c r="N673" s="86"/>
    </row>
    <row r="674">
      <c r="N674" s="86"/>
    </row>
    <row r="675">
      <c r="N675" s="86"/>
    </row>
    <row r="676">
      <c r="N676" s="86"/>
    </row>
    <row r="677">
      <c r="N677" s="86"/>
    </row>
    <row r="678">
      <c r="N678" s="86"/>
    </row>
    <row r="679">
      <c r="N679" s="86"/>
    </row>
    <row r="680">
      <c r="N680" s="86"/>
    </row>
    <row r="681">
      <c r="N681" s="86"/>
    </row>
    <row r="682">
      <c r="N682" s="86"/>
    </row>
    <row r="683">
      <c r="N683" s="86"/>
    </row>
    <row r="684">
      <c r="N684" s="86"/>
    </row>
    <row r="685">
      <c r="N685" s="86"/>
    </row>
    <row r="686">
      <c r="N686" s="86"/>
    </row>
    <row r="687">
      <c r="N687" s="86"/>
    </row>
    <row r="688">
      <c r="N688" s="86"/>
    </row>
    <row r="689">
      <c r="N689" s="86"/>
    </row>
    <row r="690">
      <c r="N690" s="86"/>
    </row>
    <row r="691">
      <c r="N691" s="86"/>
    </row>
    <row r="692">
      <c r="N692" s="86"/>
    </row>
    <row r="693">
      <c r="N693" s="86"/>
    </row>
    <row r="694">
      <c r="N694" s="86"/>
    </row>
    <row r="695">
      <c r="N695" s="86"/>
    </row>
    <row r="696">
      <c r="N696" s="86"/>
    </row>
    <row r="697">
      <c r="N697" s="86"/>
    </row>
    <row r="698">
      <c r="N698" s="86"/>
    </row>
    <row r="699">
      <c r="N699" s="86"/>
    </row>
    <row r="700">
      <c r="N700" s="86"/>
    </row>
    <row r="701">
      <c r="N701" s="86"/>
    </row>
    <row r="702">
      <c r="N702" s="86"/>
    </row>
    <row r="703">
      <c r="N703" s="86"/>
    </row>
    <row r="704">
      <c r="N704" s="86"/>
    </row>
    <row r="705">
      <c r="N705" s="86"/>
    </row>
    <row r="706">
      <c r="N706" s="86"/>
    </row>
    <row r="707">
      <c r="N707" s="86"/>
    </row>
    <row r="708">
      <c r="N708" s="86"/>
    </row>
    <row r="709">
      <c r="N709" s="86"/>
    </row>
    <row r="710">
      <c r="N710" s="86"/>
    </row>
    <row r="711">
      <c r="N711" s="86"/>
    </row>
    <row r="712">
      <c r="N712" s="86"/>
    </row>
    <row r="713">
      <c r="N713" s="86"/>
    </row>
    <row r="714">
      <c r="N714" s="86"/>
    </row>
    <row r="715">
      <c r="N715" s="86"/>
    </row>
    <row r="716">
      <c r="N716" s="86"/>
    </row>
    <row r="717">
      <c r="N717" s="86"/>
    </row>
    <row r="718">
      <c r="N718" s="86"/>
    </row>
    <row r="719">
      <c r="N719" s="86"/>
    </row>
    <row r="720">
      <c r="N720" s="86"/>
    </row>
    <row r="721">
      <c r="N721" s="86"/>
    </row>
    <row r="722">
      <c r="N722" s="86"/>
    </row>
    <row r="723">
      <c r="N723" s="86"/>
    </row>
    <row r="724">
      <c r="N724" s="86"/>
    </row>
    <row r="725">
      <c r="N725" s="86"/>
    </row>
    <row r="726">
      <c r="N726" s="86"/>
    </row>
    <row r="727">
      <c r="N727" s="86"/>
    </row>
    <row r="728">
      <c r="N728" s="86"/>
    </row>
    <row r="729">
      <c r="N729" s="86"/>
    </row>
    <row r="730">
      <c r="N730" s="86"/>
    </row>
    <row r="731">
      <c r="N731" s="86"/>
    </row>
    <row r="732">
      <c r="N732" s="86"/>
    </row>
    <row r="733">
      <c r="N733" s="86"/>
    </row>
    <row r="734">
      <c r="N734" s="86"/>
    </row>
    <row r="735">
      <c r="N735" s="86"/>
    </row>
    <row r="736">
      <c r="N736" s="86"/>
    </row>
    <row r="737">
      <c r="N737" s="86"/>
    </row>
    <row r="738">
      <c r="N738" s="86"/>
    </row>
    <row r="739">
      <c r="N739" s="86"/>
    </row>
    <row r="740">
      <c r="N740" s="86"/>
    </row>
    <row r="741">
      <c r="N741" s="86"/>
    </row>
    <row r="742">
      <c r="N742" s="86"/>
    </row>
    <row r="743">
      <c r="N743" s="86"/>
    </row>
    <row r="744">
      <c r="N744" s="86"/>
    </row>
    <row r="745">
      <c r="N745" s="86"/>
    </row>
    <row r="746">
      <c r="N746" s="86"/>
    </row>
    <row r="747">
      <c r="N747" s="86"/>
    </row>
    <row r="748">
      <c r="N748" s="86"/>
    </row>
    <row r="749">
      <c r="N749" s="86"/>
    </row>
    <row r="750">
      <c r="N750" s="86"/>
    </row>
    <row r="751">
      <c r="N751" s="86"/>
    </row>
    <row r="752">
      <c r="N752" s="86"/>
    </row>
    <row r="753">
      <c r="N753" s="86"/>
    </row>
    <row r="754">
      <c r="N754" s="86"/>
    </row>
    <row r="755">
      <c r="N755" s="86"/>
    </row>
    <row r="756">
      <c r="N756" s="86"/>
    </row>
    <row r="757">
      <c r="N757" s="86"/>
    </row>
    <row r="758">
      <c r="N758" s="86"/>
    </row>
    <row r="759">
      <c r="N759" s="86"/>
    </row>
    <row r="760">
      <c r="N760" s="86"/>
    </row>
    <row r="761">
      <c r="N761" s="86"/>
    </row>
    <row r="762">
      <c r="N762" s="86"/>
    </row>
    <row r="763">
      <c r="N763" s="86"/>
    </row>
    <row r="764">
      <c r="N764" s="86"/>
    </row>
    <row r="765">
      <c r="N765" s="86"/>
    </row>
    <row r="766">
      <c r="N766" s="86"/>
    </row>
    <row r="767">
      <c r="N767" s="86"/>
    </row>
    <row r="768">
      <c r="N768" s="86"/>
    </row>
    <row r="769">
      <c r="N769" s="86"/>
    </row>
    <row r="770">
      <c r="N770" s="86"/>
    </row>
    <row r="771">
      <c r="N771" s="86"/>
    </row>
    <row r="772">
      <c r="N772" s="86"/>
    </row>
    <row r="773">
      <c r="N773" s="86"/>
    </row>
    <row r="774">
      <c r="N774" s="86"/>
    </row>
    <row r="775">
      <c r="N775" s="86"/>
    </row>
    <row r="776">
      <c r="N776" s="86"/>
    </row>
    <row r="777">
      <c r="N777" s="86"/>
    </row>
    <row r="778">
      <c r="N778" s="86"/>
    </row>
    <row r="779">
      <c r="N779" s="86"/>
    </row>
    <row r="780">
      <c r="N780" s="86"/>
    </row>
    <row r="781">
      <c r="N781" s="86"/>
    </row>
    <row r="782">
      <c r="N782" s="86"/>
    </row>
    <row r="783">
      <c r="N783" s="86"/>
    </row>
    <row r="784">
      <c r="N784" s="86"/>
    </row>
    <row r="785">
      <c r="N785" s="86"/>
    </row>
    <row r="786">
      <c r="N786" s="86"/>
    </row>
    <row r="787">
      <c r="N787" s="86"/>
    </row>
    <row r="788">
      <c r="N788" s="86"/>
    </row>
    <row r="789">
      <c r="N789" s="86"/>
    </row>
    <row r="790">
      <c r="N790" s="86"/>
    </row>
    <row r="791">
      <c r="N791" s="86"/>
    </row>
    <row r="792">
      <c r="N792" s="86"/>
    </row>
    <row r="793">
      <c r="N793" s="86"/>
    </row>
    <row r="794">
      <c r="N794" s="86"/>
    </row>
    <row r="795">
      <c r="N795" s="86"/>
    </row>
    <row r="796">
      <c r="N796" s="86"/>
    </row>
    <row r="797">
      <c r="N797" s="86"/>
    </row>
    <row r="798">
      <c r="N798" s="86"/>
    </row>
    <row r="799">
      <c r="N799" s="86"/>
    </row>
    <row r="800">
      <c r="N800" s="86"/>
    </row>
    <row r="801">
      <c r="N801" s="86"/>
    </row>
    <row r="802">
      <c r="N802" s="86"/>
    </row>
    <row r="803">
      <c r="N803" s="86"/>
    </row>
    <row r="804">
      <c r="N804" s="86"/>
    </row>
    <row r="805">
      <c r="N805" s="86"/>
    </row>
    <row r="806">
      <c r="N806" s="86"/>
    </row>
    <row r="807">
      <c r="N807" s="86"/>
    </row>
    <row r="808">
      <c r="N808" s="86"/>
    </row>
    <row r="809">
      <c r="N809" s="86"/>
    </row>
    <row r="810">
      <c r="N810" s="86"/>
    </row>
    <row r="811">
      <c r="N811" s="86"/>
    </row>
    <row r="812">
      <c r="N812" s="86"/>
    </row>
    <row r="813">
      <c r="N813" s="86"/>
    </row>
    <row r="814">
      <c r="N814" s="86"/>
    </row>
    <row r="815">
      <c r="N815" s="86"/>
    </row>
    <row r="816">
      <c r="N816" s="86"/>
    </row>
    <row r="817">
      <c r="N817" s="86"/>
    </row>
    <row r="818">
      <c r="N818" s="86"/>
    </row>
    <row r="819">
      <c r="N819" s="86"/>
    </row>
    <row r="820">
      <c r="N820" s="86"/>
    </row>
    <row r="821">
      <c r="N821" s="86"/>
    </row>
    <row r="822">
      <c r="N822" s="86"/>
    </row>
    <row r="823">
      <c r="N823" s="86"/>
    </row>
    <row r="824">
      <c r="N824" s="86"/>
    </row>
    <row r="825">
      <c r="N825" s="86"/>
    </row>
    <row r="826">
      <c r="N826" s="86"/>
    </row>
    <row r="827">
      <c r="N827" s="86"/>
    </row>
    <row r="828">
      <c r="N828" s="86"/>
    </row>
    <row r="829">
      <c r="N829" s="86"/>
    </row>
    <row r="830">
      <c r="N830" s="86"/>
    </row>
    <row r="831">
      <c r="N831" s="86"/>
    </row>
    <row r="832">
      <c r="N832" s="86"/>
    </row>
    <row r="833">
      <c r="N833" s="86"/>
    </row>
    <row r="834">
      <c r="N834" s="86"/>
    </row>
    <row r="835">
      <c r="N835" s="86"/>
    </row>
    <row r="836">
      <c r="N836" s="86"/>
    </row>
    <row r="837">
      <c r="N837" s="86"/>
    </row>
    <row r="838">
      <c r="N838" s="86"/>
    </row>
    <row r="839">
      <c r="N839" s="86"/>
    </row>
    <row r="840">
      <c r="N840" s="86"/>
    </row>
    <row r="841">
      <c r="N841" s="86"/>
    </row>
    <row r="842">
      <c r="N842" s="86"/>
    </row>
    <row r="843">
      <c r="N843" s="86"/>
    </row>
    <row r="844">
      <c r="N844" s="86"/>
    </row>
    <row r="845">
      <c r="N845" s="86"/>
    </row>
    <row r="846">
      <c r="N846" s="86"/>
    </row>
    <row r="847">
      <c r="N847" s="86"/>
    </row>
    <row r="848">
      <c r="N848" s="86"/>
    </row>
    <row r="849">
      <c r="N849" s="86"/>
    </row>
    <row r="850">
      <c r="N850" s="86"/>
    </row>
    <row r="851">
      <c r="N851" s="86"/>
    </row>
    <row r="852">
      <c r="N852" s="86"/>
    </row>
    <row r="853">
      <c r="N853" s="86"/>
    </row>
    <row r="854">
      <c r="N854" s="86"/>
    </row>
    <row r="855">
      <c r="N855" s="86"/>
    </row>
    <row r="856">
      <c r="N856" s="86"/>
    </row>
    <row r="857">
      <c r="N857" s="86"/>
    </row>
    <row r="858">
      <c r="N858" s="86"/>
    </row>
    <row r="859">
      <c r="N859" s="86"/>
    </row>
    <row r="860">
      <c r="N860" s="86"/>
    </row>
    <row r="861">
      <c r="N861" s="86"/>
    </row>
    <row r="862">
      <c r="N862" s="86"/>
    </row>
    <row r="863">
      <c r="N863" s="86"/>
    </row>
    <row r="864">
      <c r="N864" s="86"/>
    </row>
    <row r="865">
      <c r="N865" s="86"/>
    </row>
    <row r="866">
      <c r="N866" s="86"/>
    </row>
    <row r="867">
      <c r="N867" s="86"/>
    </row>
    <row r="868">
      <c r="N868" s="86"/>
    </row>
    <row r="869">
      <c r="N869" s="86"/>
    </row>
    <row r="870">
      <c r="N870" s="86"/>
    </row>
    <row r="871">
      <c r="N871" s="86"/>
    </row>
    <row r="872">
      <c r="N872" s="86"/>
    </row>
    <row r="873">
      <c r="N873" s="86"/>
    </row>
    <row r="874">
      <c r="N874" s="86"/>
    </row>
    <row r="875">
      <c r="N875" s="86"/>
    </row>
    <row r="876">
      <c r="N876" s="86"/>
    </row>
    <row r="877">
      <c r="N877" s="86"/>
    </row>
    <row r="878">
      <c r="N878" s="86"/>
    </row>
    <row r="879">
      <c r="N879" s="86"/>
    </row>
    <row r="880">
      <c r="N880" s="86"/>
    </row>
    <row r="881">
      <c r="N881" s="86"/>
    </row>
    <row r="882">
      <c r="N882" s="86"/>
    </row>
    <row r="883">
      <c r="N883" s="86"/>
    </row>
    <row r="884">
      <c r="N884" s="86"/>
    </row>
    <row r="885">
      <c r="N885" s="86"/>
    </row>
    <row r="886">
      <c r="N886" s="86"/>
    </row>
    <row r="887">
      <c r="N887" s="86"/>
    </row>
    <row r="888">
      <c r="N888" s="86"/>
    </row>
    <row r="889">
      <c r="N889" s="86"/>
    </row>
    <row r="890">
      <c r="N890" s="86"/>
    </row>
    <row r="891">
      <c r="N891" s="86"/>
    </row>
    <row r="892">
      <c r="N892" s="86"/>
    </row>
    <row r="893">
      <c r="N893" s="86"/>
    </row>
    <row r="894">
      <c r="N894" s="86"/>
    </row>
    <row r="895">
      <c r="N895" s="86"/>
    </row>
    <row r="896">
      <c r="N896" s="86"/>
    </row>
    <row r="897">
      <c r="N897" s="86"/>
    </row>
    <row r="898">
      <c r="N898" s="86"/>
    </row>
    <row r="899">
      <c r="N899" s="86"/>
    </row>
    <row r="900">
      <c r="N900" s="86"/>
    </row>
    <row r="901">
      <c r="N901" s="86"/>
    </row>
    <row r="902">
      <c r="N902" s="86"/>
    </row>
    <row r="903">
      <c r="N903" s="86"/>
    </row>
    <row r="904">
      <c r="N904" s="86"/>
    </row>
    <row r="905">
      <c r="N905" s="86"/>
    </row>
    <row r="906">
      <c r="N906" s="86"/>
    </row>
    <row r="907">
      <c r="N907" s="86"/>
    </row>
    <row r="908">
      <c r="N908" s="86"/>
    </row>
    <row r="909">
      <c r="N909" s="86"/>
    </row>
    <row r="910">
      <c r="N910" s="86"/>
    </row>
    <row r="911">
      <c r="N911" s="86"/>
    </row>
    <row r="912">
      <c r="N912" s="86"/>
    </row>
    <row r="913">
      <c r="N913" s="86"/>
    </row>
    <row r="914">
      <c r="N914" s="86"/>
    </row>
    <row r="915">
      <c r="N915" s="86"/>
    </row>
    <row r="916">
      <c r="N916" s="86"/>
    </row>
    <row r="917">
      <c r="N917" s="86"/>
    </row>
    <row r="918">
      <c r="N918" s="86"/>
    </row>
    <row r="919">
      <c r="N919" s="86"/>
    </row>
    <row r="920">
      <c r="N920" s="86"/>
    </row>
    <row r="921">
      <c r="N921" s="86"/>
    </row>
    <row r="922">
      <c r="N922" s="86"/>
    </row>
    <row r="923">
      <c r="N923" s="86"/>
    </row>
    <row r="924">
      <c r="N924" s="86"/>
    </row>
    <row r="925">
      <c r="N925" s="86"/>
    </row>
    <row r="926">
      <c r="N926" s="86"/>
    </row>
    <row r="927">
      <c r="N927" s="86"/>
    </row>
    <row r="928">
      <c r="N928" s="86"/>
    </row>
    <row r="929">
      <c r="N929" s="86"/>
    </row>
    <row r="930">
      <c r="N930" s="86"/>
    </row>
    <row r="931">
      <c r="N931" s="86"/>
    </row>
    <row r="932">
      <c r="N932" s="86"/>
    </row>
    <row r="933">
      <c r="N933" s="86"/>
    </row>
    <row r="934">
      <c r="N934" s="86"/>
    </row>
    <row r="935">
      <c r="N935" s="86"/>
    </row>
    <row r="936">
      <c r="N936" s="86"/>
    </row>
    <row r="937">
      <c r="N937" s="86"/>
    </row>
    <row r="938">
      <c r="N938" s="86"/>
    </row>
    <row r="939">
      <c r="N939" s="86"/>
    </row>
    <row r="940">
      <c r="N940" s="86"/>
    </row>
    <row r="941">
      <c r="N941" s="86"/>
    </row>
    <row r="942">
      <c r="N942" s="86"/>
    </row>
    <row r="943">
      <c r="N943" s="86"/>
    </row>
    <row r="944">
      <c r="N944" s="86"/>
    </row>
    <row r="945">
      <c r="N945" s="86"/>
    </row>
    <row r="946">
      <c r="N946" s="86"/>
    </row>
    <row r="947">
      <c r="N947" s="86"/>
    </row>
    <row r="948">
      <c r="N948" s="86"/>
    </row>
    <row r="949">
      <c r="N949" s="86"/>
    </row>
    <row r="950">
      <c r="N950" s="86"/>
    </row>
    <row r="951">
      <c r="N951" s="86"/>
    </row>
    <row r="952">
      <c r="N952" s="86"/>
    </row>
    <row r="953">
      <c r="N953" s="86"/>
    </row>
    <row r="954">
      <c r="N954" s="86"/>
    </row>
    <row r="955">
      <c r="N955" s="86"/>
    </row>
    <row r="956">
      <c r="N956" s="86"/>
    </row>
    <row r="957">
      <c r="N957" s="86"/>
    </row>
    <row r="958">
      <c r="N958" s="86"/>
    </row>
    <row r="959">
      <c r="N959" s="86"/>
    </row>
    <row r="960">
      <c r="N960" s="86"/>
    </row>
    <row r="961">
      <c r="N961" s="86"/>
    </row>
    <row r="962">
      <c r="N962" s="86"/>
    </row>
    <row r="963">
      <c r="N963" s="86"/>
    </row>
    <row r="964">
      <c r="N964" s="86"/>
    </row>
    <row r="965">
      <c r="N965" s="86"/>
    </row>
    <row r="966">
      <c r="N966" s="86"/>
    </row>
    <row r="967">
      <c r="N967" s="86"/>
    </row>
    <row r="968">
      <c r="N968" s="86"/>
    </row>
    <row r="969">
      <c r="N969" s="86"/>
    </row>
    <row r="970">
      <c r="N970" s="86"/>
    </row>
    <row r="971">
      <c r="N971" s="86"/>
    </row>
    <row r="972">
      <c r="N972" s="86"/>
    </row>
    <row r="973">
      <c r="N973" s="86"/>
    </row>
    <row r="974">
      <c r="N974" s="86"/>
    </row>
    <row r="975">
      <c r="N975" s="86"/>
    </row>
    <row r="976">
      <c r="N976" s="86"/>
    </row>
    <row r="977">
      <c r="N977" s="86"/>
    </row>
    <row r="978">
      <c r="N978" s="86"/>
    </row>
    <row r="979">
      <c r="N979" s="86"/>
    </row>
    <row r="980">
      <c r="N980" s="86"/>
    </row>
    <row r="981">
      <c r="N981" s="86"/>
    </row>
    <row r="982">
      <c r="N982" s="86"/>
    </row>
    <row r="983">
      <c r="N983" s="86"/>
    </row>
    <row r="984">
      <c r="N984" s="86"/>
    </row>
    <row r="985">
      <c r="N985" s="86"/>
    </row>
    <row r="986">
      <c r="N986" s="86"/>
    </row>
    <row r="987">
      <c r="N987" s="86"/>
    </row>
    <row r="988">
      <c r="N988" s="86"/>
    </row>
    <row r="989">
      <c r="N989" s="86"/>
    </row>
    <row r="990">
      <c r="N990" s="86"/>
    </row>
    <row r="991">
      <c r="N991" s="86"/>
    </row>
    <row r="992">
      <c r="N992" s="86"/>
    </row>
    <row r="993">
      <c r="N993" s="86"/>
    </row>
    <row r="994">
      <c r="N994" s="86"/>
    </row>
  </sheetData>
  <mergeCells count="28">
    <mergeCell ref="A1:B1"/>
    <mergeCell ref="B3:B7"/>
    <mergeCell ref="A9:B9"/>
    <mergeCell ref="B11:B15"/>
    <mergeCell ref="A21:C21"/>
    <mergeCell ref="A23:C23"/>
    <mergeCell ref="D3:D7"/>
    <mergeCell ref="F3:F7"/>
    <mergeCell ref="A8:I8"/>
    <mergeCell ref="C1:D1"/>
    <mergeCell ref="C9:D9"/>
    <mergeCell ref="D11:D15"/>
    <mergeCell ref="G9:H9"/>
    <mergeCell ref="F11:F15"/>
    <mergeCell ref="H11:H15"/>
    <mergeCell ref="H16:I16"/>
    <mergeCell ref="H17:I17"/>
    <mergeCell ref="H18:I18"/>
    <mergeCell ref="Q21:Q22"/>
    <mergeCell ref="A22:E22"/>
    <mergeCell ref="E1:F1"/>
    <mergeCell ref="G1:H1"/>
    <mergeCell ref="J1:L14"/>
    <mergeCell ref="M1:M994"/>
    <mergeCell ref="N1:O1"/>
    <mergeCell ref="R1:S1"/>
    <mergeCell ref="H3:H7"/>
    <mergeCell ref="Q26:Q2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7.5"/>
    <col customWidth="1" min="2" max="2" width="23.25"/>
    <col customWidth="1" min="3" max="3" width="26.75"/>
    <col customWidth="1" min="4" max="4" width="30.0"/>
    <col customWidth="1" min="5" max="5" width="18.88"/>
    <col customWidth="1" min="11" max="11" width="19.5"/>
  </cols>
  <sheetData>
    <row r="1">
      <c r="R1" s="288"/>
    </row>
    <row r="2">
      <c r="B2" s="79" t="s">
        <v>420</v>
      </c>
      <c r="C2" s="79" t="s">
        <v>421</v>
      </c>
      <c r="R2" s="288"/>
    </row>
    <row r="3">
      <c r="E3" s="289" t="s">
        <v>422</v>
      </c>
      <c r="F3" s="7"/>
      <c r="G3" s="8"/>
      <c r="R3" s="288"/>
    </row>
    <row r="4">
      <c r="A4" s="290" t="s">
        <v>423</v>
      </c>
      <c r="B4" s="290" t="s">
        <v>424</v>
      </c>
      <c r="C4" s="290" t="s">
        <v>425</v>
      </c>
      <c r="D4" s="290" t="s">
        <v>426</v>
      </c>
      <c r="E4" s="291" t="s">
        <v>427</v>
      </c>
      <c r="F4" s="292" t="s">
        <v>283</v>
      </c>
      <c r="G4" s="293" t="s">
        <v>428</v>
      </c>
      <c r="H4" s="294" t="s">
        <v>429</v>
      </c>
      <c r="I4" s="295"/>
      <c r="M4" s="296"/>
      <c r="R4" s="288"/>
    </row>
    <row r="5">
      <c r="A5" s="187">
        <v>1.0</v>
      </c>
      <c r="B5" s="297" t="s">
        <v>430</v>
      </c>
      <c r="C5" s="297" t="s">
        <v>431</v>
      </c>
      <c r="D5" s="187" t="s">
        <v>432</v>
      </c>
      <c r="E5" s="298">
        <v>46009.0</v>
      </c>
      <c r="F5" s="98" t="s">
        <v>1</v>
      </c>
      <c r="G5" s="53">
        <v>544.0</v>
      </c>
      <c r="H5" s="299" t="s">
        <v>157</v>
      </c>
      <c r="I5" s="300">
        <f>COUNTIF(F5:F54, "Kelvin")</f>
        <v>15</v>
      </c>
      <c r="M5" s="296"/>
      <c r="R5" s="288"/>
    </row>
    <row r="6">
      <c r="A6" s="146">
        <v>2.0</v>
      </c>
      <c r="B6" s="297" t="s">
        <v>433</v>
      </c>
      <c r="C6" s="297" t="s">
        <v>434</v>
      </c>
      <c r="D6" s="146" t="s">
        <v>435</v>
      </c>
      <c r="E6" s="301" t="s">
        <v>436</v>
      </c>
      <c r="F6" s="98" t="s">
        <v>158</v>
      </c>
      <c r="G6" s="302">
        <v>510.0</v>
      </c>
      <c r="H6" s="303" t="s">
        <v>158</v>
      </c>
      <c r="I6" s="304">
        <f>COUNTIF(F5:F54, "Logan")</f>
        <v>9</v>
      </c>
      <c r="M6" s="296"/>
      <c r="R6" s="288"/>
    </row>
    <row r="7">
      <c r="A7" s="146">
        <v>3.0</v>
      </c>
      <c r="B7" s="297" t="s">
        <v>437</v>
      </c>
      <c r="C7" s="297" t="s">
        <v>438</v>
      </c>
      <c r="D7" s="146" t="s">
        <v>439</v>
      </c>
      <c r="E7" s="305">
        <v>45252.0</v>
      </c>
      <c r="F7" s="98" t="s">
        <v>1</v>
      </c>
      <c r="G7" s="302">
        <v>503.0</v>
      </c>
      <c r="H7" s="303" t="s">
        <v>78</v>
      </c>
      <c r="I7" s="304">
        <f>COUNTIF(F5:F54, "Moss")</f>
        <v>7</v>
      </c>
      <c r="M7" s="296"/>
      <c r="R7" s="288"/>
    </row>
    <row r="8">
      <c r="A8" s="146">
        <v>4.0</v>
      </c>
      <c r="B8" s="297" t="s">
        <v>440</v>
      </c>
      <c r="C8" s="297" t="s">
        <v>441</v>
      </c>
      <c r="D8" s="146" t="s">
        <v>442</v>
      </c>
      <c r="E8" s="301" t="s">
        <v>443</v>
      </c>
      <c r="F8" s="98" t="s">
        <v>157</v>
      </c>
      <c r="G8" s="302">
        <v>501.0</v>
      </c>
      <c r="H8" s="79" t="s">
        <v>1</v>
      </c>
      <c r="I8" s="304">
        <f>COUNTIF(F5:F54, "Jowkar")</f>
        <v>11</v>
      </c>
      <c r="M8" s="296"/>
      <c r="R8" s="288"/>
    </row>
    <row r="9">
      <c r="A9" s="146">
        <v>5.0</v>
      </c>
      <c r="B9" s="297" t="s">
        <v>444</v>
      </c>
      <c r="C9" s="297" t="s">
        <v>445</v>
      </c>
      <c r="D9" s="146" t="s">
        <v>446</v>
      </c>
      <c r="E9" s="301" t="s">
        <v>447</v>
      </c>
      <c r="F9" s="98" t="s">
        <v>2</v>
      </c>
      <c r="G9" s="302">
        <v>501.0</v>
      </c>
      <c r="H9" s="303" t="s">
        <v>59</v>
      </c>
      <c r="I9" s="304">
        <f>COUNTIF(F5:F54, "Trager")</f>
        <v>4</v>
      </c>
      <c r="M9" s="296"/>
      <c r="R9" s="288"/>
    </row>
    <row r="10">
      <c r="A10" s="146">
        <v>6.0</v>
      </c>
      <c r="B10" s="297" t="s">
        <v>448</v>
      </c>
      <c r="C10" s="297" t="s">
        <v>449</v>
      </c>
      <c r="D10" s="146" t="s">
        <v>450</v>
      </c>
      <c r="E10" s="305">
        <v>45253.0</v>
      </c>
      <c r="F10" s="98" t="s">
        <v>1</v>
      </c>
      <c r="G10" s="302">
        <v>499.0</v>
      </c>
      <c r="H10" s="79" t="s">
        <v>3</v>
      </c>
      <c r="I10" s="304">
        <f>COUNTIF(F5:F54, "Green")</f>
        <v>3</v>
      </c>
      <c r="M10" s="296"/>
      <c r="R10" s="288"/>
    </row>
    <row r="11">
      <c r="A11" s="146">
        <v>7.0</v>
      </c>
      <c r="B11" s="297" t="s">
        <v>451</v>
      </c>
      <c r="C11" s="297" t="s">
        <v>452</v>
      </c>
      <c r="D11" s="146" t="s">
        <v>453</v>
      </c>
      <c r="E11" s="301" t="s">
        <v>454</v>
      </c>
      <c r="F11" s="98" t="s">
        <v>3</v>
      </c>
      <c r="G11" s="302">
        <v>495.0</v>
      </c>
      <c r="H11" s="303" t="s">
        <v>2</v>
      </c>
      <c r="I11" s="304">
        <f>COUNTIF(F5:F54, "Delaney")</f>
        <v>1</v>
      </c>
      <c r="M11" s="296"/>
    </row>
    <row r="12">
      <c r="A12" s="146">
        <v>8.0</v>
      </c>
      <c r="B12" s="297" t="s">
        <v>455</v>
      </c>
      <c r="C12" s="297" t="s">
        <v>456</v>
      </c>
      <c r="D12" s="79" t="s">
        <v>457</v>
      </c>
      <c r="E12" s="301" t="s">
        <v>458</v>
      </c>
      <c r="F12" s="98" t="s">
        <v>157</v>
      </c>
      <c r="G12" s="302">
        <v>495.0</v>
      </c>
      <c r="H12" s="181" t="s">
        <v>227</v>
      </c>
      <c r="I12" s="306">
        <f>COUNTIF(F5:F54, "Kelley")</f>
        <v>0</v>
      </c>
      <c r="M12" s="296"/>
    </row>
    <row r="13">
      <c r="A13" s="146">
        <v>9.0</v>
      </c>
      <c r="B13" s="297" t="s">
        <v>459</v>
      </c>
      <c r="C13" s="297" t="s">
        <v>460</v>
      </c>
      <c r="D13" s="146" t="s">
        <v>461</v>
      </c>
      <c r="E13" s="301" t="s">
        <v>462</v>
      </c>
      <c r="F13" s="98" t="s">
        <v>157</v>
      </c>
      <c r="G13" s="302">
        <v>495.0</v>
      </c>
      <c r="J13" s="307">
        <f>SUM(I5:I12)</f>
        <v>50</v>
      </c>
      <c r="M13" s="296"/>
    </row>
    <row r="14">
      <c r="A14" s="146">
        <v>10.0</v>
      </c>
      <c r="B14" s="297" t="s">
        <v>463</v>
      </c>
      <c r="C14" s="297" t="s">
        <v>464</v>
      </c>
      <c r="D14" s="146" t="s">
        <v>465</v>
      </c>
      <c r="E14" s="301" t="s">
        <v>466</v>
      </c>
      <c r="F14" s="98" t="s">
        <v>157</v>
      </c>
      <c r="G14" s="302">
        <v>493.0</v>
      </c>
      <c r="I14" s="79"/>
      <c r="M14" s="296"/>
    </row>
    <row r="15">
      <c r="A15" s="146">
        <v>11.0</v>
      </c>
      <c r="B15" s="297" t="s">
        <v>467</v>
      </c>
      <c r="C15" s="297" t="s">
        <v>468</v>
      </c>
      <c r="D15" s="146" t="s">
        <v>469</v>
      </c>
      <c r="E15" s="308">
        <v>45289.0</v>
      </c>
      <c r="F15" s="98" t="s">
        <v>157</v>
      </c>
      <c r="G15" s="302">
        <v>491.0</v>
      </c>
      <c r="I15" s="79"/>
      <c r="M15" s="296"/>
    </row>
    <row r="16">
      <c r="A16" s="146">
        <v>12.0</v>
      </c>
      <c r="B16" s="297" t="s">
        <v>470</v>
      </c>
      <c r="C16" s="297" t="s">
        <v>471</v>
      </c>
      <c r="D16" s="146" t="s">
        <v>472</v>
      </c>
      <c r="E16" s="301" t="s">
        <v>473</v>
      </c>
      <c r="F16" s="98" t="s">
        <v>1</v>
      </c>
      <c r="G16" s="302">
        <v>487.0</v>
      </c>
      <c r="I16" s="79"/>
      <c r="M16" s="296"/>
    </row>
    <row r="17">
      <c r="A17" s="146">
        <v>13.0</v>
      </c>
      <c r="B17" s="297" t="s">
        <v>474</v>
      </c>
      <c r="C17" s="297" t="s">
        <v>475</v>
      </c>
      <c r="D17" s="79" t="s">
        <v>476</v>
      </c>
      <c r="E17" s="301" t="s">
        <v>477</v>
      </c>
      <c r="F17" s="98" t="s">
        <v>158</v>
      </c>
      <c r="G17" s="302">
        <v>483.0</v>
      </c>
      <c r="H17" s="309" t="s">
        <v>478</v>
      </c>
      <c r="I17" s="7"/>
      <c r="J17" s="8"/>
      <c r="M17" s="296"/>
    </row>
    <row r="18">
      <c r="A18" s="146">
        <v>14.0</v>
      </c>
      <c r="B18" s="297" t="s">
        <v>479</v>
      </c>
      <c r="C18" s="297" t="s">
        <v>480</v>
      </c>
      <c r="D18" s="146" t="s">
        <v>481</v>
      </c>
      <c r="E18" s="308">
        <v>45294.0</v>
      </c>
      <c r="F18" s="98" t="s">
        <v>158</v>
      </c>
      <c r="G18" s="302">
        <v>482.0</v>
      </c>
      <c r="H18" s="310"/>
      <c r="I18" s="310"/>
      <c r="J18" s="311"/>
      <c r="M18" s="296"/>
    </row>
    <row r="19">
      <c r="A19" s="146">
        <v>15.0</v>
      </c>
      <c r="B19" s="297" t="s">
        <v>482</v>
      </c>
      <c r="C19" s="297" t="s">
        <v>483</v>
      </c>
      <c r="D19" s="146" t="s">
        <v>484</v>
      </c>
      <c r="E19" s="308">
        <v>45294.0</v>
      </c>
      <c r="F19" s="98" t="s">
        <v>157</v>
      </c>
      <c r="G19" s="302">
        <v>476.0</v>
      </c>
      <c r="H19" s="312" t="s">
        <v>282</v>
      </c>
      <c r="I19" s="313" t="s">
        <v>428</v>
      </c>
      <c r="J19" s="314" t="s">
        <v>427</v>
      </c>
      <c r="M19" s="296"/>
    </row>
    <row r="20">
      <c r="A20" s="146">
        <v>16.0</v>
      </c>
      <c r="B20" s="297" t="s">
        <v>485</v>
      </c>
      <c r="C20" s="297"/>
      <c r="D20" s="146" t="s">
        <v>486</v>
      </c>
      <c r="E20" s="308">
        <v>44191.0</v>
      </c>
      <c r="F20" s="98" t="s">
        <v>59</v>
      </c>
      <c r="G20" s="302">
        <v>475.0</v>
      </c>
      <c r="H20" s="315"/>
      <c r="I20" s="139"/>
      <c r="J20" s="316"/>
    </row>
    <row r="21">
      <c r="A21" s="146">
        <v>17.0</v>
      </c>
      <c r="B21" s="297" t="s">
        <v>487</v>
      </c>
      <c r="C21" s="297"/>
      <c r="D21" s="146" t="s">
        <v>488</v>
      </c>
      <c r="E21" s="308">
        <v>44244.0</v>
      </c>
      <c r="F21" s="98" t="s">
        <v>78</v>
      </c>
      <c r="G21" s="302">
        <v>474.0</v>
      </c>
      <c r="H21" s="317" t="s">
        <v>489</v>
      </c>
      <c r="I21" s="318">
        <v>119.0</v>
      </c>
      <c r="J21" s="319">
        <v>45285.0</v>
      </c>
    </row>
    <row r="22">
      <c r="A22" s="146">
        <v>18.0</v>
      </c>
      <c r="B22" s="297" t="s">
        <v>490</v>
      </c>
      <c r="C22" s="297"/>
      <c r="D22" s="146" t="s">
        <v>491</v>
      </c>
      <c r="E22" s="301" t="s">
        <v>477</v>
      </c>
      <c r="F22" s="98" t="s">
        <v>157</v>
      </c>
      <c r="G22" s="302">
        <v>473.0</v>
      </c>
      <c r="H22" s="317" t="s">
        <v>492</v>
      </c>
      <c r="I22" s="318">
        <v>117.0</v>
      </c>
      <c r="J22" s="319">
        <v>45317.0</v>
      </c>
    </row>
    <row r="23">
      <c r="A23" s="146">
        <v>19.0</v>
      </c>
      <c r="B23" s="297" t="s">
        <v>493</v>
      </c>
      <c r="C23" s="297"/>
      <c r="D23" s="146" t="s">
        <v>494</v>
      </c>
      <c r="E23" s="301" t="s">
        <v>495</v>
      </c>
      <c r="F23" s="98" t="s">
        <v>158</v>
      </c>
      <c r="G23" s="302">
        <v>470.0</v>
      </c>
      <c r="H23" s="317" t="s">
        <v>496</v>
      </c>
      <c r="I23" s="318">
        <v>115.0</v>
      </c>
      <c r="J23" s="319">
        <v>44878.0</v>
      </c>
    </row>
    <row r="24">
      <c r="A24" s="146">
        <v>20.0</v>
      </c>
      <c r="B24" s="297" t="s">
        <v>497</v>
      </c>
      <c r="C24" s="320"/>
      <c r="D24" s="79" t="s">
        <v>498</v>
      </c>
      <c r="E24" s="308">
        <v>45352.0</v>
      </c>
      <c r="F24" s="98" t="s">
        <v>158</v>
      </c>
      <c r="G24" s="302">
        <v>470.0</v>
      </c>
      <c r="H24" s="317" t="s">
        <v>489</v>
      </c>
      <c r="I24" s="318">
        <v>112.0</v>
      </c>
      <c r="J24" s="319">
        <v>44922.0</v>
      </c>
    </row>
    <row r="25">
      <c r="A25" s="146">
        <v>21.0</v>
      </c>
      <c r="B25" s="297" t="s">
        <v>499</v>
      </c>
      <c r="C25" s="320"/>
      <c r="D25" s="146" t="s">
        <v>500</v>
      </c>
      <c r="E25" s="308">
        <v>45260.0</v>
      </c>
      <c r="F25" s="98" t="s">
        <v>157</v>
      </c>
      <c r="G25" s="302">
        <v>469.0</v>
      </c>
      <c r="H25" s="317" t="s">
        <v>496</v>
      </c>
      <c r="I25" s="318">
        <v>110.0</v>
      </c>
      <c r="J25" s="319">
        <v>45313.0</v>
      </c>
    </row>
    <row r="26">
      <c r="A26" s="146">
        <v>22.0</v>
      </c>
      <c r="B26" s="297" t="s">
        <v>501</v>
      </c>
      <c r="C26" s="320"/>
      <c r="D26" s="146" t="s">
        <v>502</v>
      </c>
      <c r="E26" s="308">
        <v>45320.0</v>
      </c>
      <c r="F26" s="98" t="s">
        <v>1</v>
      </c>
      <c r="G26" s="302">
        <v>466.0</v>
      </c>
      <c r="H26" s="317" t="s">
        <v>503</v>
      </c>
      <c r="I26" s="318">
        <v>109.0</v>
      </c>
      <c r="J26" s="319">
        <v>45609.0</v>
      </c>
    </row>
    <row r="27">
      <c r="A27" s="146">
        <v>23.0</v>
      </c>
      <c r="B27" s="297" t="s">
        <v>504</v>
      </c>
      <c r="C27" s="320"/>
      <c r="D27" s="146" t="s">
        <v>505</v>
      </c>
      <c r="E27" s="308">
        <v>45322.0</v>
      </c>
      <c r="F27" s="98" t="s">
        <v>158</v>
      </c>
      <c r="G27" s="302">
        <v>464.0</v>
      </c>
      <c r="H27" s="317" t="s">
        <v>506</v>
      </c>
      <c r="I27" s="318">
        <v>109.0</v>
      </c>
      <c r="J27" s="319">
        <v>44928.0</v>
      </c>
    </row>
    <row r="28">
      <c r="A28" s="146">
        <v>24.0</v>
      </c>
      <c r="B28" s="297" t="s">
        <v>507</v>
      </c>
      <c r="C28" s="320"/>
      <c r="D28" s="146" t="s">
        <v>508</v>
      </c>
      <c r="E28" s="308">
        <v>45303.0</v>
      </c>
      <c r="F28" s="98" t="s">
        <v>1</v>
      </c>
      <c r="G28" s="302">
        <v>462.0</v>
      </c>
      <c r="H28" s="317" t="s">
        <v>509</v>
      </c>
      <c r="I28" s="318">
        <v>108.0</v>
      </c>
      <c r="J28" s="319">
        <v>45275.0</v>
      </c>
    </row>
    <row r="29">
      <c r="A29" s="321">
        <v>25.0</v>
      </c>
      <c r="B29" s="322"/>
      <c r="C29" s="322"/>
      <c r="D29" s="146" t="s">
        <v>510</v>
      </c>
      <c r="E29" s="308">
        <v>45275.0</v>
      </c>
      <c r="F29" s="98" t="s">
        <v>3</v>
      </c>
      <c r="G29" s="302">
        <v>461.0</v>
      </c>
      <c r="H29" s="317" t="s">
        <v>511</v>
      </c>
      <c r="I29" s="318">
        <v>108.0</v>
      </c>
      <c r="J29" s="319">
        <v>44951.0</v>
      </c>
    </row>
    <row r="30">
      <c r="A30" s="321">
        <v>26.0</v>
      </c>
      <c r="B30" s="320"/>
      <c r="C30" s="320"/>
      <c r="D30" s="323" t="s">
        <v>512</v>
      </c>
      <c r="E30" s="305">
        <v>45247.0</v>
      </c>
      <c r="F30" s="98" t="s">
        <v>158</v>
      </c>
      <c r="G30" s="302">
        <v>461.0</v>
      </c>
      <c r="H30" s="317" t="s">
        <v>511</v>
      </c>
      <c r="I30" s="318">
        <v>104.0</v>
      </c>
      <c r="J30" s="319">
        <v>44983.0</v>
      </c>
    </row>
    <row r="31">
      <c r="A31" s="321">
        <v>27.0</v>
      </c>
      <c r="B31" s="320"/>
      <c r="C31" s="320"/>
      <c r="D31" s="323" t="s">
        <v>513</v>
      </c>
      <c r="E31" s="301" t="s">
        <v>514</v>
      </c>
      <c r="F31" s="98" t="s">
        <v>1</v>
      </c>
      <c r="G31" s="302">
        <v>461.0</v>
      </c>
      <c r="H31" s="317" t="s">
        <v>492</v>
      </c>
      <c r="I31" s="318">
        <v>102.0</v>
      </c>
      <c r="J31" s="319">
        <v>44926.0</v>
      </c>
    </row>
    <row r="32">
      <c r="A32" s="321">
        <v>28.0</v>
      </c>
      <c r="B32" s="320"/>
      <c r="C32" s="320"/>
      <c r="D32" s="79" t="s">
        <v>515</v>
      </c>
      <c r="E32" s="301" t="s">
        <v>516</v>
      </c>
      <c r="F32" s="98" t="s">
        <v>1</v>
      </c>
      <c r="G32" s="302">
        <v>460.0</v>
      </c>
      <c r="H32" s="324" t="s">
        <v>503</v>
      </c>
      <c r="I32" s="325">
        <v>100.0</v>
      </c>
      <c r="J32" s="326">
        <v>45273.0</v>
      </c>
    </row>
    <row r="33">
      <c r="A33" s="321">
        <v>29.0</v>
      </c>
      <c r="B33" s="320"/>
      <c r="C33" s="320"/>
      <c r="D33" s="323" t="s">
        <v>517</v>
      </c>
      <c r="E33" s="308">
        <v>44555.0</v>
      </c>
      <c r="F33" s="98" t="s">
        <v>158</v>
      </c>
      <c r="G33" s="302">
        <v>460.0</v>
      </c>
      <c r="I33" s="79"/>
      <c r="J33" s="79"/>
    </row>
    <row r="34">
      <c r="A34" s="321">
        <v>30.0</v>
      </c>
      <c r="B34" s="320"/>
      <c r="C34" s="320"/>
      <c r="D34" s="323" t="s">
        <v>518</v>
      </c>
      <c r="E34" s="301" t="s">
        <v>519</v>
      </c>
      <c r="F34" s="98" t="s">
        <v>78</v>
      </c>
      <c r="G34" s="302">
        <v>460.0</v>
      </c>
      <c r="I34" s="79"/>
      <c r="J34" s="79"/>
    </row>
    <row r="35">
      <c r="A35" s="321">
        <v>31.0</v>
      </c>
      <c r="B35" s="320"/>
      <c r="C35" s="320"/>
      <c r="D35" s="79" t="s">
        <v>520</v>
      </c>
      <c r="E35" s="301" t="s">
        <v>521</v>
      </c>
      <c r="F35" s="98" t="s">
        <v>157</v>
      </c>
      <c r="G35" s="302">
        <v>460.0</v>
      </c>
      <c r="I35" s="79"/>
      <c r="J35" s="79"/>
    </row>
    <row r="36">
      <c r="A36" s="321">
        <v>32.0</v>
      </c>
      <c r="B36" s="320"/>
      <c r="C36" s="320"/>
      <c r="D36" s="79" t="s">
        <v>522</v>
      </c>
      <c r="E36" s="327">
        <v>45621.0</v>
      </c>
      <c r="F36" s="206" t="s">
        <v>1</v>
      </c>
      <c r="G36" s="328">
        <v>459.0</v>
      </c>
      <c r="I36" s="79"/>
      <c r="J36" s="79"/>
    </row>
    <row r="37">
      <c r="A37" s="321">
        <v>33.0</v>
      </c>
      <c r="B37" s="320"/>
      <c r="C37" s="320"/>
      <c r="D37" s="323" t="s">
        <v>523</v>
      </c>
      <c r="E37" s="308">
        <v>44284.0</v>
      </c>
      <c r="F37" s="98" t="s">
        <v>78</v>
      </c>
      <c r="G37" s="302">
        <v>458.0</v>
      </c>
      <c r="I37" s="79"/>
      <c r="J37" s="79"/>
    </row>
    <row r="38">
      <c r="A38" s="321">
        <v>34.0</v>
      </c>
      <c r="B38" s="320"/>
      <c r="C38" s="320"/>
      <c r="D38" s="323" t="s">
        <v>524</v>
      </c>
      <c r="E38" s="301" t="s">
        <v>525</v>
      </c>
      <c r="F38" s="98" t="s">
        <v>157</v>
      </c>
      <c r="G38" s="302">
        <v>458.0</v>
      </c>
      <c r="I38" s="79"/>
      <c r="J38" s="79"/>
    </row>
    <row r="39">
      <c r="A39" s="321">
        <v>35.0</v>
      </c>
      <c r="B39" s="320"/>
      <c r="C39" s="320"/>
      <c r="D39" s="323" t="s">
        <v>526</v>
      </c>
      <c r="E39" s="308">
        <v>44626.0</v>
      </c>
      <c r="F39" s="98" t="s">
        <v>59</v>
      </c>
      <c r="G39" s="302">
        <v>456.0</v>
      </c>
      <c r="I39" s="79"/>
      <c r="J39" s="79"/>
    </row>
    <row r="40">
      <c r="A40" s="321">
        <v>36.0</v>
      </c>
      <c r="B40" s="320"/>
      <c r="C40" s="320"/>
      <c r="D40" s="329" t="s">
        <v>527</v>
      </c>
      <c r="E40" s="308">
        <v>44188.0</v>
      </c>
      <c r="F40" s="98" t="s">
        <v>78</v>
      </c>
      <c r="G40" s="302">
        <v>454.0</v>
      </c>
      <c r="I40" s="79"/>
      <c r="J40" s="79"/>
    </row>
    <row r="41">
      <c r="A41" s="321">
        <v>37.0</v>
      </c>
      <c r="B41" s="320"/>
      <c r="C41" s="320"/>
      <c r="D41" s="323" t="s">
        <v>528</v>
      </c>
      <c r="E41" s="301" t="s">
        <v>529</v>
      </c>
      <c r="F41" s="98" t="s">
        <v>78</v>
      </c>
      <c r="G41" s="302">
        <v>453.0</v>
      </c>
      <c r="I41" s="79"/>
      <c r="J41" s="79"/>
    </row>
    <row r="42">
      <c r="A42" s="321">
        <v>38.0</v>
      </c>
      <c r="B42" s="320"/>
      <c r="C42" s="320"/>
      <c r="D42" s="323" t="s">
        <v>530</v>
      </c>
      <c r="E42" s="308">
        <v>44624.0</v>
      </c>
      <c r="F42" s="98" t="s">
        <v>158</v>
      </c>
      <c r="G42" s="302">
        <v>452.0</v>
      </c>
      <c r="I42" s="79"/>
      <c r="J42" s="79"/>
    </row>
    <row r="43">
      <c r="A43" s="321">
        <v>39.0</v>
      </c>
      <c r="B43" s="320"/>
      <c r="C43" s="320"/>
      <c r="D43" s="323" t="s">
        <v>531</v>
      </c>
      <c r="E43" s="308">
        <v>44510.0</v>
      </c>
      <c r="F43" s="98" t="s">
        <v>78</v>
      </c>
      <c r="G43" s="302">
        <v>452.0</v>
      </c>
      <c r="J43" s="79"/>
    </row>
    <row r="44">
      <c r="A44" s="321">
        <v>40.0</v>
      </c>
      <c r="B44" s="320"/>
      <c r="C44" s="320"/>
      <c r="D44" s="79" t="s">
        <v>532</v>
      </c>
      <c r="E44" s="298">
        <v>45632.0</v>
      </c>
      <c r="F44" s="79" t="s">
        <v>1</v>
      </c>
      <c r="G44" s="53">
        <v>450.0</v>
      </c>
      <c r="J44" s="79"/>
    </row>
    <row r="45">
      <c r="A45" s="321">
        <v>41.0</v>
      </c>
      <c r="B45" s="320"/>
      <c r="C45" s="320"/>
      <c r="D45" s="323" t="s">
        <v>533</v>
      </c>
      <c r="E45" s="308">
        <v>44657.0</v>
      </c>
      <c r="F45" s="98" t="s">
        <v>59</v>
      </c>
      <c r="G45" s="302">
        <v>450.0</v>
      </c>
      <c r="J45" s="79"/>
    </row>
    <row r="46">
      <c r="A46" s="321">
        <v>42.0</v>
      </c>
      <c r="B46" s="320"/>
      <c r="C46" s="320"/>
      <c r="D46" s="323" t="s">
        <v>534</v>
      </c>
      <c r="E46" s="298">
        <v>45692.0</v>
      </c>
      <c r="F46" s="79" t="s">
        <v>59</v>
      </c>
      <c r="G46" s="53">
        <v>449.0</v>
      </c>
      <c r="J46" s="79"/>
    </row>
    <row r="47">
      <c r="A47" s="321">
        <v>43.0</v>
      </c>
      <c r="B47" s="320"/>
      <c r="C47" s="320"/>
      <c r="D47" s="79" t="s">
        <v>535</v>
      </c>
      <c r="E47" s="308">
        <v>45278.0</v>
      </c>
      <c r="F47" s="98" t="s">
        <v>157</v>
      </c>
      <c r="G47" s="302">
        <v>449.0</v>
      </c>
      <c r="J47" s="79"/>
    </row>
    <row r="48">
      <c r="A48" s="321">
        <v>44.0</v>
      </c>
      <c r="B48" s="320"/>
      <c r="C48" s="320"/>
      <c r="D48" s="329" t="s">
        <v>536</v>
      </c>
      <c r="E48" s="308">
        <v>44218.0</v>
      </c>
      <c r="F48" s="98" t="s">
        <v>157</v>
      </c>
      <c r="G48" s="302">
        <v>448.0</v>
      </c>
      <c r="J48" s="79"/>
    </row>
    <row r="49">
      <c r="A49" s="321">
        <v>45.0</v>
      </c>
      <c r="B49" s="320"/>
      <c r="C49" s="320"/>
      <c r="D49" s="79" t="s">
        <v>537</v>
      </c>
      <c r="E49" s="301" t="s">
        <v>538</v>
      </c>
      <c r="F49" s="98" t="s">
        <v>78</v>
      </c>
      <c r="G49" s="302">
        <v>448.0</v>
      </c>
      <c r="J49" s="79"/>
    </row>
    <row r="50">
      <c r="A50" s="321">
        <v>46.0</v>
      </c>
      <c r="B50" s="320"/>
      <c r="C50" s="320"/>
      <c r="D50" s="323" t="s">
        <v>539</v>
      </c>
      <c r="E50" s="308">
        <v>45276.0</v>
      </c>
      <c r="F50" s="98" t="s">
        <v>3</v>
      </c>
      <c r="G50" s="302">
        <v>447.0</v>
      </c>
      <c r="J50" s="79"/>
    </row>
    <row r="51">
      <c r="A51" s="321">
        <v>47.0</v>
      </c>
      <c r="B51" s="320"/>
      <c r="C51" s="320"/>
      <c r="D51" s="323" t="s">
        <v>540</v>
      </c>
      <c r="E51" s="308">
        <v>44299.0</v>
      </c>
      <c r="F51" s="98" t="s">
        <v>157</v>
      </c>
      <c r="G51" s="302">
        <v>447.0</v>
      </c>
      <c r="J51" s="79"/>
    </row>
    <row r="52">
      <c r="A52" s="321">
        <v>48.0</v>
      </c>
      <c r="B52" s="320"/>
      <c r="C52" s="320"/>
      <c r="D52" s="323" t="s">
        <v>541</v>
      </c>
      <c r="E52" s="301" t="s">
        <v>542</v>
      </c>
      <c r="F52" s="98" t="s">
        <v>157</v>
      </c>
      <c r="G52" s="302">
        <v>446.0</v>
      </c>
      <c r="J52" s="79"/>
    </row>
    <row r="53">
      <c r="A53" s="321">
        <v>49.0</v>
      </c>
      <c r="B53" s="320"/>
      <c r="C53" s="320"/>
      <c r="D53" s="323" t="s">
        <v>543</v>
      </c>
      <c r="E53" s="308">
        <v>45604.0</v>
      </c>
      <c r="F53" s="98" t="s">
        <v>1</v>
      </c>
      <c r="G53" s="302">
        <v>444.0</v>
      </c>
      <c r="J53" s="79"/>
    </row>
    <row r="54">
      <c r="A54" s="330">
        <v>50.0</v>
      </c>
      <c r="B54" s="331"/>
      <c r="C54" s="331"/>
      <c r="D54" s="201"/>
      <c r="E54" s="308">
        <v>44269.0</v>
      </c>
      <c r="F54" s="98" t="s">
        <v>157</v>
      </c>
      <c r="G54" s="302">
        <v>444.0</v>
      </c>
      <c r="J54" s="79"/>
    </row>
    <row r="55">
      <c r="E55" s="301" t="s">
        <v>544</v>
      </c>
      <c r="F55" s="98" t="s">
        <v>78</v>
      </c>
      <c r="G55" s="302">
        <v>443.0</v>
      </c>
      <c r="J55" s="79"/>
    </row>
    <row r="56">
      <c r="D56" s="41" t="s">
        <v>545</v>
      </c>
      <c r="E56" s="308">
        <v>45271.0</v>
      </c>
      <c r="F56" s="98" t="s">
        <v>158</v>
      </c>
      <c r="G56" s="302">
        <v>443.0</v>
      </c>
      <c r="J56" s="79"/>
    </row>
    <row r="57">
      <c r="D57" s="41" t="s">
        <v>546</v>
      </c>
      <c r="E57" s="332">
        <v>45262.0</v>
      </c>
      <c r="F57" s="92" t="s">
        <v>227</v>
      </c>
      <c r="G57" s="333">
        <v>442.0</v>
      </c>
      <c r="J57" s="79"/>
    </row>
    <row r="58">
      <c r="D58" s="41" t="s">
        <v>547</v>
      </c>
      <c r="E58" s="334"/>
      <c r="G58" s="79"/>
      <c r="J58" s="79"/>
    </row>
    <row r="59">
      <c r="D59" s="41" t="s">
        <v>548</v>
      </c>
      <c r="E59" s="335"/>
      <c r="G59" s="79"/>
      <c r="J59" s="79"/>
    </row>
    <row r="60">
      <c r="D60" s="41" t="s">
        <v>549</v>
      </c>
      <c r="J60" s="79"/>
    </row>
    <row r="61">
      <c r="D61" s="41" t="s">
        <v>550</v>
      </c>
      <c r="J61" s="79"/>
    </row>
    <row r="62">
      <c r="D62" s="41" t="s">
        <v>551</v>
      </c>
      <c r="J62" s="79"/>
    </row>
    <row r="63">
      <c r="D63" s="41" t="s">
        <v>552</v>
      </c>
      <c r="J63" s="79"/>
    </row>
    <row r="64">
      <c r="J64" s="79"/>
    </row>
    <row r="65">
      <c r="J65" s="79"/>
      <c r="L65" s="288"/>
    </row>
    <row r="66">
      <c r="E66" s="336"/>
      <c r="J66" s="79"/>
      <c r="L66" s="288"/>
    </row>
    <row r="67">
      <c r="J67" s="79"/>
      <c r="L67" s="288"/>
    </row>
    <row r="68">
      <c r="J68" s="79"/>
      <c r="L68" s="288"/>
    </row>
    <row r="69">
      <c r="J69" s="79"/>
      <c r="L69" s="288"/>
    </row>
    <row r="70">
      <c r="J70" s="79"/>
      <c r="L70" s="288"/>
    </row>
    <row r="71">
      <c r="J71" s="79"/>
      <c r="L71" s="288"/>
    </row>
    <row r="72">
      <c r="L72" s="288"/>
    </row>
    <row r="73">
      <c r="L73" s="288"/>
    </row>
    <row r="74">
      <c r="L74" s="288"/>
    </row>
    <row r="75">
      <c r="L75" s="288"/>
    </row>
    <row r="76">
      <c r="L76" s="288"/>
    </row>
    <row r="77">
      <c r="L77" s="288"/>
    </row>
    <row r="78">
      <c r="L78" s="288"/>
    </row>
    <row r="79">
      <c r="L79" s="288"/>
    </row>
    <row r="80">
      <c r="L80" s="288"/>
    </row>
    <row r="81">
      <c r="L81" s="288"/>
    </row>
    <row r="82">
      <c r="L82" s="288"/>
    </row>
    <row r="83">
      <c r="L83" s="288"/>
    </row>
    <row r="84">
      <c r="L84" s="288"/>
    </row>
    <row r="85">
      <c r="L85" s="288"/>
    </row>
    <row r="86">
      <c r="L86" s="288"/>
    </row>
    <row r="87">
      <c r="L87" s="288"/>
    </row>
    <row r="88">
      <c r="L88" s="288"/>
    </row>
    <row r="89">
      <c r="B89" s="334" t="s">
        <v>553</v>
      </c>
      <c r="L89" s="288"/>
    </row>
    <row r="90">
      <c r="B90" s="334" t="s">
        <v>427</v>
      </c>
      <c r="C90" s="79" t="s">
        <v>283</v>
      </c>
      <c r="D90" s="79" t="s">
        <v>428</v>
      </c>
      <c r="L90" s="288"/>
    </row>
    <row r="91">
      <c r="B91" s="288"/>
      <c r="R91" s="288"/>
    </row>
    <row r="92">
      <c r="A92" s="79">
        <v>1.0</v>
      </c>
      <c r="B92" s="334" t="s">
        <v>436</v>
      </c>
      <c r="C92" s="79" t="s">
        <v>158</v>
      </c>
      <c r="D92" s="79">
        <v>510.0</v>
      </c>
      <c r="F92" s="337" t="s">
        <v>157</v>
      </c>
      <c r="G92" s="300">
        <f>COUNTIF(M14:M66, "Kelvin")</f>
        <v>0</v>
      </c>
      <c r="R92" s="288"/>
    </row>
    <row r="93">
      <c r="A93" s="79">
        <v>2.0</v>
      </c>
      <c r="B93" s="334" t="s">
        <v>443</v>
      </c>
      <c r="C93" s="79" t="s">
        <v>157</v>
      </c>
      <c r="D93" s="79">
        <v>501.0</v>
      </c>
      <c r="F93" s="338" t="s">
        <v>78</v>
      </c>
      <c r="G93" s="304">
        <f>COUNTIF(M16:M68, "Moss")</f>
        <v>0</v>
      </c>
      <c r="R93" s="288"/>
    </row>
    <row r="94">
      <c r="A94" s="79">
        <v>3.0</v>
      </c>
      <c r="B94" s="334" t="s">
        <v>447</v>
      </c>
      <c r="C94" s="79" t="s">
        <v>2</v>
      </c>
      <c r="D94" s="79">
        <v>501.0</v>
      </c>
      <c r="F94" s="338" t="s">
        <v>2</v>
      </c>
      <c r="G94" s="304">
        <f>COUNTIF(M18:M70, "Delaney")</f>
        <v>0</v>
      </c>
      <c r="R94" s="288"/>
    </row>
    <row r="95">
      <c r="A95" s="79">
        <v>4.0</v>
      </c>
      <c r="B95" s="334" t="s">
        <v>458</v>
      </c>
      <c r="C95" s="79" t="s">
        <v>157</v>
      </c>
      <c r="D95" s="79">
        <v>495.0</v>
      </c>
      <c r="F95" s="338" t="s">
        <v>59</v>
      </c>
      <c r="G95" s="304">
        <f>COUNTIF(M20:M72, "Trager")</f>
        <v>0</v>
      </c>
      <c r="R95" s="288"/>
    </row>
    <row r="96">
      <c r="A96" s="79">
        <v>5.0</v>
      </c>
      <c r="B96" s="334" t="s">
        <v>477</v>
      </c>
      <c r="C96" s="79" t="s">
        <v>158</v>
      </c>
      <c r="D96" s="79">
        <v>483.0</v>
      </c>
      <c r="F96" s="338" t="s">
        <v>158</v>
      </c>
      <c r="G96" s="304">
        <f>COUNTIF(M17:M69, "Logan")</f>
        <v>0</v>
      </c>
      <c r="R96" s="288"/>
    </row>
    <row r="97">
      <c r="A97" s="79">
        <v>6.0</v>
      </c>
      <c r="B97" s="334" t="s">
        <v>477</v>
      </c>
      <c r="C97" s="79" t="s">
        <v>157</v>
      </c>
      <c r="D97" s="79">
        <v>473.0</v>
      </c>
      <c r="F97" s="339" t="s">
        <v>554</v>
      </c>
      <c r="G97" s="304">
        <f>COUNTIF(M16:M68, "spencer")</f>
        <v>0</v>
      </c>
      <c r="R97" s="288"/>
    </row>
    <row r="98">
      <c r="A98" s="79">
        <v>7.0</v>
      </c>
      <c r="B98" s="334" t="s">
        <v>519</v>
      </c>
      <c r="C98" s="79" t="s">
        <v>78</v>
      </c>
      <c r="D98" s="79">
        <v>460.0</v>
      </c>
      <c r="F98" s="338" t="s">
        <v>1</v>
      </c>
      <c r="G98" s="340">
        <f>COUNTIF(#REF!, "Jowkar")</f>
        <v>0</v>
      </c>
      <c r="R98" s="288"/>
    </row>
    <row r="99">
      <c r="A99" s="79">
        <v>8.0</v>
      </c>
      <c r="B99" s="334" t="s">
        <v>521</v>
      </c>
      <c r="C99" s="79" t="s">
        <v>157</v>
      </c>
      <c r="D99" s="79">
        <v>460.0</v>
      </c>
      <c r="F99" s="338" t="s">
        <v>3</v>
      </c>
      <c r="G99" s="340">
        <f>COUNTIF(#REF!, "Green")</f>
        <v>0</v>
      </c>
      <c r="R99" s="288"/>
    </row>
    <row r="100">
      <c r="A100" s="79">
        <v>9.0</v>
      </c>
      <c r="B100" s="334" t="s">
        <v>525</v>
      </c>
      <c r="C100" s="79" t="s">
        <v>157</v>
      </c>
      <c r="D100" s="79">
        <v>458.0</v>
      </c>
      <c r="F100" s="338" t="s">
        <v>22</v>
      </c>
      <c r="G100" s="304">
        <f>COUNTIF(M20:M72, "Gold")</f>
        <v>0</v>
      </c>
      <c r="R100" s="288"/>
    </row>
    <row r="101">
      <c r="A101" s="79">
        <v>10.0</v>
      </c>
      <c r="B101" s="334" t="s">
        <v>529</v>
      </c>
      <c r="C101" s="79" t="s">
        <v>78</v>
      </c>
      <c r="D101" s="79">
        <v>453.0</v>
      </c>
      <c r="F101" s="341" t="s">
        <v>26</v>
      </c>
      <c r="G101" s="342">
        <f>COUNTIF(M19:M71, "Zujewski")</f>
        <v>0</v>
      </c>
      <c r="R101" s="288"/>
    </row>
    <row r="102">
      <c r="A102" s="79">
        <v>11.0</v>
      </c>
      <c r="B102" s="334" t="s">
        <v>538</v>
      </c>
      <c r="C102" s="79" t="s">
        <v>78</v>
      </c>
      <c r="D102" s="79">
        <v>448.0</v>
      </c>
      <c r="R102" s="288"/>
    </row>
    <row r="103">
      <c r="A103" s="79">
        <v>12.0</v>
      </c>
      <c r="B103" s="334" t="s">
        <v>542</v>
      </c>
      <c r="C103" s="79" t="s">
        <v>157</v>
      </c>
      <c r="D103" s="79">
        <v>446.0</v>
      </c>
      <c r="R103" s="288"/>
    </row>
    <row r="104">
      <c r="A104" s="79">
        <v>13.0</v>
      </c>
      <c r="B104" s="334" t="s">
        <v>544</v>
      </c>
      <c r="C104" s="79" t="s">
        <v>78</v>
      </c>
      <c r="D104" s="79">
        <v>443.0</v>
      </c>
      <c r="R104" s="288"/>
    </row>
    <row r="105">
      <c r="A105" s="79">
        <v>14.0</v>
      </c>
      <c r="B105" s="334" t="s">
        <v>555</v>
      </c>
      <c r="C105" s="79" t="s">
        <v>2</v>
      </c>
      <c r="D105" s="79">
        <v>442.0</v>
      </c>
      <c r="R105" s="288"/>
    </row>
    <row r="106">
      <c r="A106" s="79">
        <v>15.0</v>
      </c>
      <c r="B106" s="334" t="s">
        <v>556</v>
      </c>
      <c r="C106" s="79" t="s">
        <v>2</v>
      </c>
      <c r="D106" s="79">
        <v>442.0</v>
      </c>
      <c r="R106" s="288"/>
    </row>
    <row r="107">
      <c r="A107" s="79">
        <v>16.0</v>
      </c>
      <c r="B107" s="334" t="s">
        <v>557</v>
      </c>
      <c r="C107" s="79" t="s">
        <v>157</v>
      </c>
      <c r="D107" s="79">
        <v>441.0</v>
      </c>
      <c r="R107" s="288"/>
    </row>
    <row r="108">
      <c r="A108" s="79">
        <v>17.0</v>
      </c>
      <c r="B108" s="334" t="s">
        <v>558</v>
      </c>
      <c r="C108" s="79" t="s">
        <v>2</v>
      </c>
      <c r="D108" s="79">
        <v>438.0</v>
      </c>
      <c r="R108" s="288"/>
    </row>
    <row r="109">
      <c r="A109" s="79">
        <v>18.0</v>
      </c>
      <c r="B109" s="334" t="s">
        <v>559</v>
      </c>
      <c r="C109" s="79" t="s">
        <v>1</v>
      </c>
      <c r="D109" s="79">
        <v>438.0</v>
      </c>
      <c r="R109" s="288"/>
    </row>
    <row r="110">
      <c r="A110" s="79">
        <v>19.0</v>
      </c>
      <c r="B110" s="334" t="s">
        <v>560</v>
      </c>
      <c r="C110" s="79" t="s">
        <v>78</v>
      </c>
      <c r="D110" s="79">
        <v>438.0</v>
      </c>
      <c r="R110" s="288"/>
    </row>
    <row r="111">
      <c r="A111" s="79">
        <v>20.0</v>
      </c>
      <c r="B111" s="334" t="s">
        <v>561</v>
      </c>
      <c r="C111" s="79" t="s">
        <v>157</v>
      </c>
      <c r="D111" s="79">
        <v>435.0</v>
      </c>
      <c r="R111" s="288"/>
    </row>
    <row r="112">
      <c r="A112" s="79">
        <v>21.0</v>
      </c>
      <c r="B112" s="334" t="s">
        <v>521</v>
      </c>
      <c r="C112" s="79" t="s">
        <v>78</v>
      </c>
      <c r="D112" s="79">
        <v>435.0</v>
      </c>
      <c r="R112" s="288"/>
    </row>
    <row r="113">
      <c r="A113" s="79">
        <v>22.0</v>
      </c>
      <c r="B113" s="334" t="s">
        <v>562</v>
      </c>
      <c r="C113" s="79" t="s">
        <v>78</v>
      </c>
      <c r="D113" s="79">
        <v>435.0</v>
      </c>
      <c r="R113" s="288"/>
    </row>
    <row r="114">
      <c r="A114" s="79">
        <v>23.0</v>
      </c>
      <c r="B114" s="334" t="s">
        <v>563</v>
      </c>
      <c r="C114" s="79" t="s">
        <v>157</v>
      </c>
      <c r="D114" s="79">
        <v>433.0</v>
      </c>
      <c r="R114" s="288"/>
    </row>
    <row r="115">
      <c r="A115" s="79">
        <v>24.0</v>
      </c>
      <c r="B115" s="334" t="s">
        <v>562</v>
      </c>
      <c r="C115" s="79" t="s">
        <v>157</v>
      </c>
      <c r="D115" s="79">
        <v>431.0</v>
      </c>
      <c r="R115" s="288"/>
    </row>
    <row r="116">
      <c r="A116" s="79">
        <v>25.0</v>
      </c>
      <c r="B116" s="334" t="s">
        <v>447</v>
      </c>
      <c r="C116" s="79" t="s">
        <v>157</v>
      </c>
      <c r="D116" s="79">
        <v>425.0</v>
      </c>
      <c r="R116" s="288"/>
    </row>
    <row r="117">
      <c r="A117" s="79">
        <v>26.0</v>
      </c>
      <c r="B117" s="334" t="s">
        <v>529</v>
      </c>
      <c r="C117" s="79" t="s">
        <v>157</v>
      </c>
      <c r="D117" s="79">
        <v>424.0</v>
      </c>
      <c r="R117" s="288"/>
    </row>
    <row r="118">
      <c r="A118" s="79">
        <v>27.0</v>
      </c>
      <c r="B118" s="334" t="s">
        <v>560</v>
      </c>
      <c r="C118" s="79" t="s">
        <v>157</v>
      </c>
      <c r="D118" s="79">
        <v>423.0</v>
      </c>
      <c r="R118" s="288"/>
    </row>
    <row r="119">
      <c r="A119" s="79">
        <v>28.0</v>
      </c>
      <c r="B119" s="334" t="s">
        <v>564</v>
      </c>
      <c r="C119" s="79" t="s">
        <v>2</v>
      </c>
      <c r="D119" s="79">
        <v>419.0</v>
      </c>
      <c r="R119" s="288"/>
    </row>
    <row r="120">
      <c r="A120" s="79">
        <v>29.0</v>
      </c>
      <c r="B120" s="334" t="s">
        <v>555</v>
      </c>
      <c r="C120" s="79" t="s">
        <v>157</v>
      </c>
      <c r="D120" s="79">
        <v>419.0</v>
      </c>
      <c r="R120" s="288"/>
    </row>
    <row r="121">
      <c r="A121" s="79">
        <v>30.0</v>
      </c>
      <c r="B121" s="334" t="s">
        <v>565</v>
      </c>
      <c r="C121" s="79" t="s">
        <v>2</v>
      </c>
      <c r="D121" s="79">
        <v>419.0</v>
      </c>
      <c r="R121" s="288"/>
    </row>
    <row r="122">
      <c r="A122" s="79">
        <v>31.0</v>
      </c>
      <c r="B122" s="334" t="s">
        <v>521</v>
      </c>
      <c r="C122" s="79" t="s">
        <v>59</v>
      </c>
      <c r="D122" s="79">
        <v>418.0</v>
      </c>
      <c r="R122" s="288"/>
    </row>
    <row r="123">
      <c r="A123" s="79">
        <v>32.0</v>
      </c>
      <c r="B123" s="334" t="s">
        <v>544</v>
      </c>
      <c r="C123" s="79" t="s">
        <v>59</v>
      </c>
      <c r="D123" s="79">
        <v>415.0</v>
      </c>
      <c r="R123" s="288"/>
    </row>
    <row r="124">
      <c r="A124" s="79">
        <v>33.0</v>
      </c>
      <c r="B124" s="334" t="s">
        <v>566</v>
      </c>
      <c r="C124" s="79" t="s">
        <v>157</v>
      </c>
      <c r="D124" s="79">
        <v>415.0</v>
      </c>
      <c r="R124" s="288"/>
    </row>
    <row r="125">
      <c r="A125" s="79">
        <v>34.0</v>
      </c>
      <c r="B125" s="334" t="s">
        <v>567</v>
      </c>
      <c r="C125" s="79" t="s">
        <v>554</v>
      </c>
      <c r="D125" s="79">
        <v>413.0</v>
      </c>
      <c r="R125" s="288"/>
    </row>
    <row r="126">
      <c r="A126" s="79">
        <v>35.0</v>
      </c>
      <c r="B126" s="334" t="s">
        <v>568</v>
      </c>
      <c r="C126" s="79" t="s">
        <v>59</v>
      </c>
      <c r="D126" s="79">
        <v>413.0</v>
      </c>
      <c r="R126" s="288"/>
    </row>
    <row r="127">
      <c r="A127" s="79">
        <v>36.0</v>
      </c>
      <c r="B127" s="334" t="s">
        <v>561</v>
      </c>
      <c r="C127" s="79" t="s">
        <v>2</v>
      </c>
      <c r="D127" s="79">
        <v>412.0</v>
      </c>
      <c r="R127" s="288"/>
    </row>
    <row r="128">
      <c r="A128" s="79">
        <v>37.0</v>
      </c>
      <c r="B128" s="334" t="s">
        <v>557</v>
      </c>
      <c r="C128" s="79" t="s">
        <v>78</v>
      </c>
      <c r="D128" s="79">
        <v>412.0</v>
      </c>
      <c r="R128" s="288"/>
    </row>
    <row r="129">
      <c r="A129" s="79">
        <v>38.0</v>
      </c>
      <c r="B129" s="334" t="s">
        <v>569</v>
      </c>
      <c r="C129" s="79" t="s">
        <v>2</v>
      </c>
      <c r="D129" s="79">
        <v>412.0</v>
      </c>
      <c r="R129" s="288"/>
    </row>
    <row r="130">
      <c r="A130" s="79">
        <v>39.0</v>
      </c>
      <c r="B130" s="334" t="s">
        <v>570</v>
      </c>
      <c r="C130" s="79" t="s">
        <v>78</v>
      </c>
      <c r="D130" s="79">
        <v>411.0</v>
      </c>
      <c r="R130" s="288"/>
    </row>
    <row r="131">
      <c r="A131" s="79">
        <v>40.0</v>
      </c>
      <c r="B131" s="334" t="s">
        <v>559</v>
      </c>
      <c r="C131" s="79" t="s">
        <v>554</v>
      </c>
      <c r="D131" s="79">
        <v>410.0</v>
      </c>
      <c r="R131" s="288"/>
    </row>
    <row r="132">
      <c r="A132" s="79">
        <v>41.0</v>
      </c>
      <c r="B132" s="334" t="s">
        <v>559</v>
      </c>
      <c r="C132" s="79" t="s">
        <v>78</v>
      </c>
      <c r="D132" s="79">
        <v>410.0</v>
      </c>
      <c r="R132" s="288"/>
    </row>
    <row r="133">
      <c r="A133" s="79">
        <v>42.0</v>
      </c>
      <c r="B133" s="334" t="s">
        <v>559</v>
      </c>
      <c r="C133" s="79" t="s">
        <v>158</v>
      </c>
      <c r="D133" s="79">
        <v>409.0</v>
      </c>
      <c r="R133" s="288"/>
    </row>
    <row r="134">
      <c r="A134" s="79">
        <v>43.0</v>
      </c>
      <c r="B134" s="334" t="s">
        <v>571</v>
      </c>
      <c r="C134" s="79" t="s">
        <v>157</v>
      </c>
      <c r="D134" s="79">
        <v>408.0</v>
      </c>
      <c r="R134" s="288"/>
    </row>
    <row r="135">
      <c r="A135" s="79">
        <v>44.0</v>
      </c>
      <c r="B135" s="334" t="s">
        <v>572</v>
      </c>
      <c r="C135" s="79" t="s">
        <v>157</v>
      </c>
      <c r="D135" s="79">
        <v>405.0</v>
      </c>
      <c r="R135" s="288"/>
    </row>
    <row r="136">
      <c r="A136" s="79">
        <v>45.0</v>
      </c>
      <c r="B136" s="334" t="s">
        <v>573</v>
      </c>
      <c r="C136" s="79" t="s">
        <v>78</v>
      </c>
      <c r="D136" s="79">
        <v>402.0</v>
      </c>
      <c r="R136" s="288"/>
    </row>
    <row r="137">
      <c r="A137" s="79">
        <v>46.0</v>
      </c>
      <c r="B137" s="334" t="s">
        <v>564</v>
      </c>
      <c r="C137" s="79" t="s">
        <v>78</v>
      </c>
      <c r="D137" s="79">
        <v>401.0</v>
      </c>
      <c r="R137" s="288"/>
    </row>
    <row r="138">
      <c r="R138" s="288"/>
    </row>
    <row r="139">
      <c r="R139" s="288"/>
    </row>
    <row r="140">
      <c r="R140" s="288"/>
    </row>
    <row r="141">
      <c r="R141" s="288"/>
    </row>
    <row r="142">
      <c r="R142" s="288"/>
    </row>
    <row r="143">
      <c r="R143" s="288"/>
    </row>
    <row r="144">
      <c r="R144" s="288"/>
    </row>
    <row r="145">
      <c r="R145" s="288"/>
    </row>
    <row r="146">
      <c r="R146" s="288"/>
    </row>
    <row r="147">
      <c r="R147" s="288"/>
    </row>
    <row r="148">
      <c r="R148" s="288"/>
    </row>
    <row r="149">
      <c r="R149" s="288"/>
    </row>
    <row r="150">
      <c r="R150" s="288"/>
    </row>
    <row r="151">
      <c r="R151" s="288"/>
    </row>
    <row r="152">
      <c r="R152" s="288"/>
    </row>
    <row r="153">
      <c r="R153" s="288"/>
    </row>
    <row r="154">
      <c r="R154" s="288"/>
    </row>
    <row r="155">
      <c r="R155" s="288"/>
    </row>
    <row r="156">
      <c r="R156" s="288"/>
    </row>
    <row r="157">
      <c r="R157" s="288"/>
    </row>
    <row r="158">
      <c r="R158" s="288"/>
    </row>
    <row r="159">
      <c r="R159" s="288"/>
    </row>
    <row r="160">
      <c r="R160" s="288"/>
    </row>
    <row r="161">
      <c r="R161" s="288"/>
    </row>
    <row r="162">
      <c r="R162" s="288"/>
    </row>
    <row r="163">
      <c r="R163" s="288"/>
    </row>
    <row r="164">
      <c r="R164" s="288"/>
    </row>
    <row r="165">
      <c r="R165" s="288"/>
    </row>
    <row r="166">
      <c r="R166" s="288"/>
    </row>
    <row r="167">
      <c r="R167" s="288"/>
    </row>
    <row r="168">
      <c r="R168" s="288"/>
    </row>
    <row r="169">
      <c r="R169" s="288"/>
    </row>
    <row r="170">
      <c r="R170" s="288"/>
    </row>
    <row r="171">
      <c r="R171" s="288"/>
    </row>
    <row r="172">
      <c r="R172" s="288"/>
    </row>
    <row r="173">
      <c r="R173" s="288"/>
    </row>
    <row r="174">
      <c r="R174" s="288"/>
    </row>
    <row r="175">
      <c r="R175" s="288"/>
    </row>
    <row r="176">
      <c r="R176" s="288"/>
    </row>
    <row r="177">
      <c r="R177" s="288"/>
    </row>
    <row r="178">
      <c r="R178" s="288"/>
    </row>
    <row r="179">
      <c r="R179" s="288"/>
    </row>
    <row r="180">
      <c r="R180" s="288"/>
    </row>
    <row r="181">
      <c r="R181" s="288"/>
    </row>
    <row r="182">
      <c r="R182" s="288"/>
    </row>
    <row r="183">
      <c r="R183" s="288"/>
    </row>
    <row r="184">
      <c r="R184" s="288"/>
    </row>
    <row r="185">
      <c r="R185" s="288"/>
    </row>
    <row r="186">
      <c r="R186" s="288"/>
    </row>
    <row r="187">
      <c r="R187" s="288"/>
    </row>
    <row r="188">
      <c r="R188" s="288"/>
    </row>
    <row r="189">
      <c r="R189" s="288"/>
    </row>
    <row r="190">
      <c r="R190" s="288"/>
    </row>
    <row r="191">
      <c r="R191" s="288"/>
    </row>
    <row r="192">
      <c r="R192" s="288"/>
    </row>
    <row r="193">
      <c r="R193" s="288"/>
    </row>
    <row r="194">
      <c r="R194" s="288"/>
    </row>
    <row r="195">
      <c r="R195" s="288"/>
    </row>
    <row r="196">
      <c r="R196" s="288"/>
    </row>
    <row r="197">
      <c r="R197" s="288"/>
    </row>
    <row r="198">
      <c r="R198" s="288"/>
    </row>
    <row r="199">
      <c r="R199" s="288"/>
    </row>
    <row r="200">
      <c r="R200" s="288"/>
    </row>
    <row r="201">
      <c r="R201" s="288"/>
    </row>
    <row r="202">
      <c r="R202" s="288"/>
    </row>
    <row r="203">
      <c r="R203" s="288"/>
    </row>
    <row r="204">
      <c r="R204" s="288"/>
    </row>
    <row r="205">
      <c r="R205" s="288"/>
    </row>
    <row r="206">
      <c r="R206" s="288"/>
    </row>
    <row r="207">
      <c r="R207" s="288"/>
    </row>
    <row r="208">
      <c r="R208" s="288"/>
    </row>
    <row r="209">
      <c r="R209" s="288"/>
    </row>
    <row r="210">
      <c r="R210" s="288"/>
    </row>
    <row r="211">
      <c r="R211" s="288"/>
    </row>
    <row r="212">
      <c r="R212" s="288"/>
    </row>
    <row r="213">
      <c r="R213" s="288"/>
    </row>
    <row r="214">
      <c r="R214" s="288"/>
    </row>
    <row r="215">
      <c r="R215" s="288"/>
    </row>
    <row r="216">
      <c r="R216" s="288"/>
    </row>
    <row r="217">
      <c r="R217" s="288"/>
    </row>
    <row r="218">
      <c r="R218" s="288"/>
    </row>
    <row r="219">
      <c r="R219" s="288"/>
    </row>
    <row r="220">
      <c r="R220" s="288"/>
    </row>
    <row r="221">
      <c r="R221" s="288"/>
    </row>
    <row r="222">
      <c r="R222" s="288"/>
    </row>
    <row r="223">
      <c r="R223" s="288"/>
    </row>
    <row r="224">
      <c r="R224" s="288"/>
    </row>
    <row r="225">
      <c r="R225" s="288"/>
    </row>
    <row r="226">
      <c r="R226" s="288"/>
    </row>
    <row r="227">
      <c r="R227" s="288"/>
    </row>
    <row r="228">
      <c r="R228" s="288"/>
    </row>
    <row r="229">
      <c r="R229" s="288"/>
    </row>
    <row r="230">
      <c r="R230" s="288"/>
    </row>
    <row r="231">
      <c r="R231" s="288"/>
    </row>
    <row r="232">
      <c r="R232" s="288"/>
    </row>
    <row r="233">
      <c r="R233" s="288"/>
    </row>
    <row r="234">
      <c r="R234" s="288"/>
    </row>
    <row r="235">
      <c r="R235" s="288"/>
    </row>
    <row r="236">
      <c r="R236" s="288"/>
    </row>
    <row r="237">
      <c r="R237" s="288"/>
    </row>
    <row r="238">
      <c r="R238" s="288"/>
    </row>
    <row r="239">
      <c r="R239" s="288"/>
    </row>
    <row r="240">
      <c r="R240" s="288"/>
    </row>
    <row r="241">
      <c r="R241" s="288"/>
    </row>
    <row r="242">
      <c r="R242" s="288"/>
    </row>
    <row r="243">
      <c r="R243" s="288"/>
    </row>
    <row r="244">
      <c r="R244" s="288"/>
    </row>
    <row r="245">
      <c r="R245" s="288"/>
    </row>
    <row r="246">
      <c r="R246" s="288"/>
    </row>
    <row r="247">
      <c r="R247" s="288"/>
    </row>
    <row r="248">
      <c r="R248" s="288"/>
    </row>
    <row r="249">
      <c r="R249" s="288"/>
    </row>
    <row r="250">
      <c r="R250" s="288"/>
    </row>
    <row r="251">
      <c r="R251" s="288"/>
    </row>
    <row r="252">
      <c r="R252" s="288"/>
    </row>
    <row r="253">
      <c r="R253" s="288"/>
    </row>
    <row r="254">
      <c r="R254" s="288"/>
    </row>
    <row r="255">
      <c r="R255" s="288"/>
    </row>
    <row r="256">
      <c r="R256" s="288"/>
    </row>
    <row r="257">
      <c r="R257" s="288"/>
    </row>
    <row r="258">
      <c r="R258" s="288"/>
    </row>
    <row r="259">
      <c r="R259" s="288"/>
    </row>
    <row r="260">
      <c r="R260" s="288"/>
    </row>
    <row r="261">
      <c r="R261" s="288"/>
    </row>
    <row r="262">
      <c r="R262" s="288"/>
    </row>
    <row r="263">
      <c r="R263" s="288"/>
    </row>
    <row r="264">
      <c r="R264" s="288"/>
    </row>
    <row r="265">
      <c r="R265" s="288"/>
    </row>
    <row r="266">
      <c r="R266" s="288"/>
    </row>
    <row r="267">
      <c r="R267" s="288"/>
    </row>
    <row r="268">
      <c r="R268" s="288"/>
    </row>
    <row r="269">
      <c r="R269" s="288"/>
    </row>
    <row r="270">
      <c r="R270" s="288"/>
    </row>
    <row r="271">
      <c r="R271" s="288"/>
    </row>
    <row r="272">
      <c r="R272" s="288"/>
    </row>
    <row r="273">
      <c r="R273" s="288"/>
    </row>
    <row r="274">
      <c r="R274" s="288"/>
    </row>
    <row r="275">
      <c r="R275" s="288"/>
    </row>
    <row r="276">
      <c r="R276" s="288"/>
    </row>
    <row r="277">
      <c r="R277" s="288"/>
    </row>
    <row r="278">
      <c r="R278" s="288"/>
    </row>
    <row r="279">
      <c r="R279" s="288"/>
    </row>
    <row r="280">
      <c r="R280" s="288"/>
    </row>
    <row r="281">
      <c r="R281" s="288"/>
    </row>
    <row r="282">
      <c r="R282" s="288"/>
    </row>
    <row r="283">
      <c r="R283" s="288"/>
    </row>
    <row r="284">
      <c r="R284" s="288"/>
    </row>
    <row r="285">
      <c r="R285" s="288"/>
    </row>
    <row r="286">
      <c r="R286" s="288"/>
    </row>
    <row r="287">
      <c r="R287" s="288"/>
    </row>
    <row r="288">
      <c r="R288" s="288"/>
    </row>
    <row r="289">
      <c r="R289" s="288"/>
    </row>
    <row r="290">
      <c r="R290" s="288"/>
    </row>
    <row r="291">
      <c r="R291" s="288"/>
    </row>
    <row r="292">
      <c r="R292" s="288"/>
    </row>
    <row r="293">
      <c r="R293" s="288"/>
    </row>
    <row r="294">
      <c r="R294" s="288"/>
    </row>
    <row r="295">
      <c r="R295" s="288"/>
    </row>
    <row r="296">
      <c r="R296" s="288"/>
    </row>
    <row r="297">
      <c r="R297" s="288"/>
    </row>
    <row r="298">
      <c r="R298" s="288"/>
    </row>
    <row r="299">
      <c r="R299" s="288"/>
    </row>
    <row r="300">
      <c r="R300" s="288"/>
    </row>
    <row r="301">
      <c r="R301" s="288"/>
    </row>
    <row r="302">
      <c r="R302" s="288"/>
    </row>
    <row r="303">
      <c r="R303" s="288"/>
    </row>
    <row r="304">
      <c r="R304" s="288"/>
    </row>
    <row r="305">
      <c r="R305" s="288"/>
    </row>
    <row r="306">
      <c r="R306" s="288"/>
    </row>
    <row r="307">
      <c r="R307" s="288"/>
    </row>
    <row r="308">
      <c r="R308" s="288"/>
    </row>
    <row r="309">
      <c r="R309" s="288"/>
    </row>
    <row r="310">
      <c r="R310" s="288"/>
    </row>
    <row r="311">
      <c r="R311" s="288"/>
    </row>
    <row r="312">
      <c r="R312" s="288"/>
    </row>
    <row r="313">
      <c r="R313" s="288"/>
    </row>
    <row r="314">
      <c r="R314" s="288"/>
    </row>
    <row r="315">
      <c r="R315" s="288"/>
    </row>
    <row r="316">
      <c r="R316" s="288"/>
    </row>
    <row r="317">
      <c r="R317" s="288"/>
    </row>
    <row r="318">
      <c r="R318" s="288"/>
    </row>
    <row r="319">
      <c r="R319" s="288"/>
    </row>
    <row r="320">
      <c r="R320" s="288"/>
    </row>
    <row r="321">
      <c r="R321" s="288"/>
    </row>
    <row r="322">
      <c r="R322" s="288"/>
    </row>
    <row r="323">
      <c r="R323" s="288"/>
    </row>
    <row r="324">
      <c r="R324" s="288"/>
    </row>
    <row r="325">
      <c r="R325" s="288"/>
    </row>
    <row r="326">
      <c r="R326" s="288"/>
    </row>
    <row r="327">
      <c r="R327" s="288"/>
    </row>
    <row r="328">
      <c r="R328" s="288"/>
    </row>
    <row r="329">
      <c r="R329" s="288"/>
    </row>
    <row r="330">
      <c r="R330" s="288"/>
    </row>
    <row r="331">
      <c r="R331" s="288"/>
    </row>
    <row r="332">
      <c r="R332" s="288"/>
    </row>
    <row r="333">
      <c r="R333" s="288"/>
    </row>
    <row r="334">
      <c r="R334" s="288"/>
    </row>
    <row r="335">
      <c r="R335" s="288"/>
    </row>
    <row r="336">
      <c r="R336" s="288"/>
    </row>
    <row r="337">
      <c r="R337" s="288"/>
    </row>
    <row r="338">
      <c r="R338" s="288"/>
    </row>
    <row r="339">
      <c r="R339" s="288"/>
    </row>
    <row r="340">
      <c r="R340" s="288"/>
    </row>
    <row r="341">
      <c r="R341" s="288"/>
    </row>
    <row r="342">
      <c r="R342" s="288"/>
    </row>
    <row r="343">
      <c r="R343" s="288"/>
    </row>
    <row r="344">
      <c r="R344" s="288"/>
    </row>
    <row r="345">
      <c r="R345" s="288"/>
    </row>
    <row r="346">
      <c r="R346" s="288"/>
    </row>
    <row r="347">
      <c r="R347" s="288"/>
    </row>
    <row r="348">
      <c r="R348" s="288"/>
    </row>
    <row r="349">
      <c r="R349" s="288"/>
    </row>
    <row r="350">
      <c r="R350" s="288"/>
    </row>
    <row r="351">
      <c r="R351" s="288"/>
    </row>
    <row r="352">
      <c r="R352" s="288"/>
    </row>
    <row r="353">
      <c r="R353" s="288"/>
    </row>
    <row r="354">
      <c r="R354" s="288"/>
    </row>
    <row r="355">
      <c r="R355" s="288"/>
    </row>
    <row r="356">
      <c r="R356" s="288"/>
    </row>
    <row r="357">
      <c r="R357" s="288"/>
    </row>
    <row r="358">
      <c r="R358" s="288"/>
    </row>
    <row r="359">
      <c r="R359" s="288"/>
    </row>
    <row r="360">
      <c r="R360" s="288"/>
    </row>
    <row r="361">
      <c r="R361" s="288"/>
    </row>
    <row r="362">
      <c r="R362" s="288"/>
    </row>
    <row r="363">
      <c r="R363" s="288"/>
    </row>
    <row r="364">
      <c r="R364" s="288"/>
    </row>
    <row r="365">
      <c r="R365" s="288"/>
    </row>
    <row r="366">
      <c r="R366" s="288"/>
    </row>
    <row r="367">
      <c r="R367" s="288"/>
    </row>
    <row r="368">
      <c r="R368" s="288"/>
    </row>
    <row r="369">
      <c r="R369" s="288"/>
    </row>
    <row r="370">
      <c r="R370" s="288"/>
    </row>
    <row r="371">
      <c r="R371" s="288"/>
    </row>
    <row r="372">
      <c r="R372" s="288"/>
    </row>
    <row r="373">
      <c r="R373" s="288"/>
    </row>
    <row r="374">
      <c r="R374" s="288"/>
    </row>
    <row r="375">
      <c r="R375" s="288"/>
    </row>
    <row r="376">
      <c r="R376" s="288"/>
    </row>
    <row r="377">
      <c r="R377" s="288"/>
    </row>
    <row r="378">
      <c r="R378" s="288"/>
    </row>
    <row r="379">
      <c r="R379" s="288"/>
    </row>
    <row r="380">
      <c r="R380" s="288"/>
    </row>
    <row r="381">
      <c r="R381" s="288"/>
    </row>
    <row r="382">
      <c r="R382" s="288"/>
    </row>
    <row r="383">
      <c r="R383" s="288"/>
    </row>
    <row r="384">
      <c r="R384" s="288"/>
    </row>
    <row r="385">
      <c r="R385" s="288"/>
    </row>
    <row r="386">
      <c r="R386" s="288"/>
    </row>
    <row r="387">
      <c r="R387" s="288"/>
    </row>
    <row r="388">
      <c r="R388" s="288"/>
    </row>
    <row r="389">
      <c r="R389" s="288"/>
    </row>
    <row r="390">
      <c r="R390" s="288"/>
    </row>
    <row r="391">
      <c r="R391" s="288"/>
    </row>
    <row r="392">
      <c r="R392" s="288"/>
    </row>
    <row r="393">
      <c r="R393" s="288"/>
    </row>
    <row r="394">
      <c r="R394" s="288"/>
    </row>
    <row r="395">
      <c r="R395" s="288"/>
    </row>
    <row r="396">
      <c r="R396" s="288"/>
    </row>
    <row r="397">
      <c r="R397" s="288"/>
    </row>
    <row r="398">
      <c r="R398" s="288"/>
    </row>
    <row r="399">
      <c r="R399" s="288"/>
    </row>
    <row r="400">
      <c r="R400" s="288"/>
    </row>
    <row r="401">
      <c r="R401" s="288"/>
    </row>
    <row r="402">
      <c r="R402" s="288"/>
    </row>
    <row r="403">
      <c r="R403" s="288"/>
    </row>
    <row r="404">
      <c r="R404" s="288"/>
    </row>
    <row r="405">
      <c r="R405" s="288"/>
    </row>
    <row r="406">
      <c r="R406" s="288"/>
    </row>
    <row r="407">
      <c r="R407" s="288"/>
    </row>
    <row r="408">
      <c r="R408" s="288"/>
    </row>
    <row r="409">
      <c r="R409" s="288"/>
    </row>
    <row r="410">
      <c r="R410" s="288"/>
    </row>
    <row r="411">
      <c r="R411" s="288"/>
    </row>
    <row r="412">
      <c r="R412" s="288"/>
    </row>
    <row r="413">
      <c r="R413" s="288"/>
    </row>
    <row r="414">
      <c r="R414" s="288"/>
    </row>
    <row r="415">
      <c r="R415" s="288"/>
    </row>
    <row r="416">
      <c r="R416" s="288"/>
    </row>
    <row r="417">
      <c r="R417" s="288"/>
    </row>
    <row r="418">
      <c r="R418" s="288"/>
    </row>
    <row r="419">
      <c r="R419" s="288"/>
    </row>
    <row r="420">
      <c r="R420" s="288"/>
    </row>
    <row r="421">
      <c r="R421" s="288"/>
    </row>
    <row r="422">
      <c r="R422" s="288"/>
    </row>
    <row r="423">
      <c r="R423" s="288"/>
    </row>
    <row r="424">
      <c r="R424" s="288"/>
    </row>
    <row r="425">
      <c r="R425" s="288"/>
    </row>
    <row r="426">
      <c r="R426" s="288"/>
    </row>
    <row r="427">
      <c r="R427" s="288"/>
    </row>
    <row r="428">
      <c r="R428" s="288"/>
    </row>
    <row r="429">
      <c r="R429" s="288"/>
    </row>
    <row r="430">
      <c r="R430" s="288"/>
    </row>
    <row r="431">
      <c r="R431" s="288"/>
    </row>
    <row r="432">
      <c r="R432" s="288"/>
    </row>
    <row r="433">
      <c r="R433" s="288"/>
    </row>
    <row r="434">
      <c r="R434" s="288"/>
    </row>
    <row r="435">
      <c r="R435" s="288"/>
    </row>
    <row r="436">
      <c r="R436" s="288"/>
    </row>
    <row r="437">
      <c r="R437" s="288"/>
    </row>
    <row r="438">
      <c r="R438" s="288"/>
    </row>
    <row r="439">
      <c r="R439" s="288"/>
    </row>
    <row r="440">
      <c r="R440" s="288"/>
    </row>
    <row r="441">
      <c r="R441" s="288"/>
    </row>
    <row r="442">
      <c r="R442" s="288"/>
    </row>
    <row r="443">
      <c r="R443" s="288"/>
    </row>
    <row r="444">
      <c r="R444" s="288"/>
    </row>
    <row r="445">
      <c r="R445" s="288"/>
    </row>
    <row r="446">
      <c r="R446" s="288"/>
    </row>
    <row r="447">
      <c r="R447" s="288"/>
    </row>
    <row r="448">
      <c r="R448" s="288"/>
    </row>
    <row r="449">
      <c r="R449" s="288"/>
    </row>
    <row r="450">
      <c r="R450" s="288"/>
    </row>
    <row r="451">
      <c r="R451" s="288"/>
    </row>
    <row r="452">
      <c r="R452" s="288"/>
    </row>
    <row r="453">
      <c r="R453" s="288"/>
    </row>
    <row r="454">
      <c r="R454" s="288"/>
    </row>
    <row r="455">
      <c r="R455" s="288"/>
    </row>
    <row r="456">
      <c r="R456" s="288"/>
    </row>
    <row r="457">
      <c r="R457" s="288"/>
    </row>
    <row r="458">
      <c r="R458" s="288"/>
    </row>
    <row r="459">
      <c r="R459" s="288"/>
    </row>
    <row r="460">
      <c r="R460" s="288"/>
    </row>
    <row r="461">
      <c r="R461" s="288"/>
    </row>
    <row r="462">
      <c r="R462" s="288"/>
    </row>
    <row r="463">
      <c r="R463" s="288"/>
    </row>
    <row r="464">
      <c r="R464" s="288"/>
    </row>
    <row r="465">
      <c r="R465" s="288"/>
    </row>
    <row r="466">
      <c r="R466" s="288"/>
    </row>
    <row r="467">
      <c r="R467" s="288"/>
    </row>
    <row r="468">
      <c r="R468" s="288"/>
    </row>
    <row r="469">
      <c r="R469" s="288"/>
    </row>
    <row r="470">
      <c r="R470" s="288"/>
    </row>
    <row r="471">
      <c r="R471" s="288"/>
    </row>
    <row r="472">
      <c r="R472" s="288"/>
    </row>
    <row r="473">
      <c r="R473" s="288"/>
    </row>
    <row r="474">
      <c r="R474" s="288"/>
    </row>
    <row r="475">
      <c r="R475" s="288"/>
    </row>
    <row r="476">
      <c r="R476" s="288"/>
    </row>
    <row r="477">
      <c r="R477" s="288"/>
    </row>
    <row r="478">
      <c r="R478" s="288"/>
    </row>
    <row r="479">
      <c r="R479" s="288"/>
    </row>
    <row r="480">
      <c r="R480" s="288"/>
    </row>
    <row r="481">
      <c r="R481" s="288"/>
    </row>
    <row r="482">
      <c r="R482" s="288"/>
    </row>
    <row r="483">
      <c r="R483" s="288"/>
    </row>
    <row r="484">
      <c r="R484" s="288"/>
    </row>
    <row r="485">
      <c r="R485" s="288"/>
    </row>
    <row r="486">
      <c r="R486" s="288"/>
    </row>
    <row r="487">
      <c r="R487" s="288"/>
    </row>
    <row r="488">
      <c r="R488" s="288"/>
    </row>
    <row r="489">
      <c r="R489" s="288"/>
    </row>
    <row r="490">
      <c r="R490" s="288"/>
    </row>
    <row r="491">
      <c r="R491" s="288"/>
    </row>
    <row r="492">
      <c r="R492" s="288"/>
    </row>
    <row r="493">
      <c r="R493" s="288"/>
    </row>
    <row r="494">
      <c r="R494" s="288"/>
    </row>
    <row r="495">
      <c r="R495" s="288"/>
    </row>
    <row r="496">
      <c r="R496" s="288"/>
    </row>
    <row r="497">
      <c r="R497" s="288"/>
    </row>
    <row r="498">
      <c r="R498" s="288"/>
    </row>
    <row r="499">
      <c r="R499" s="288"/>
    </row>
    <row r="500">
      <c r="R500" s="288"/>
    </row>
    <row r="501">
      <c r="R501" s="288"/>
    </row>
    <row r="502">
      <c r="R502" s="288"/>
    </row>
    <row r="503">
      <c r="R503" s="288"/>
    </row>
    <row r="504">
      <c r="R504" s="288"/>
    </row>
    <row r="505">
      <c r="R505" s="288"/>
    </row>
    <row r="506">
      <c r="R506" s="288"/>
    </row>
    <row r="507">
      <c r="R507" s="288"/>
    </row>
    <row r="508">
      <c r="R508" s="288"/>
    </row>
    <row r="509">
      <c r="R509" s="288"/>
    </row>
    <row r="510">
      <c r="R510" s="288"/>
    </row>
    <row r="511">
      <c r="R511" s="288"/>
    </row>
    <row r="512">
      <c r="R512" s="288"/>
    </row>
    <row r="513">
      <c r="R513" s="288"/>
    </row>
    <row r="514">
      <c r="R514" s="288"/>
    </row>
    <row r="515">
      <c r="R515" s="288"/>
    </row>
    <row r="516">
      <c r="R516" s="288"/>
    </row>
    <row r="517">
      <c r="R517" s="288"/>
    </row>
    <row r="518">
      <c r="R518" s="288"/>
    </row>
    <row r="519">
      <c r="R519" s="288"/>
    </row>
    <row r="520">
      <c r="R520" s="288"/>
    </row>
    <row r="521">
      <c r="R521" s="288"/>
    </row>
    <row r="522">
      <c r="R522" s="288"/>
    </row>
    <row r="523">
      <c r="R523" s="288"/>
    </row>
    <row r="524">
      <c r="R524" s="288"/>
    </row>
    <row r="525">
      <c r="R525" s="288"/>
    </row>
    <row r="526">
      <c r="R526" s="288"/>
    </row>
    <row r="527">
      <c r="R527" s="288"/>
    </row>
    <row r="528">
      <c r="R528" s="288"/>
    </row>
    <row r="529">
      <c r="R529" s="288"/>
    </row>
    <row r="530">
      <c r="R530" s="288"/>
    </row>
    <row r="531">
      <c r="R531" s="288"/>
    </row>
    <row r="532">
      <c r="R532" s="288"/>
    </row>
    <row r="533">
      <c r="R533" s="288"/>
    </row>
    <row r="534">
      <c r="R534" s="288"/>
    </row>
    <row r="535">
      <c r="R535" s="288"/>
    </row>
    <row r="536">
      <c r="R536" s="288"/>
    </row>
    <row r="537">
      <c r="R537" s="288"/>
    </row>
    <row r="538">
      <c r="R538" s="288"/>
    </row>
    <row r="539">
      <c r="R539" s="288"/>
    </row>
    <row r="540">
      <c r="R540" s="288"/>
    </row>
    <row r="541">
      <c r="R541" s="288"/>
    </row>
    <row r="542">
      <c r="R542" s="288"/>
    </row>
    <row r="543">
      <c r="R543" s="288"/>
    </row>
    <row r="544">
      <c r="R544" s="288"/>
    </row>
    <row r="545">
      <c r="R545" s="288"/>
    </row>
    <row r="546">
      <c r="R546" s="288"/>
    </row>
    <row r="547">
      <c r="R547" s="288"/>
    </row>
    <row r="548">
      <c r="R548" s="288"/>
    </row>
    <row r="549">
      <c r="R549" s="288"/>
    </row>
    <row r="550">
      <c r="R550" s="288"/>
    </row>
    <row r="551">
      <c r="R551" s="288"/>
    </row>
    <row r="552">
      <c r="R552" s="288"/>
    </row>
    <row r="553">
      <c r="R553" s="288"/>
    </row>
    <row r="554">
      <c r="R554" s="288"/>
    </row>
    <row r="555">
      <c r="R555" s="288"/>
    </row>
    <row r="556">
      <c r="R556" s="288"/>
    </row>
    <row r="557">
      <c r="R557" s="288"/>
    </row>
    <row r="558">
      <c r="R558" s="288"/>
    </row>
    <row r="559">
      <c r="R559" s="288"/>
    </row>
    <row r="560">
      <c r="R560" s="288"/>
    </row>
    <row r="561">
      <c r="R561" s="288"/>
    </row>
    <row r="562">
      <c r="R562" s="288"/>
    </row>
    <row r="563">
      <c r="R563" s="288"/>
    </row>
    <row r="564">
      <c r="R564" s="288"/>
    </row>
    <row r="565">
      <c r="R565" s="288"/>
    </row>
    <row r="566">
      <c r="R566" s="288"/>
    </row>
    <row r="567">
      <c r="R567" s="288"/>
    </row>
    <row r="568">
      <c r="R568" s="288"/>
    </row>
    <row r="569">
      <c r="R569" s="288"/>
    </row>
    <row r="570">
      <c r="R570" s="288"/>
    </row>
    <row r="571">
      <c r="R571" s="288"/>
    </row>
    <row r="572">
      <c r="R572" s="288"/>
    </row>
    <row r="573">
      <c r="R573" s="288"/>
    </row>
    <row r="574">
      <c r="R574" s="288"/>
    </row>
    <row r="575">
      <c r="R575" s="288"/>
    </row>
    <row r="576">
      <c r="R576" s="288"/>
    </row>
    <row r="577">
      <c r="R577" s="288"/>
    </row>
    <row r="578">
      <c r="R578" s="288"/>
    </row>
    <row r="579">
      <c r="R579" s="288"/>
    </row>
    <row r="580">
      <c r="R580" s="288"/>
    </row>
    <row r="581">
      <c r="R581" s="288"/>
    </row>
    <row r="582">
      <c r="R582" s="288"/>
    </row>
    <row r="583">
      <c r="R583" s="288"/>
    </row>
    <row r="584">
      <c r="R584" s="288"/>
    </row>
    <row r="585">
      <c r="R585" s="288"/>
    </row>
    <row r="586">
      <c r="R586" s="288"/>
    </row>
    <row r="587">
      <c r="R587" s="288"/>
    </row>
    <row r="588">
      <c r="R588" s="288"/>
    </row>
    <row r="589">
      <c r="R589" s="288"/>
    </row>
    <row r="590">
      <c r="R590" s="288"/>
    </row>
    <row r="591">
      <c r="R591" s="288"/>
    </row>
    <row r="592">
      <c r="R592" s="288"/>
    </row>
    <row r="593">
      <c r="R593" s="288"/>
    </row>
    <row r="594">
      <c r="R594" s="288"/>
    </row>
    <row r="595">
      <c r="R595" s="288"/>
    </row>
    <row r="596">
      <c r="R596" s="288"/>
    </row>
    <row r="597">
      <c r="R597" s="288"/>
    </row>
    <row r="598">
      <c r="R598" s="288"/>
    </row>
    <row r="599">
      <c r="R599" s="288"/>
    </row>
    <row r="600">
      <c r="R600" s="288"/>
    </row>
    <row r="601">
      <c r="R601" s="288"/>
    </row>
    <row r="602">
      <c r="R602" s="288"/>
    </row>
    <row r="603">
      <c r="R603" s="288"/>
    </row>
    <row r="604">
      <c r="R604" s="288"/>
    </row>
    <row r="605">
      <c r="R605" s="288"/>
    </row>
    <row r="606">
      <c r="R606" s="288"/>
    </row>
    <row r="607">
      <c r="R607" s="288"/>
    </row>
    <row r="608">
      <c r="R608" s="288"/>
    </row>
    <row r="609">
      <c r="R609" s="288"/>
    </row>
    <row r="610">
      <c r="R610" s="288"/>
    </row>
    <row r="611">
      <c r="R611" s="288"/>
    </row>
    <row r="612">
      <c r="R612" s="288"/>
    </row>
    <row r="613">
      <c r="R613" s="288"/>
    </row>
    <row r="614">
      <c r="R614" s="288"/>
    </row>
    <row r="615">
      <c r="R615" s="288"/>
    </row>
    <row r="616">
      <c r="R616" s="288"/>
    </row>
    <row r="617">
      <c r="R617" s="288"/>
    </row>
    <row r="618">
      <c r="R618" s="288"/>
    </row>
    <row r="619">
      <c r="R619" s="288"/>
    </row>
    <row r="620">
      <c r="R620" s="288"/>
    </row>
    <row r="621">
      <c r="R621" s="288"/>
    </row>
    <row r="622">
      <c r="R622" s="288"/>
    </row>
    <row r="623">
      <c r="R623" s="288"/>
    </row>
    <row r="624">
      <c r="R624" s="288"/>
    </row>
    <row r="625">
      <c r="R625" s="288"/>
    </row>
    <row r="626">
      <c r="R626" s="288"/>
    </row>
    <row r="627">
      <c r="R627" s="288"/>
    </row>
    <row r="628">
      <c r="R628" s="288"/>
    </row>
    <row r="629">
      <c r="R629" s="288"/>
    </row>
    <row r="630">
      <c r="R630" s="288"/>
    </row>
    <row r="631">
      <c r="R631" s="288"/>
    </row>
    <row r="632">
      <c r="R632" s="288"/>
    </row>
    <row r="633">
      <c r="R633" s="288"/>
    </row>
    <row r="634">
      <c r="R634" s="288"/>
    </row>
    <row r="635">
      <c r="R635" s="288"/>
    </row>
    <row r="636">
      <c r="R636" s="288"/>
    </row>
    <row r="637">
      <c r="R637" s="288"/>
    </row>
    <row r="638">
      <c r="R638" s="288"/>
    </row>
    <row r="639">
      <c r="R639" s="288"/>
    </row>
    <row r="640">
      <c r="R640" s="288"/>
    </row>
    <row r="641">
      <c r="R641" s="288"/>
    </row>
    <row r="642">
      <c r="R642" s="288"/>
    </row>
    <row r="643">
      <c r="R643" s="288"/>
    </row>
    <row r="644">
      <c r="R644" s="288"/>
    </row>
    <row r="645">
      <c r="R645" s="288"/>
    </row>
    <row r="646">
      <c r="R646" s="288"/>
    </row>
    <row r="647">
      <c r="R647" s="288"/>
    </row>
    <row r="648">
      <c r="R648" s="288"/>
    </row>
    <row r="649">
      <c r="R649" s="288"/>
    </row>
    <row r="650">
      <c r="R650" s="288"/>
    </row>
    <row r="651">
      <c r="R651" s="288"/>
    </row>
    <row r="652">
      <c r="R652" s="288"/>
    </row>
    <row r="653">
      <c r="R653" s="288"/>
    </row>
    <row r="654">
      <c r="R654" s="288"/>
    </row>
    <row r="655">
      <c r="R655" s="288"/>
    </row>
    <row r="656">
      <c r="R656" s="288"/>
    </row>
    <row r="657">
      <c r="R657" s="288"/>
    </row>
    <row r="658">
      <c r="R658" s="288"/>
    </row>
    <row r="659">
      <c r="R659" s="288"/>
    </row>
    <row r="660">
      <c r="R660" s="288"/>
    </row>
    <row r="661">
      <c r="R661" s="288"/>
    </row>
    <row r="662">
      <c r="R662" s="288"/>
    </row>
    <row r="663">
      <c r="R663" s="288"/>
    </row>
    <row r="664">
      <c r="R664" s="288"/>
    </row>
    <row r="665">
      <c r="R665" s="288"/>
    </row>
    <row r="666">
      <c r="R666" s="288"/>
    </row>
    <row r="667">
      <c r="R667" s="288"/>
    </row>
    <row r="668">
      <c r="R668" s="288"/>
    </row>
    <row r="669">
      <c r="R669" s="288"/>
    </row>
    <row r="670">
      <c r="R670" s="288"/>
    </row>
    <row r="671">
      <c r="R671" s="288"/>
    </row>
    <row r="672">
      <c r="R672" s="288"/>
    </row>
    <row r="673">
      <c r="R673" s="288"/>
    </row>
    <row r="674">
      <c r="R674" s="288"/>
    </row>
    <row r="675">
      <c r="R675" s="288"/>
    </row>
    <row r="676">
      <c r="R676" s="288"/>
    </row>
    <row r="677">
      <c r="R677" s="288"/>
    </row>
    <row r="678">
      <c r="R678" s="288"/>
    </row>
    <row r="679">
      <c r="R679" s="288"/>
    </row>
    <row r="680">
      <c r="R680" s="288"/>
    </row>
    <row r="681">
      <c r="R681" s="288"/>
    </row>
    <row r="682">
      <c r="R682" s="288"/>
    </row>
    <row r="683">
      <c r="R683" s="288"/>
    </row>
    <row r="684">
      <c r="R684" s="288"/>
    </row>
    <row r="685">
      <c r="R685" s="288"/>
    </row>
    <row r="686">
      <c r="R686" s="288"/>
    </row>
    <row r="687">
      <c r="R687" s="288"/>
    </row>
    <row r="688">
      <c r="R688" s="288"/>
    </row>
    <row r="689">
      <c r="R689" s="288"/>
    </row>
    <row r="690">
      <c r="R690" s="288"/>
    </row>
    <row r="691">
      <c r="R691" s="288"/>
    </row>
    <row r="692">
      <c r="R692" s="288"/>
    </row>
    <row r="693">
      <c r="R693" s="288"/>
    </row>
    <row r="694">
      <c r="R694" s="288"/>
    </row>
    <row r="695">
      <c r="R695" s="288"/>
    </row>
    <row r="696">
      <c r="R696" s="288"/>
    </row>
    <row r="697">
      <c r="R697" s="288"/>
    </row>
    <row r="698">
      <c r="R698" s="288"/>
    </row>
    <row r="699">
      <c r="R699" s="288"/>
    </row>
    <row r="700">
      <c r="R700" s="288"/>
    </row>
    <row r="701">
      <c r="R701" s="288"/>
    </row>
    <row r="702">
      <c r="R702" s="288"/>
    </row>
    <row r="703">
      <c r="R703" s="288"/>
    </row>
    <row r="704">
      <c r="R704" s="288"/>
    </row>
    <row r="705">
      <c r="R705" s="288"/>
    </row>
    <row r="706">
      <c r="R706" s="288"/>
    </row>
    <row r="707">
      <c r="R707" s="288"/>
    </row>
    <row r="708">
      <c r="R708" s="288"/>
    </row>
    <row r="709">
      <c r="R709" s="288"/>
    </row>
    <row r="710">
      <c r="R710" s="288"/>
    </row>
    <row r="711">
      <c r="R711" s="288"/>
    </row>
    <row r="712">
      <c r="R712" s="288"/>
    </row>
    <row r="713">
      <c r="R713" s="288"/>
    </row>
    <row r="714">
      <c r="R714" s="288"/>
    </row>
    <row r="715">
      <c r="R715" s="288"/>
    </row>
    <row r="716">
      <c r="R716" s="288"/>
    </row>
    <row r="717">
      <c r="R717" s="288"/>
    </row>
    <row r="718">
      <c r="R718" s="288"/>
    </row>
    <row r="719">
      <c r="R719" s="288"/>
    </row>
    <row r="720">
      <c r="R720" s="288"/>
    </row>
    <row r="721">
      <c r="R721" s="288"/>
    </row>
    <row r="722">
      <c r="R722" s="288"/>
    </row>
    <row r="723">
      <c r="R723" s="288"/>
    </row>
    <row r="724">
      <c r="R724" s="288"/>
    </row>
    <row r="725">
      <c r="R725" s="288"/>
    </row>
    <row r="726">
      <c r="R726" s="288"/>
    </row>
    <row r="727">
      <c r="R727" s="288"/>
    </row>
    <row r="728">
      <c r="R728" s="288"/>
    </row>
    <row r="729">
      <c r="R729" s="288"/>
    </row>
    <row r="730">
      <c r="R730" s="288"/>
    </row>
    <row r="731">
      <c r="R731" s="288"/>
    </row>
    <row r="732">
      <c r="R732" s="288"/>
    </row>
    <row r="733">
      <c r="R733" s="288"/>
    </row>
    <row r="734">
      <c r="R734" s="288"/>
    </row>
    <row r="735">
      <c r="R735" s="288"/>
    </row>
    <row r="736">
      <c r="R736" s="288"/>
    </row>
    <row r="737">
      <c r="R737" s="288"/>
    </row>
    <row r="738">
      <c r="R738" s="288"/>
    </row>
    <row r="739">
      <c r="R739" s="288"/>
    </row>
    <row r="740">
      <c r="R740" s="288"/>
    </row>
    <row r="741">
      <c r="R741" s="288"/>
    </row>
    <row r="742">
      <c r="R742" s="288"/>
    </row>
    <row r="743">
      <c r="R743" s="288"/>
    </row>
    <row r="744">
      <c r="R744" s="288"/>
    </row>
    <row r="745">
      <c r="R745" s="288"/>
    </row>
    <row r="746">
      <c r="R746" s="288"/>
    </row>
    <row r="747">
      <c r="R747" s="288"/>
    </row>
    <row r="748">
      <c r="R748" s="288"/>
    </row>
    <row r="749">
      <c r="R749" s="288"/>
    </row>
    <row r="750">
      <c r="R750" s="288"/>
    </row>
    <row r="751">
      <c r="R751" s="288"/>
    </row>
    <row r="752">
      <c r="R752" s="288"/>
    </row>
    <row r="753">
      <c r="R753" s="288"/>
    </row>
    <row r="754">
      <c r="R754" s="288"/>
    </row>
    <row r="755">
      <c r="R755" s="288"/>
    </row>
    <row r="756">
      <c r="R756" s="288"/>
    </row>
    <row r="757">
      <c r="R757" s="288"/>
    </row>
    <row r="758">
      <c r="R758" s="288"/>
    </row>
    <row r="759">
      <c r="R759" s="288"/>
    </row>
    <row r="760">
      <c r="R760" s="288"/>
    </row>
    <row r="761">
      <c r="R761" s="288"/>
    </row>
    <row r="762">
      <c r="R762" s="288"/>
    </row>
    <row r="763">
      <c r="R763" s="288"/>
    </row>
    <row r="764">
      <c r="R764" s="288"/>
    </row>
    <row r="765">
      <c r="R765" s="288"/>
    </row>
    <row r="766">
      <c r="R766" s="288"/>
    </row>
    <row r="767">
      <c r="R767" s="288"/>
    </row>
    <row r="768">
      <c r="R768" s="288"/>
    </row>
    <row r="769">
      <c r="R769" s="288"/>
    </row>
    <row r="770">
      <c r="R770" s="288"/>
    </row>
    <row r="771">
      <c r="R771" s="288"/>
    </row>
    <row r="772">
      <c r="R772" s="288"/>
    </row>
    <row r="773">
      <c r="R773" s="288"/>
    </row>
    <row r="774">
      <c r="R774" s="288"/>
    </row>
    <row r="775">
      <c r="R775" s="288"/>
    </row>
    <row r="776">
      <c r="R776" s="288"/>
    </row>
    <row r="777">
      <c r="R777" s="288"/>
    </row>
    <row r="778">
      <c r="R778" s="288"/>
    </row>
    <row r="779">
      <c r="R779" s="288"/>
    </row>
    <row r="780">
      <c r="R780" s="288"/>
    </row>
    <row r="781">
      <c r="R781" s="288"/>
    </row>
    <row r="782">
      <c r="R782" s="288"/>
    </row>
    <row r="783">
      <c r="R783" s="288"/>
    </row>
    <row r="784">
      <c r="R784" s="288"/>
    </row>
    <row r="785">
      <c r="R785" s="288"/>
    </row>
    <row r="786">
      <c r="R786" s="288"/>
    </row>
    <row r="787">
      <c r="R787" s="288"/>
    </row>
    <row r="788">
      <c r="R788" s="288"/>
    </row>
    <row r="789">
      <c r="R789" s="288"/>
    </row>
    <row r="790">
      <c r="R790" s="288"/>
    </row>
    <row r="791">
      <c r="R791" s="288"/>
    </row>
    <row r="792">
      <c r="R792" s="288"/>
    </row>
    <row r="793">
      <c r="R793" s="288"/>
    </row>
    <row r="794">
      <c r="R794" s="288"/>
    </row>
    <row r="795">
      <c r="R795" s="288"/>
    </row>
    <row r="796">
      <c r="R796" s="288"/>
    </row>
    <row r="797">
      <c r="R797" s="288"/>
    </row>
    <row r="798">
      <c r="R798" s="288"/>
    </row>
    <row r="799">
      <c r="R799" s="288"/>
    </row>
    <row r="800">
      <c r="R800" s="288"/>
    </row>
    <row r="801">
      <c r="R801" s="288"/>
    </row>
    <row r="802">
      <c r="R802" s="288"/>
    </row>
    <row r="803">
      <c r="R803" s="288"/>
    </row>
    <row r="804">
      <c r="R804" s="288"/>
    </row>
    <row r="805">
      <c r="R805" s="288"/>
    </row>
    <row r="806">
      <c r="R806" s="288"/>
    </row>
    <row r="807">
      <c r="R807" s="288"/>
    </row>
    <row r="808">
      <c r="R808" s="288"/>
    </row>
    <row r="809">
      <c r="R809" s="288"/>
    </row>
    <row r="810">
      <c r="R810" s="288"/>
    </row>
    <row r="811">
      <c r="R811" s="288"/>
    </row>
    <row r="812">
      <c r="R812" s="288"/>
    </row>
    <row r="813">
      <c r="R813" s="288"/>
    </row>
    <row r="814">
      <c r="R814" s="288"/>
    </row>
    <row r="815">
      <c r="R815" s="288"/>
    </row>
    <row r="816">
      <c r="R816" s="288"/>
    </row>
    <row r="817">
      <c r="R817" s="288"/>
    </row>
    <row r="818">
      <c r="R818" s="288"/>
    </row>
    <row r="819">
      <c r="R819" s="288"/>
    </row>
    <row r="820">
      <c r="R820" s="288"/>
    </row>
    <row r="821">
      <c r="R821" s="288"/>
    </row>
    <row r="822">
      <c r="R822" s="288"/>
    </row>
    <row r="823">
      <c r="R823" s="288"/>
    </row>
    <row r="824">
      <c r="R824" s="288"/>
    </row>
    <row r="825">
      <c r="R825" s="288"/>
    </row>
    <row r="826">
      <c r="R826" s="288"/>
    </row>
    <row r="827">
      <c r="R827" s="288"/>
    </row>
    <row r="828">
      <c r="R828" s="288"/>
    </row>
    <row r="829">
      <c r="R829" s="288"/>
    </row>
    <row r="830">
      <c r="R830" s="288"/>
    </row>
    <row r="831">
      <c r="R831" s="288"/>
    </row>
    <row r="832">
      <c r="R832" s="288"/>
    </row>
    <row r="833">
      <c r="R833" s="288"/>
    </row>
    <row r="834">
      <c r="R834" s="288"/>
    </row>
    <row r="835">
      <c r="R835" s="288"/>
    </row>
    <row r="836">
      <c r="R836" s="288"/>
    </row>
    <row r="837">
      <c r="R837" s="288"/>
    </row>
    <row r="838">
      <c r="R838" s="288"/>
    </row>
    <row r="839">
      <c r="R839" s="288"/>
    </row>
    <row r="840">
      <c r="R840" s="288"/>
    </row>
    <row r="841">
      <c r="R841" s="288"/>
    </row>
    <row r="842">
      <c r="R842" s="288"/>
    </row>
    <row r="843">
      <c r="R843" s="288"/>
    </row>
    <row r="844">
      <c r="R844" s="288"/>
    </row>
    <row r="845">
      <c r="R845" s="288"/>
    </row>
    <row r="846">
      <c r="R846" s="288"/>
    </row>
    <row r="847">
      <c r="R847" s="288"/>
    </row>
    <row r="848">
      <c r="R848" s="288"/>
    </row>
    <row r="849">
      <c r="R849" s="288"/>
    </row>
    <row r="850">
      <c r="R850" s="288"/>
    </row>
    <row r="851">
      <c r="R851" s="288"/>
    </row>
    <row r="852">
      <c r="R852" s="288"/>
    </row>
    <row r="853">
      <c r="R853" s="288"/>
    </row>
    <row r="854">
      <c r="R854" s="288"/>
    </row>
    <row r="855">
      <c r="R855" s="288"/>
    </row>
    <row r="856">
      <c r="R856" s="288"/>
    </row>
    <row r="857">
      <c r="R857" s="288"/>
    </row>
    <row r="858">
      <c r="R858" s="288"/>
    </row>
    <row r="859">
      <c r="R859" s="288"/>
    </row>
    <row r="860">
      <c r="R860" s="288"/>
    </row>
    <row r="861">
      <c r="R861" s="288"/>
    </row>
    <row r="862">
      <c r="R862" s="288"/>
    </row>
    <row r="863">
      <c r="R863" s="288"/>
    </row>
    <row r="864">
      <c r="R864" s="288"/>
    </row>
    <row r="865">
      <c r="R865" s="288"/>
    </row>
    <row r="866">
      <c r="R866" s="288"/>
    </row>
    <row r="867">
      <c r="R867" s="288"/>
    </row>
    <row r="868">
      <c r="R868" s="288"/>
    </row>
    <row r="869">
      <c r="R869" s="288"/>
    </row>
    <row r="870">
      <c r="R870" s="288"/>
    </row>
    <row r="871">
      <c r="R871" s="288"/>
    </row>
    <row r="872">
      <c r="R872" s="288"/>
    </row>
    <row r="873">
      <c r="R873" s="288"/>
    </row>
    <row r="874">
      <c r="R874" s="288"/>
    </row>
    <row r="875">
      <c r="R875" s="288"/>
    </row>
    <row r="876">
      <c r="R876" s="288"/>
    </row>
    <row r="877">
      <c r="R877" s="288"/>
    </row>
    <row r="878">
      <c r="R878" s="288"/>
    </row>
    <row r="879">
      <c r="R879" s="288"/>
    </row>
    <row r="880">
      <c r="R880" s="288"/>
    </row>
    <row r="881">
      <c r="R881" s="288"/>
    </row>
    <row r="882">
      <c r="R882" s="288"/>
    </row>
    <row r="883">
      <c r="R883" s="288"/>
    </row>
    <row r="884">
      <c r="R884" s="288"/>
    </row>
    <row r="885">
      <c r="R885" s="288"/>
    </row>
    <row r="886">
      <c r="R886" s="288"/>
    </row>
    <row r="887">
      <c r="R887" s="288"/>
    </row>
    <row r="888">
      <c r="R888" s="288"/>
    </row>
    <row r="889">
      <c r="R889" s="288"/>
    </row>
    <row r="890">
      <c r="R890" s="288"/>
    </row>
    <row r="891">
      <c r="R891" s="288"/>
    </row>
    <row r="892">
      <c r="R892" s="288"/>
    </row>
    <row r="893">
      <c r="R893" s="288"/>
    </row>
    <row r="894">
      <c r="R894" s="288"/>
    </row>
    <row r="895">
      <c r="R895" s="288"/>
    </row>
    <row r="896">
      <c r="R896" s="288"/>
    </row>
    <row r="897">
      <c r="R897" s="288"/>
    </row>
    <row r="898">
      <c r="R898" s="288"/>
    </row>
    <row r="899">
      <c r="R899" s="288"/>
    </row>
    <row r="900">
      <c r="R900" s="288"/>
    </row>
    <row r="901">
      <c r="R901" s="288"/>
    </row>
    <row r="902">
      <c r="R902" s="288"/>
    </row>
    <row r="903">
      <c r="R903" s="288"/>
    </row>
    <row r="904">
      <c r="R904" s="288"/>
    </row>
    <row r="905">
      <c r="R905" s="288"/>
    </row>
    <row r="906">
      <c r="R906" s="288"/>
    </row>
    <row r="907">
      <c r="R907" s="288"/>
    </row>
    <row r="908">
      <c r="R908" s="288"/>
    </row>
    <row r="909">
      <c r="R909" s="288"/>
    </row>
    <row r="910">
      <c r="R910" s="288"/>
    </row>
    <row r="911">
      <c r="R911" s="288"/>
    </row>
    <row r="912">
      <c r="R912" s="288"/>
    </row>
    <row r="913">
      <c r="R913" s="288"/>
    </row>
    <row r="914">
      <c r="R914" s="288"/>
    </row>
    <row r="915">
      <c r="R915" s="288"/>
    </row>
    <row r="916">
      <c r="R916" s="288"/>
    </row>
    <row r="917">
      <c r="R917" s="288"/>
    </row>
    <row r="918">
      <c r="R918" s="288"/>
    </row>
    <row r="919">
      <c r="R919" s="288"/>
    </row>
    <row r="920">
      <c r="R920" s="288"/>
    </row>
    <row r="921">
      <c r="R921" s="288"/>
    </row>
    <row r="922">
      <c r="R922" s="288"/>
    </row>
    <row r="923">
      <c r="R923" s="288"/>
    </row>
    <row r="924">
      <c r="R924" s="288"/>
    </row>
    <row r="925">
      <c r="R925" s="288"/>
    </row>
    <row r="926">
      <c r="R926" s="288"/>
    </row>
    <row r="927">
      <c r="R927" s="288"/>
    </row>
    <row r="928">
      <c r="R928" s="288"/>
    </row>
    <row r="929">
      <c r="R929" s="288"/>
    </row>
    <row r="930">
      <c r="R930" s="288"/>
    </row>
    <row r="931">
      <c r="R931" s="288"/>
    </row>
    <row r="932">
      <c r="R932" s="288"/>
    </row>
    <row r="933">
      <c r="R933" s="288"/>
    </row>
    <row r="934">
      <c r="R934" s="288"/>
    </row>
    <row r="935">
      <c r="R935" s="288"/>
    </row>
    <row r="936">
      <c r="R936" s="288"/>
    </row>
    <row r="937">
      <c r="R937" s="288"/>
    </row>
    <row r="938">
      <c r="R938" s="288"/>
    </row>
    <row r="939">
      <c r="R939" s="288"/>
    </row>
    <row r="940">
      <c r="R940" s="288"/>
    </row>
    <row r="941">
      <c r="R941" s="288"/>
    </row>
    <row r="942">
      <c r="R942" s="288"/>
    </row>
    <row r="943">
      <c r="R943" s="288"/>
    </row>
    <row r="944">
      <c r="R944" s="288"/>
    </row>
    <row r="945">
      <c r="R945" s="288"/>
    </row>
    <row r="946">
      <c r="R946" s="288"/>
    </row>
    <row r="947">
      <c r="R947" s="288"/>
    </row>
    <row r="948">
      <c r="R948" s="288"/>
    </row>
    <row r="949">
      <c r="R949" s="288"/>
    </row>
    <row r="950">
      <c r="R950" s="288"/>
    </row>
    <row r="951">
      <c r="R951" s="288"/>
    </row>
    <row r="952">
      <c r="R952" s="288"/>
    </row>
    <row r="953">
      <c r="R953" s="288"/>
    </row>
    <row r="954">
      <c r="R954" s="288"/>
    </row>
    <row r="955">
      <c r="R955" s="288"/>
    </row>
    <row r="956">
      <c r="R956" s="288"/>
    </row>
    <row r="957">
      <c r="R957" s="288"/>
    </row>
    <row r="958">
      <c r="R958" s="288"/>
    </row>
    <row r="959">
      <c r="R959" s="288"/>
    </row>
    <row r="960">
      <c r="R960" s="288"/>
    </row>
    <row r="961">
      <c r="R961" s="288"/>
    </row>
    <row r="962">
      <c r="R962" s="288"/>
    </row>
    <row r="963">
      <c r="R963" s="288"/>
    </row>
    <row r="964">
      <c r="R964" s="288"/>
    </row>
    <row r="965">
      <c r="R965" s="288"/>
    </row>
    <row r="966">
      <c r="R966" s="288"/>
    </row>
    <row r="967">
      <c r="R967" s="288"/>
    </row>
    <row r="968">
      <c r="R968" s="288"/>
    </row>
    <row r="969">
      <c r="R969" s="288"/>
    </row>
    <row r="970">
      <c r="R970" s="288"/>
    </row>
    <row r="971">
      <c r="R971" s="288"/>
    </row>
    <row r="972">
      <c r="R972" s="288"/>
    </row>
    <row r="973">
      <c r="R973" s="288"/>
    </row>
    <row r="974">
      <c r="R974" s="288"/>
    </row>
    <row r="975">
      <c r="R975" s="288"/>
    </row>
    <row r="976">
      <c r="R976" s="288"/>
    </row>
    <row r="977">
      <c r="R977" s="288"/>
    </row>
    <row r="978">
      <c r="R978" s="288"/>
    </row>
    <row r="979">
      <c r="R979" s="288"/>
    </row>
    <row r="980">
      <c r="R980" s="288"/>
    </row>
    <row r="981">
      <c r="R981" s="288"/>
    </row>
    <row r="982">
      <c r="R982" s="288"/>
    </row>
    <row r="983">
      <c r="R983" s="288"/>
    </row>
    <row r="984">
      <c r="R984" s="288"/>
    </row>
    <row r="985">
      <c r="R985" s="288"/>
    </row>
    <row r="986">
      <c r="R986" s="288"/>
    </row>
    <row r="987">
      <c r="R987" s="288"/>
    </row>
    <row r="988">
      <c r="R988" s="288"/>
    </row>
    <row r="989">
      <c r="R989" s="288"/>
    </row>
    <row r="990">
      <c r="R990" s="288"/>
    </row>
    <row r="991">
      <c r="R991" s="288"/>
    </row>
    <row r="992">
      <c r="R992" s="288"/>
    </row>
    <row r="993">
      <c r="R993" s="288"/>
    </row>
    <row r="994">
      <c r="R994" s="288"/>
    </row>
    <row r="995">
      <c r="R995" s="288"/>
    </row>
    <row r="996">
      <c r="R996" s="288"/>
    </row>
    <row r="997">
      <c r="R997" s="288"/>
    </row>
    <row r="998">
      <c r="R998" s="288"/>
    </row>
    <row r="999">
      <c r="R999" s="288"/>
    </row>
    <row r="1000">
      <c r="R1000" s="288"/>
    </row>
    <row r="1001">
      <c r="R1001" s="288"/>
    </row>
    <row r="1002">
      <c r="R1002" s="288"/>
    </row>
    <row r="1003">
      <c r="R1003" s="288"/>
    </row>
    <row r="1004">
      <c r="R1004" s="288"/>
    </row>
    <row r="1005">
      <c r="R1005" s="288"/>
    </row>
    <row r="1006">
      <c r="R1006" s="288"/>
    </row>
    <row r="1007">
      <c r="R1007" s="288"/>
    </row>
    <row r="1008">
      <c r="R1008" s="288"/>
    </row>
    <row r="1009">
      <c r="R1009" s="288"/>
    </row>
    <row r="1010">
      <c r="R1010" s="288"/>
    </row>
    <row r="1011">
      <c r="R1011" s="288"/>
    </row>
    <row r="1012">
      <c r="R1012" s="288"/>
    </row>
    <row r="1013">
      <c r="R1013" s="288"/>
    </row>
    <row r="1014">
      <c r="R1014" s="288"/>
    </row>
    <row r="1015">
      <c r="R1015" s="288"/>
    </row>
    <row r="1016">
      <c r="R1016" s="288"/>
    </row>
  </sheetData>
  <mergeCells count="6">
    <mergeCell ref="E3:G3"/>
    <mergeCell ref="H4:I4"/>
    <mergeCell ref="H17:J18"/>
    <mergeCell ref="H19:H20"/>
    <mergeCell ref="I19:I20"/>
    <mergeCell ref="J19:J2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4.25"/>
    <col customWidth="1" min="5" max="5" width="30.38"/>
    <col customWidth="1" min="6" max="7" width="24.25"/>
    <col customWidth="1" min="8" max="8" width="24.0"/>
    <col customWidth="1" min="9" max="9" width="13.25"/>
    <col customWidth="1" min="10" max="10" width="22.38"/>
    <col customWidth="1" min="11" max="11" width="24.0"/>
    <col customWidth="1" min="13" max="13" width="22.38"/>
  </cols>
  <sheetData>
    <row r="1">
      <c r="A1" s="87" t="s">
        <v>574</v>
      </c>
      <c r="B1" s="87" t="s">
        <v>427</v>
      </c>
      <c r="C1" s="343"/>
      <c r="D1" s="87" t="s">
        <v>575</v>
      </c>
      <c r="E1" s="87" t="s">
        <v>427</v>
      </c>
      <c r="F1" s="343"/>
      <c r="G1" s="87" t="s">
        <v>576</v>
      </c>
      <c r="H1" s="87" t="s">
        <v>427</v>
      </c>
      <c r="J1" s="87" t="s">
        <v>577</v>
      </c>
      <c r="K1" s="87" t="s">
        <v>427</v>
      </c>
      <c r="L1" s="344"/>
      <c r="M1" s="87" t="s">
        <v>578</v>
      </c>
      <c r="N1" s="87" t="s">
        <v>427</v>
      </c>
      <c r="P1" s="41"/>
      <c r="S1" s="344"/>
      <c r="T1" s="344"/>
      <c r="U1" s="344"/>
      <c r="V1" s="344"/>
      <c r="W1" s="344"/>
      <c r="X1" s="344"/>
      <c r="Y1" s="344"/>
      <c r="Z1" s="344"/>
      <c r="AA1" s="344"/>
      <c r="AB1" s="344"/>
      <c r="AC1" s="344"/>
      <c r="AD1" s="344"/>
      <c r="AE1" s="344"/>
      <c r="AF1" s="344"/>
    </row>
    <row r="2">
      <c r="A2" s="345" t="s">
        <v>579</v>
      </c>
      <c r="B2" s="98" t="s">
        <v>580</v>
      </c>
      <c r="C2" s="346"/>
      <c r="D2" s="345" t="s">
        <v>579</v>
      </c>
      <c r="E2" s="98" t="s">
        <v>581</v>
      </c>
      <c r="F2" s="346"/>
      <c r="G2" s="345" t="s">
        <v>579</v>
      </c>
      <c r="H2" s="98" t="s">
        <v>582</v>
      </c>
      <c r="J2" s="345" t="s">
        <v>579</v>
      </c>
      <c r="K2" s="98" t="s">
        <v>583</v>
      </c>
      <c r="M2" s="345" t="s">
        <v>579</v>
      </c>
      <c r="N2" s="98" t="s">
        <v>584</v>
      </c>
    </row>
    <row r="3">
      <c r="A3" s="98" t="s">
        <v>585</v>
      </c>
      <c r="B3" s="98" t="s">
        <v>586</v>
      </c>
      <c r="C3" s="79"/>
      <c r="D3" s="98" t="s">
        <v>585</v>
      </c>
      <c r="E3" s="98" t="s">
        <v>587</v>
      </c>
      <c r="F3" s="79"/>
      <c r="G3" s="98" t="s">
        <v>585</v>
      </c>
      <c r="H3" s="98" t="s">
        <v>588</v>
      </c>
      <c r="J3" s="98" t="s">
        <v>585</v>
      </c>
      <c r="K3" s="98" t="s">
        <v>589</v>
      </c>
      <c r="M3" s="98" t="s">
        <v>585</v>
      </c>
      <c r="N3" s="98" t="s">
        <v>590</v>
      </c>
    </row>
    <row r="4">
      <c r="A4" s="98" t="s">
        <v>591</v>
      </c>
      <c r="B4" s="98" t="s">
        <v>586</v>
      </c>
      <c r="C4" s="79"/>
      <c r="D4" s="98" t="s">
        <v>591</v>
      </c>
      <c r="E4" s="98" t="s">
        <v>587</v>
      </c>
      <c r="F4" s="79"/>
      <c r="G4" s="98" t="s">
        <v>591</v>
      </c>
      <c r="H4" s="98" t="s">
        <v>592</v>
      </c>
      <c r="J4" s="98" t="s">
        <v>593</v>
      </c>
      <c r="K4" s="98" t="s">
        <v>594</v>
      </c>
      <c r="M4" s="98" t="s">
        <v>593</v>
      </c>
      <c r="N4" s="98" t="s">
        <v>595</v>
      </c>
    </row>
    <row r="5">
      <c r="A5" s="98" t="s">
        <v>596</v>
      </c>
      <c r="B5" s="98" t="s">
        <v>597</v>
      </c>
      <c r="C5" s="79"/>
      <c r="D5" s="98" t="s">
        <v>596</v>
      </c>
      <c r="E5" s="98" t="s">
        <v>598</v>
      </c>
      <c r="F5" s="79"/>
      <c r="G5" s="98" t="s">
        <v>596</v>
      </c>
      <c r="H5" s="98" t="s">
        <v>599</v>
      </c>
      <c r="J5" s="98" t="s">
        <v>596</v>
      </c>
      <c r="K5" s="98" t="s">
        <v>600</v>
      </c>
      <c r="M5" s="98" t="s">
        <v>596</v>
      </c>
      <c r="N5" s="98" t="s">
        <v>601</v>
      </c>
    </row>
    <row r="6">
      <c r="A6" s="98" t="s">
        <v>602</v>
      </c>
      <c r="B6" s="98" t="s">
        <v>586</v>
      </c>
      <c r="C6" s="79"/>
      <c r="D6" s="98" t="s">
        <v>602</v>
      </c>
      <c r="E6" s="98" t="s">
        <v>603</v>
      </c>
      <c r="F6" s="79"/>
      <c r="G6" s="98" t="s">
        <v>602</v>
      </c>
      <c r="H6" s="347"/>
      <c r="J6" s="98" t="s">
        <v>604</v>
      </c>
      <c r="K6" s="98" t="s">
        <v>605</v>
      </c>
      <c r="M6" s="98" t="s">
        <v>606</v>
      </c>
      <c r="N6" s="98" t="s">
        <v>607</v>
      </c>
    </row>
    <row r="7">
      <c r="A7" s="98" t="s">
        <v>604</v>
      </c>
      <c r="B7" s="98" t="s">
        <v>608</v>
      </c>
      <c r="C7" s="79"/>
      <c r="D7" s="98" t="s">
        <v>604</v>
      </c>
      <c r="E7" s="98" t="s">
        <v>609</v>
      </c>
      <c r="F7" s="79"/>
      <c r="G7" s="98" t="s">
        <v>604</v>
      </c>
      <c r="H7" s="98" t="s">
        <v>610</v>
      </c>
      <c r="J7" s="98" t="s">
        <v>611</v>
      </c>
      <c r="K7" s="98" t="s">
        <v>612</v>
      </c>
      <c r="M7" s="98" t="s">
        <v>604</v>
      </c>
      <c r="N7" s="98" t="s">
        <v>613</v>
      </c>
    </row>
    <row r="8">
      <c r="A8" s="98" t="s">
        <v>614</v>
      </c>
      <c r="B8" s="98" t="s">
        <v>615</v>
      </c>
      <c r="C8" s="79"/>
      <c r="D8" s="98" t="s">
        <v>614</v>
      </c>
      <c r="E8" s="98" t="s">
        <v>616</v>
      </c>
      <c r="F8" s="79"/>
      <c r="G8" s="98" t="s">
        <v>614</v>
      </c>
      <c r="H8" s="98" t="s">
        <v>617</v>
      </c>
      <c r="J8" s="98" t="s">
        <v>614</v>
      </c>
      <c r="K8" s="98" t="s">
        <v>618</v>
      </c>
      <c r="M8" s="98" t="s">
        <v>614</v>
      </c>
      <c r="N8" s="98" t="s">
        <v>619</v>
      </c>
    </row>
    <row r="9">
      <c r="A9" s="79" t="s">
        <v>611</v>
      </c>
      <c r="B9" s="98" t="s">
        <v>620</v>
      </c>
      <c r="C9" s="79"/>
      <c r="D9" s="79" t="s">
        <v>611</v>
      </c>
      <c r="E9" s="98" t="s">
        <v>621</v>
      </c>
      <c r="F9" s="79"/>
      <c r="G9" s="348" t="s">
        <v>611</v>
      </c>
      <c r="H9" s="98" t="s">
        <v>622</v>
      </c>
      <c r="J9" s="98" t="s">
        <v>623</v>
      </c>
      <c r="K9" s="98" t="s">
        <v>624</v>
      </c>
      <c r="M9" s="98" t="s">
        <v>611</v>
      </c>
      <c r="N9" s="98" t="s">
        <v>625</v>
      </c>
    </row>
    <row r="10">
      <c r="A10" s="98" t="s">
        <v>623</v>
      </c>
      <c r="B10" s="98" t="s">
        <v>626</v>
      </c>
      <c r="C10" s="79"/>
      <c r="D10" s="98" t="s">
        <v>623</v>
      </c>
      <c r="E10" s="98" t="s">
        <v>627</v>
      </c>
      <c r="F10" s="79"/>
      <c r="G10" s="98" t="s">
        <v>623</v>
      </c>
      <c r="H10" s="98" t="s">
        <v>628</v>
      </c>
      <c r="J10" s="98" t="s">
        <v>629</v>
      </c>
      <c r="K10" s="98"/>
      <c r="M10" s="98" t="s">
        <v>623</v>
      </c>
      <c r="N10" s="98" t="s">
        <v>630</v>
      </c>
    </row>
    <row r="11">
      <c r="A11" s="92" t="s">
        <v>629</v>
      </c>
      <c r="B11" s="349"/>
      <c r="C11" s="79"/>
      <c r="D11" s="92" t="s">
        <v>629</v>
      </c>
      <c r="E11" s="349" t="s">
        <v>631</v>
      </c>
      <c r="F11" s="79"/>
      <c r="G11" s="98" t="s">
        <v>629</v>
      </c>
      <c r="H11" s="304"/>
      <c r="J11" s="98" t="s">
        <v>632</v>
      </c>
      <c r="K11" s="98"/>
      <c r="M11" s="98" t="s">
        <v>633</v>
      </c>
      <c r="N11" s="98" t="s">
        <v>634</v>
      </c>
    </row>
    <row r="12">
      <c r="A12" s="98" t="s">
        <v>635</v>
      </c>
      <c r="B12" s="98" t="s">
        <v>114</v>
      </c>
      <c r="C12" s="79"/>
      <c r="D12" s="98" t="s">
        <v>635</v>
      </c>
      <c r="E12" s="98" t="s">
        <v>636</v>
      </c>
      <c r="F12" s="79"/>
      <c r="G12" s="98" t="s">
        <v>632</v>
      </c>
      <c r="H12" s="98"/>
      <c r="J12" s="98" t="s">
        <v>637</v>
      </c>
      <c r="K12" s="98" t="s">
        <v>638</v>
      </c>
      <c r="M12" s="98" t="s">
        <v>632</v>
      </c>
      <c r="N12" s="98" t="s">
        <v>639</v>
      </c>
    </row>
    <row r="13">
      <c r="A13" s="96" t="s">
        <v>632</v>
      </c>
      <c r="B13" s="96"/>
      <c r="C13" s="79"/>
      <c r="D13" s="96" t="s">
        <v>632</v>
      </c>
      <c r="E13" s="96" t="s">
        <v>640</v>
      </c>
      <c r="F13" s="79"/>
      <c r="G13" s="98" t="s">
        <v>637</v>
      </c>
      <c r="H13" s="98" t="s">
        <v>641</v>
      </c>
      <c r="J13" s="79" t="s">
        <v>642</v>
      </c>
      <c r="K13" s="350">
        <v>44976.0</v>
      </c>
      <c r="M13" s="98" t="s">
        <v>637</v>
      </c>
      <c r="N13" s="98" t="s">
        <v>643</v>
      </c>
    </row>
    <row r="14">
      <c r="A14" s="98" t="s">
        <v>637</v>
      </c>
      <c r="B14" s="98"/>
      <c r="C14" s="79"/>
      <c r="D14" s="98" t="s">
        <v>637</v>
      </c>
      <c r="E14" s="98" t="s">
        <v>644</v>
      </c>
      <c r="F14" s="79"/>
      <c r="G14" s="79" t="s">
        <v>645</v>
      </c>
      <c r="J14" s="79" t="s">
        <v>646</v>
      </c>
    </row>
    <row r="15">
      <c r="A15" s="79" t="s">
        <v>647</v>
      </c>
      <c r="C15" s="79"/>
      <c r="D15" s="79" t="s">
        <v>648</v>
      </c>
      <c r="E15" s="79" t="s">
        <v>649</v>
      </c>
      <c r="F15" s="79"/>
      <c r="G15" s="79" t="s">
        <v>650</v>
      </c>
      <c r="H15" s="79" t="s">
        <v>651</v>
      </c>
      <c r="J15" s="79" t="s">
        <v>650</v>
      </c>
      <c r="K15" s="79" t="s">
        <v>652</v>
      </c>
    </row>
    <row r="16">
      <c r="A16" s="79" t="s">
        <v>653</v>
      </c>
      <c r="C16" s="79"/>
      <c r="D16" s="79" t="s">
        <v>653</v>
      </c>
      <c r="E16" s="79" t="s">
        <v>654</v>
      </c>
      <c r="F16" s="79"/>
      <c r="G16" s="79" t="s">
        <v>655</v>
      </c>
      <c r="H16" s="79" t="s">
        <v>656</v>
      </c>
      <c r="J16" s="79" t="s">
        <v>655</v>
      </c>
      <c r="K16" s="79" t="s">
        <v>657</v>
      </c>
    </row>
    <row r="17">
      <c r="A17" s="79" t="s">
        <v>650</v>
      </c>
      <c r="C17" s="79"/>
      <c r="D17" s="79" t="s">
        <v>650</v>
      </c>
      <c r="E17" s="79" t="s">
        <v>658</v>
      </c>
      <c r="F17" s="79"/>
      <c r="G17" s="79" t="s">
        <v>659</v>
      </c>
      <c r="H17" s="79" t="s">
        <v>660</v>
      </c>
      <c r="J17" s="79" t="s">
        <v>661</v>
      </c>
      <c r="K17" s="79" t="s">
        <v>662</v>
      </c>
    </row>
    <row r="18">
      <c r="A18" s="79" t="s">
        <v>655</v>
      </c>
      <c r="C18" s="79"/>
      <c r="D18" s="79" t="s">
        <v>655</v>
      </c>
      <c r="E18" s="79" t="s">
        <v>663</v>
      </c>
      <c r="F18" s="79"/>
      <c r="G18" s="79" t="s">
        <v>664</v>
      </c>
      <c r="H18" s="351">
        <v>45375.0</v>
      </c>
      <c r="J18" s="79" t="s">
        <v>665</v>
      </c>
      <c r="K18" s="79" t="s">
        <v>588</v>
      </c>
    </row>
    <row r="19">
      <c r="A19" s="79" t="s">
        <v>659</v>
      </c>
      <c r="C19" s="79"/>
      <c r="D19" s="79" t="s">
        <v>659</v>
      </c>
      <c r="E19" s="79" t="s">
        <v>666</v>
      </c>
      <c r="F19" s="79"/>
      <c r="G19" s="79" t="s">
        <v>667</v>
      </c>
      <c r="H19" s="351">
        <v>45396.0</v>
      </c>
      <c r="J19" s="79" t="s">
        <v>668</v>
      </c>
      <c r="K19" s="79" t="s">
        <v>592</v>
      </c>
    </row>
    <row r="20">
      <c r="A20" s="79" t="s">
        <v>668</v>
      </c>
      <c r="C20" s="79"/>
      <c r="D20" s="79" t="s">
        <v>668</v>
      </c>
    </row>
    <row r="21">
      <c r="A21" s="79"/>
      <c r="B21" s="79"/>
      <c r="C21" s="79"/>
      <c r="D21" s="79"/>
      <c r="E21" s="79"/>
      <c r="F21" s="79"/>
      <c r="G21" s="79" t="s">
        <v>669</v>
      </c>
    </row>
    <row r="22">
      <c r="A22" s="79" t="s">
        <v>670</v>
      </c>
      <c r="B22" s="79"/>
      <c r="C22" s="79"/>
      <c r="D22" s="79" t="s">
        <v>671</v>
      </c>
      <c r="E22" s="79"/>
      <c r="F22" s="79"/>
      <c r="G22" s="79" t="s">
        <v>672</v>
      </c>
      <c r="J22" s="79" t="s">
        <v>673</v>
      </c>
    </row>
    <row r="23">
      <c r="A23" s="352" t="s">
        <v>674</v>
      </c>
      <c r="B23" s="352"/>
      <c r="C23" s="352"/>
      <c r="D23" s="352" t="s">
        <v>675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88"/>
    <col customWidth="1" min="2" max="2" width="2.25"/>
    <col customWidth="1" min="3" max="3" width="19.13"/>
    <col customWidth="1" min="4" max="4" width="2.75"/>
    <col customWidth="1" min="5" max="5" width="19.63"/>
    <col customWidth="1" min="6" max="6" width="2.63"/>
    <col customWidth="1" min="7" max="7" width="17.88"/>
    <col customWidth="1" min="8" max="8" width="2.5"/>
    <col customWidth="1" min="9" max="9" width="19.38"/>
    <col customWidth="1" min="10" max="10" width="8.25"/>
    <col customWidth="1" min="11" max="11" width="8.0"/>
    <col customWidth="1" min="12" max="12" width="5.38"/>
    <col customWidth="1" min="13" max="13" width="1.5"/>
    <col customWidth="1" min="14" max="14" width="28.0"/>
    <col customWidth="1" min="15" max="15" width="7.5"/>
    <col customWidth="1" min="16" max="16" width="27.13"/>
    <col customWidth="1" min="17" max="17" width="4.88"/>
    <col customWidth="1" min="18" max="18" width="16.13"/>
    <col customWidth="1" min="19" max="19" width="4.88"/>
    <col customWidth="1" min="20" max="20" width="26.25"/>
    <col customWidth="1" min="21" max="21" width="7.13"/>
    <col customWidth="1" min="22" max="22" width="26.13"/>
  </cols>
  <sheetData>
    <row r="1">
      <c r="A1" s="1" t="s">
        <v>406</v>
      </c>
      <c r="B1" s="2"/>
      <c r="C1" s="1" t="s">
        <v>407</v>
      </c>
      <c r="D1" s="3"/>
      <c r="E1" s="1" t="s">
        <v>408</v>
      </c>
      <c r="F1" s="2"/>
      <c r="G1" s="4" t="s">
        <v>409</v>
      </c>
      <c r="H1" s="2"/>
      <c r="I1" s="5" t="s">
        <v>158</v>
      </c>
      <c r="J1" s="6">
        <v>2024.0</v>
      </c>
      <c r="K1" s="7"/>
      <c r="L1" s="8"/>
      <c r="M1" s="9"/>
      <c r="N1" s="353" t="s">
        <v>676</v>
      </c>
      <c r="O1" s="354"/>
      <c r="P1" s="355" t="s">
        <v>677</v>
      </c>
      <c r="Q1" s="13"/>
      <c r="R1" s="13"/>
      <c r="S1" s="13"/>
      <c r="T1" s="14" t="s">
        <v>678</v>
      </c>
      <c r="U1" s="15"/>
      <c r="V1" s="16" t="s">
        <v>8</v>
      </c>
    </row>
    <row r="2">
      <c r="A2" s="26" t="s">
        <v>679</v>
      </c>
      <c r="B2" s="356"/>
      <c r="D2" s="356"/>
      <c r="E2" s="124" t="s">
        <v>680</v>
      </c>
      <c r="F2" s="356"/>
      <c r="H2" s="356"/>
      <c r="J2" s="19"/>
      <c r="L2" s="20"/>
      <c r="N2" s="357" t="s">
        <v>681</v>
      </c>
      <c r="O2" s="34" t="s">
        <v>11</v>
      </c>
      <c r="P2" s="358" t="s">
        <v>682</v>
      </c>
      <c r="Q2" s="24"/>
      <c r="R2" s="24"/>
      <c r="S2" s="24"/>
      <c r="T2" s="359" t="s">
        <v>683</v>
      </c>
      <c r="U2" s="360" t="s">
        <v>11</v>
      </c>
      <c r="V2" s="361" t="s">
        <v>684</v>
      </c>
    </row>
    <row r="3">
      <c r="A3" s="26" t="s">
        <v>685</v>
      </c>
      <c r="B3" s="25"/>
      <c r="D3" s="25"/>
      <c r="E3" s="18" t="s">
        <v>9</v>
      </c>
      <c r="F3" s="25"/>
      <c r="H3" s="25"/>
      <c r="J3" s="19"/>
      <c r="L3" s="20"/>
      <c r="N3" s="112" t="s">
        <v>686</v>
      </c>
      <c r="O3" s="362">
        <v>45224.0</v>
      </c>
      <c r="P3" s="114"/>
      <c r="Q3" s="24"/>
      <c r="R3" s="24"/>
      <c r="S3" s="24"/>
      <c r="T3" s="24"/>
      <c r="U3" s="24"/>
      <c r="V3" s="24"/>
    </row>
    <row r="4">
      <c r="B4" s="30"/>
      <c r="D4" s="30"/>
      <c r="E4" s="31" t="s">
        <v>15</v>
      </c>
      <c r="F4" s="30"/>
      <c r="H4" s="30"/>
      <c r="J4" s="19"/>
      <c r="L4" s="20"/>
      <c r="N4" s="204" t="s">
        <v>687</v>
      </c>
      <c r="O4" s="205"/>
      <c r="P4" s="363"/>
      <c r="Q4" s="24"/>
      <c r="R4" s="24"/>
      <c r="S4" s="24"/>
      <c r="T4" s="115" t="s">
        <v>688</v>
      </c>
      <c r="U4" s="34" t="s">
        <v>11</v>
      </c>
      <c r="V4" s="117" t="s">
        <v>689</v>
      </c>
    </row>
    <row r="5">
      <c r="B5" s="30"/>
      <c r="D5" s="30"/>
      <c r="E5" s="18"/>
      <c r="F5" s="30"/>
      <c r="G5" s="32"/>
      <c r="H5" s="30"/>
      <c r="J5" s="19"/>
      <c r="L5" s="20"/>
      <c r="N5" s="364"/>
      <c r="O5" s="127"/>
      <c r="P5" s="364"/>
      <c r="Q5" s="24"/>
      <c r="R5" s="24"/>
      <c r="S5" s="24"/>
      <c r="T5" s="365"/>
      <c r="U5" s="366">
        <v>45469.0</v>
      </c>
      <c r="V5" s="367" t="s">
        <v>690</v>
      </c>
    </row>
    <row r="6">
      <c r="B6" s="40"/>
      <c r="D6" s="40"/>
      <c r="F6" s="40"/>
      <c r="H6" s="40"/>
      <c r="J6" s="19"/>
      <c r="L6" s="20"/>
      <c r="N6" s="368" t="s">
        <v>691</v>
      </c>
      <c r="O6" s="34" t="s">
        <v>11</v>
      </c>
      <c r="P6" s="369" t="s">
        <v>692</v>
      </c>
      <c r="T6" s="121"/>
      <c r="U6" s="370"/>
      <c r="V6" s="123" t="s">
        <v>693</v>
      </c>
    </row>
    <row r="7">
      <c r="A7" s="42">
        <v>2024.0</v>
      </c>
      <c r="B7" s="43"/>
      <c r="C7" s="43"/>
      <c r="D7" s="43"/>
      <c r="E7" s="43"/>
      <c r="F7" s="43"/>
      <c r="G7" s="43"/>
      <c r="H7" s="43"/>
      <c r="I7" s="44"/>
      <c r="J7" s="19"/>
      <c r="L7" s="20"/>
      <c r="N7" s="371"/>
      <c r="O7" s="125">
        <v>45225.0</v>
      </c>
      <c r="P7" s="363"/>
    </row>
    <row r="8">
      <c r="A8" s="45" t="s">
        <v>694</v>
      </c>
      <c r="B8" s="46"/>
      <c r="C8" s="47" t="s">
        <v>411</v>
      </c>
      <c r="D8" s="46"/>
      <c r="E8" s="45" t="s">
        <v>695</v>
      </c>
      <c r="F8" s="46"/>
      <c r="G8" s="47" t="s">
        <v>413</v>
      </c>
      <c r="H8" s="46"/>
      <c r="I8" s="50" t="s">
        <v>414</v>
      </c>
      <c r="J8" s="19"/>
      <c r="L8" s="20"/>
      <c r="N8" s="364"/>
      <c r="O8" s="127"/>
      <c r="P8" s="364"/>
      <c r="T8" s="33" t="s">
        <v>696</v>
      </c>
      <c r="U8" s="34" t="s">
        <v>11</v>
      </c>
      <c r="V8" s="35" t="s">
        <v>697</v>
      </c>
    </row>
    <row r="9">
      <c r="A9" s="26" t="s">
        <v>698</v>
      </c>
      <c r="B9" s="372"/>
      <c r="C9" s="134" t="s">
        <v>393</v>
      </c>
      <c r="D9" s="372"/>
      <c r="E9" s="18" t="s">
        <v>128</v>
      </c>
      <c r="F9" s="372"/>
      <c r="G9" s="118" t="s">
        <v>699</v>
      </c>
      <c r="H9" s="372"/>
      <c r="I9" s="18" t="s">
        <v>32</v>
      </c>
      <c r="J9" s="19"/>
      <c r="L9" s="20"/>
      <c r="N9" s="368" t="s">
        <v>700</v>
      </c>
      <c r="O9" s="34" t="s">
        <v>11</v>
      </c>
      <c r="P9" s="369" t="s">
        <v>701</v>
      </c>
      <c r="T9" s="51" t="s">
        <v>702</v>
      </c>
      <c r="U9" s="373">
        <v>45475.0</v>
      </c>
      <c r="V9" s="53" t="s">
        <v>703</v>
      </c>
    </row>
    <row r="10">
      <c r="B10" s="25"/>
      <c r="C10" s="374" t="s">
        <v>704</v>
      </c>
      <c r="D10" s="25"/>
      <c r="E10" s="18" t="s">
        <v>396</v>
      </c>
      <c r="F10" s="25"/>
      <c r="G10" s="18" t="s">
        <v>43</v>
      </c>
      <c r="H10" s="25"/>
      <c r="I10" s="18" t="s">
        <v>42</v>
      </c>
      <c r="J10" s="19"/>
      <c r="L10" s="20"/>
      <c r="N10" s="198" t="s">
        <v>139</v>
      </c>
      <c r="O10" s="373">
        <v>45244.0</v>
      </c>
      <c r="P10" s="202" t="s">
        <v>705</v>
      </c>
      <c r="T10" s="58"/>
      <c r="V10" s="53" t="s">
        <v>706</v>
      </c>
    </row>
    <row r="11">
      <c r="B11" s="30"/>
      <c r="D11" s="30"/>
      <c r="E11" s="118" t="s">
        <v>707</v>
      </c>
      <c r="F11" s="30"/>
      <c r="H11" s="30"/>
      <c r="I11" s="134" t="s">
        <v>40</v>
      </c>
      <c r="J11" s="19"/>
      <c r="L11" s="20"/>
      <c r="N11" s="198" t="s">
        <v>708</v>
      </c>
      <c r="O11" s="127"/>
      <c r="P11" s="202" t="s">
        <v>709</v>
      </c>
      <c r="T11" s="58"/>
      <c r="V11" s="53" t="s">
        <v>710</v>
      </c>
    </row>
    <row r="12">
      <c r="B12" s="30"/>
      <c r="D12" s="30"/>
      <c r="E12" s="26" t="s">
        <v>711</v>
      </c>
      <c r="F12" s="30"/>
      <c r="G12" s="24"/>
      <c r="H12" s="30"/>
      <c r="J12" s="19"/>
      <c r="L12" s="20"/>
      <c r="N12" s="198" t="s">
        <v>712</v>
      </c>
      <c r="O12" s="86"/>
      <c r="P12" s="202" t="s">
        <v>713</v>
      </c>
      <c r="T12" s="36"/>
      <c r="U12" s="61"/>
      <c r="V12" s="62" t="s">
        <v>714</v>
      </c>
    </row>
    <row r="13">
      <c r="A13" s="24"/>
      <c r="B13" s="40"/>
      <c r="D13" s="40"/>
      <c r="E13" s="18" t="s">
        <v>397</v>
      </c>
      <c r="F13" s="40"/>
      <c r="G13" s="41"/>
      <c r="H13" s="40"/>
      <c r="J13" s="63"/>
      <c r="K13" s="64"/>
      <c r="L13" s="46"/>
      <c r="N13" s="198" t="s">
        <v>715</v>
      </c>
      <c r="O13" s="127"/>
      <c r="P13" s="202" t="s">
        <v>716</v>
      </c>
    </row>
    <row r="14">
      <c r="B14" s="24"/>
      <c r="D14" s="24"/>
      <c r="E14" s="18" t="s">
        <v>45</v>
      </c>
      <c r="F14" s="24"/>
      <c r="G14" s="24"/>
      <c r="H14" s="24"/>
      <c r="N14" s="375"/>
      <c r="O14" s="86"/>
      <c r="P14" s="202" t="s">
        <v>717</v>
      </c>
      <c r="T14" s="33" t="s">
        <v>718</v>
      </c>
      <c r="U14" s="34" t="s">
        <v>11</v>
      </c>
      <c r="V14" s="35" t="s">
        <v>719</v>
      </c>
    </row>
    <row r="15">
      <c r="A15" s="18"/>
      <c r="B15" s="18"/>
      <c r="D15" s="18"/>
      <c r="E15" s="18" t="s">
        <v>39</v>
      </c>
      <c r="F15" s="24"/>
      <c r="G15" s="18"/>
      <c r="H15" s="73" t="s">
        <v>49</v>
      </c>
      <c r="I15" s="74"/>
      <c r="N15" s="376"/>
      <c r="O15" s="127"/>
      <c r="P15" s="202" t="s">
        <v>720</v>
      </c>
      <c r="T15" s="51" t="s">
        <v>721</v>
      </c>
      <c r="U15" s="373">
        <v>45496.0</v>
      </c>
      <c r="V15" s="377" t="s">
        <v>722</v>
      </c>
    </row>
    <row r="16">
      <c r="A16" s="18" t="s">
        <v>48</v>
      </c>
      <c r="B16" s="24"/>
      <c r="C16" s="72"/>
      <c r="D16" s="18"/>
      <c r="E16" s="18"/>
      <c r="F16" s="18"/>
      <c r="G16" s="18"/>
      <c r="H16" s="75" t="s">
        <v>51</v>
      </c>
      <c r="I16" s="76"/>
      <c r="N16" s="375"/>
      <c r="O16" s="127"/>
      <c r="P16" s="202" t="s">
        <v>723</v>
      </c>
      <c r="T16" s="378" t="s">
        <v>724</v>
      </c>
      <c r="U16" s="61"/>
      <c r="V16" s="38"/>
    </row>
    <row r="17">
      <c r="A17" s="18" t="s">
        <v>725</v>
      </c>
      <c r="B17" s="18"/>
      <c r="C17" s="72"/>
      <c r="D17" s="18"/>
      <c r="E17" s="18"/>
      <c r="F17" s="18"/>
      <c r="G17" s="18"/>
      <c r="H17" s="243" t="s">
        <v>399</v>
      </c>
      <c r="I17" s="78"/>
      <c r="L17" s="79"/>
      <c r="N17" s="375"/>
      <c r="O17" s="86"/>
      <c r="P17" s="202" t="s">
        <v>726</v>
      </c>
    </row>
    <row r="18">
      <c r="A18" s="80" t="s">
        <v>727</v>
      </c>
      <c r="B18" s="81"/>
      <c r="C18" s="82"/>
      <c r="D18" s="24"/>
      <c r="F18" s="18"/>
      <c r="G18" s="18"/>
      <c r="H18" s="24"/>
      <c r="I18" s="24"/>
      <c r="L18" s="79"/>
      <c r="N18" s="376"/>
      <c r="O18" s="127"/>
      <c r="P18" s="202" t="s">
        <v>728</v>
      </c>
      <c r="Q18" s="83"/>
      <c r="R18" s="83"/>
      <c r="S18" s="83"/>
      <c r="T18" s="33" t="s">
        <v>729</v>
      </c>
      <c r="U18" s="34" t="s">
        <v>11</v>
      </c>
      <c r="V18" s="35" t="s">
        <v>730</v>
      </c>
    </row>
    <row r="19">
      <c r="F19" s="79"/>
      <c r="G19" s="79"/>
      <c r="I19" s="145" t="s">
        <v>149</v>
      </c>
      <c r="J19" s="146" t="s">
        <v>150</v>
      </c>
      <c r="K19" s="147" t="s">
        <v>151</v>
      </c>
      <c r="L19" s="147" t="s">
        <v>152</v>
      </c>
      <c r="N19" s="375"/>
      <c r="O19" s="127"/>
      <c r="P19" s="202" t="s">
        <v>731</v>
      </c>
      <c r="Q19" s="83"/>
      <c r="R19" s="83"/>
      <c r="S19" s="83"/>
      <c r="T19" s="51" t="s">
        <v>732</v>
      </c>
      <c r="U19" s="52">
        <v>45498.0</v>
      </c>
      <c r="V19" s="377" t="s">
        <v>733</v>
      </c>
    </row>
    <row r="20">
      <c r="A20" s="84" t="s">
        <v>734</v>
      </c>
      <c r="I20" s="149">
        <v>1.0</v>
      </c>
      <c r="J20" s="79" t="s">
        <v>157</v>
      </c>
      <c r="K20" s="150">
        <v>309.0</v>
      </c>
      <c r="L20" s="150" t="s">
        <v>158</v>
      </c>
      <c r="N20" s="371"/>
      <c r="O20" s="379"/>
      <c r="P20" s="380" t="s">
        <v>735</v>
      </c>
      <c r="Q20" s="83"/>
      <c r="R20" s="83"/>
      <c r="S20" s="83"/>
      <c r="T20" s="381" t="s">
        <v>736</v>
      </c>
      <c r="V20" s="53" t="s">
        <v>737</v>
      </c>
    </row>
    <row r="21">
      <c r="A21" s="382" t="s">
        <v>738</v>
      </c>
      <c r="I21" s="149">
        <v>2.0</v>
      </c>
      <c r="J21" s="79" t="s">
        <v>157</v>
      </c>
      <c r="K21" s="150">
        <v>34.0</v>
      </c>
      <c r="L21" s="150" t="s">
        <v>3</v>
      </c>
      <c r="N21" s="383"/>
      <c r="O21" s="86"/>
      <c r="P21" s="364"/>
      <c r="R21" s="83"/>
      <c r="S21" s="83"/>
      <c r="T21" s="381" t="s">
        <v>739</v>
      </c>
      <c r="V21" s="164"/>
    </row>
    <row r="22">
      <c r="A22" s="85"/>
      <c r="F22" s="79"/>
      <c r="G22" s="79"/>
      <c r="I22" s="149">
        <v>3.0</v>
      </c>
      <c r="J22" s="79" t="s">
        <v>1</v>
      </c>
      <c r="K22" s="150">
        <v>75.0</v>
      </c>
      <c r="L22" s="150" t="s">
        <v>3</v>
      </c>
      <c r="N22" s="368" t="s">
        <v>740</v>
      </c>
      <c r="O22" s="34" t="s">
        <v>11</v>
      </c>
      <c r="P22" s="369" t="s">
        <v>741</v>
      </c>
      <c r="Q22" s="83"/>
      <c r="R22" s="83"/>
      <c r="S22" s="83"/>
      <c r="T22" s="126" t="s">
        <v>742</v>
      </c>
      <c r="U22" s="61"/>
      <c r="V22" s="38"/>
    </row>
    <row r="23">
      <c r="A23" s="154" t="s">
        <v>743</v>
      </c>
      <c r="B23" s="157"/>
      <c r="C23" s="158" t="s">
        <v>160</v>
      </c>
      <c r="D23" s="157"/>
      <c r="E23" s="158" t="s">
        <v>161</v>
      </c>
      <c r="F23" s="157"/>
      <c r="G23" s="158" t="s">
        <v>162</v>
      </c>
      <c r="I23" s="149">
        <v>4.0</v>
      </c>
      <c r="J23" s="79" t="s">
        <v>158</v>
      </c>
      <c r="K23" s="150">
        <v>247.0</v>
      </c>
      <c r="L23" s="150" t="s">
        <v>227</v>
      </c>
      <c r="N23" s="198" t="s">
        <v>744</v>
      </c>
      <c r="O23" s="373">
        <v>45246.0</v>
      </c>
      <c r="P23" s="202" t="s">
        <v>745</v>
      </c>
    </row>
    <row r="24">
      <c r="A24" s="384" t="s">
        <v>746</v>
      </c>
      <c r="B24" s="44"/>
      <c r="C24" s="385" t="s">
        <v>22</v>
      </c>
      <c r="D24" s="157"/>
      <c r="E24" s="385" t="s">
        <v>227</v>
      </c>
      <c r="F24" s="157"/>
      <c r="G24" s="385" t="s">
        <v>22</v>
      </c>
      <c r="I24" s="149">
        <v>5.0</v>
      </c>
      <c r="J24" s="79" t="s">
        <v>3</v>
      </c>
      <c r="K24" s="150">
        <v>4.0</v>
      </c>
      <c r="L24" s="150" t="s">
        <v>157</v>
      </c>
      <c r="N24" s="376"/>
      <c r="O24" s="86"/>
      <c r="P24" s="202" t="s">
        <v>747</v>
      </c>
      <c r="T24" s="33" t="s">
        <v>748</v>
      </c>
      <c r="U24" s="34" t="s">
        <v>11</v>
      </c>
      <c r="V24" s="35" t="s">
        <v>749</v>
      </c>
    </row>
    <row r="25">
      <c r="A25" s="384" t="s">
        <v>750</v>
      </c>
      <c r="B25" s="44"/>
      <c r="C25" s="385" t="s">
        <v>26</v>
      </c>
      <c r="D25" s="386"/>
      <c r="E25" s="385" t="s">
        <v>26</v>
      </c>
      <c r="F25" s="386"/>
      <c r="G25" s="385" t="s">
        <v>26</v>
      </c>
      <c r="I25" s="149">
        <v>6.0</v>
      </c>
      <c r="J25" s="79" t="s">
        <v>158</v>
      </c>
      <c r="K25" s="150">
        <v>236.0</v>
      </c>
      <c r="L25" s="150" t="s">
        <v>1</v>
      </c>
      <c r="N25" s="371"/>
      <c r="O25" s="379"/>
      <c r="P25" s="380" t="s">
        <v>751</v>
      </c>
      <c r="T25" s="126" t="s">
        <v>752</v>
      </c>
      <c r="U25" s="37">
        <v>45501.0</v>
      </c>
      <c r="V25" s="38"/>
    </row>
    <row r="26">
      <c r="A26" s="384" t="s">
        <v>753</v>
      </c>
      <c r="B26" s="44"/>
      <c r="C26" s="385" t="s">
        <v>78</v>
      </c>
      <c r="D26" s="386"/>
      <c r="E26" s="385" t="s">
        <v>84</v>
      </c>
      <c r="F26" s="386"/>
      <c r="G26" s="385" t="s">
        <v>78</v>
      </c>
      <c r="I26" s="149">
        <v>7.0</v>
      </c>
      <c r="J26" s="79" t="s">
        <v>158</v>
      </c>
      <c r="K26" s="150">
        <v>18.0</v>
      </c>
      <c r="L26" s="150" t="s">
        <v>157</v>
      </c>
      <c r="N26" s="364"/>
      <c r="O26" s="86"/>
      <c r="P26" s="364"/>
    </row>
    <row r="27">
      <c r="A27" s="384" t="s">
        <v>754</v>
      </c>
      <c r="B27" s="44"/>
      <c r="C27" s="385" t="s">
        <v>227</v>
      </c>
      <c r="D27" s="386"/>
      <c r="E27" s="385" t="s">
        <v>59</v>
      </c>
      <c r="F27" s="386"/>
      <c r="G27" s="385" t="s">
        <v>59</v>
      </c>
      <c r="I27" s="149">
        <v>8.0</v>
      </c>
      <c r="J27" s="79" t="s">
        <v>157</v>
      </c>
      <c r="K27" s="150">
        <f>2322-2121</f>
        <v>201</v>
      </c>
      <c r="L27" s="150" t="s">
        <v>1</v>
      </c>
      <c r="N27" s="368" t="s">
        <v>755</v>
      </c>
      <c r="O27" s="34" t="s">
        <v>11</v>
      </c>
      <c r="P27" s="369" t="s">
        <v>756</v>
      </c>
      <c r="T27" s="128" t="s">
        <v>757</v>
      </c>
      <c r="U27" s="7"/>
      <c r="V27" s="8"/>
    </row>
    <row r="28">
      <c r="A28" s="387" t="s">
        <v>758</v>
      </c>
      <c r="B28" s="388"/>
      <c r="C28" s="389" t="s">
        <v>227</v>
      </c>
      <c r="D28" s="390"/>
      <c r="E28" s="389" t="s">
        <v>59</v>
      </c>
      <c r="F28" s="386"/>
      <c r="G28" s="389" t="s">
        <v>227</v>
      </c>
      <c r="I28" s="149">
        <v>9.0</v>
      </c>
      <c r="J28" s="79" t="s">
        <v>157</v>
      </c>
      <c r="K28" s="150">
        <f>2048-1884</f>
        <v>164</v>
      </c>
      <c r="L28" s="150" t="s">
        <v>1</v>
      </c>
      <c r="N28" s="198" t="s">
        <v>759</v>
      </c>
      <c r="O28" s="373">
        <v>45246.0</v>
      </c>
      <c r="P28" s="202" t="s">
        <v>760</v>
      </c>
      <c r="T28" s="129" t="s">
        <v>761</v>
      </c>
      <c r="U28" s="15"/>
      <c r="V28" s="2"/>
    </row>
    <row r="29">
      <c r="A29" s="391" t="s">
        <v>762</v>
      </c>
      <c r="B29" s="392"/>
      <c r="C29" s="393" t="s">
        <v>2</v>
      </c>
      <c r="D29" s="394"/>
      <c r="E29" s="393" t="s">
        <v>2</v>
      </c>
      <c r="F29" s="386"/>
      <c r="G29" s="393" t="s">
        <v>2</v>
      </c>
      <c r="I29" s="149">
        <v>10.0</v>
      </c>
      <c r="J29" s="79" t="s">
        <v>157</v>
      </c>
      <c r="K29" s="150">
        <f>2256-2082</f>
        <v>174</v>
      </c>
      <c r="L29" s="150" t="s">
        <v>1</v>
      </c>
      <c r="N29" s="371"/>
      <c r="O29" s="205"/>
      <c r="P29" s="380" t="s">
        <v>763</v>
      </c>
    </row>
    <row r="30">
      <c r="A30" s="395" t="s">
        <v>764</v>
      </c>
      <c r="B30" s="44"/>
      <c r="C30" s="385" t="s">
        <v>2</v>
      </c>
      <c r="D30" s="386"/>
      <c r="E30" s="385" t="s">
        <v>227</v>
      </c>
      <c r="F30" s="386"/>
      <c r="G30" s="385" t="s">
        <v>3</v>
      </c>
      <c r="I30" s="149">
        <v>11.0</v>
      </c>
      <c r="J30" s="79" t="s">
        <v>157</v>
      </c>
      <c r="K30" s="150">
        <f>2128-2063</f>
        <v>65</v>
      </c>
      <c r="L30" s="150" t="s">
        <v>1</v>
      </c>
      <c r="N30" s="383"/>
      <c r="O30" s="86"/>
      <c r="P30" s="364"/>
      <c r="T30" s="396" t="s">
        <v>765</v>
      </c>
      <c r="U30" s="360" t="s">
        <v>11</v>
      </c>
      <c r="V30" s="397" t="s">
        <v>766</v>
      </c>
    </row>
    <row r="31">
      <c r="A31" s="395" t="s">
        <v>767</v>
      </c>
      <c r="B31" s="44"/>
      <c r="C31" s="385" t="s">
        <v>227</v>
      </c>
      <c r="D31" s="386"/>
      <c r="E31" s="385" t="s">
        <v>227</v>
      </c>
      <c r="F31" s="386"/>
      <c r="G31" s="385" t="s">
        <v>73</v>
      </c>
      <c r="I31" s="149">
        <v>12.0</v>
      </c>
      <c r="J31" s="79" t="s">
        <v>157</v>
      </c>
      <c r="K31" s="150">
        <f>2437-1858</f>
        <v>579</v>
      </c>
      <c r="L31" s="150" t="s">
        <v>1</v>
      </c>
      <c r="N31" s="368" t="s">
        <v>768</v>
      </c>
      <c r="O31" s="34" t="s">
        <v>11</v>
      </c>
      <c r="P31" s="369" t="s">
        <v>769</v>
      </c>
    </row>
    <row r="32">
      <c r="A32" s="395" t="s">
        <v>181</v>
      </c>
      <c r="B32" s="44"/>
      <c r="C32" s="385" t="s">
        <v>227</v>
      </c>
      <c r="D32" s="386"/>
      <c r="E32" s="385" t="s">
        <v>84</v>
      </c>
      <c r="F32" s="386"/>
      <c r="G32" s="385" t="s">
        <v>1</v>
      </c>
      <c r="I32" s="149">
        <v>13.0</v>
      </c>
      <c r="J32" s="79" t="s">
        <v>157</v>
      </c>
      <c r="K32" s="150">
        <f>2127-1885</f>
        <v>242</v>
      </c>
      <c r="L32" s="150" t="s">
        <v>3</v>
      </c>
      <c r="N32" s="198" t="s">
        <v>770</v>
      </c>
      <c r="O32" s="373">
        <v>45260.0</v>
      </c>
      <c r="P32" s="202" t="s">
        <v>771</v>
      </c>
      <c r="T32" s="398" t="s">
        <v>772</v>
      </c>
      <c r="U32" s="34" t="s">
        <v>11</v>
      </c>
      <c r="V32" s="399" t="s">
        <v>773</v>
      </c>
    </row>
    <row r="33">
      <c r="A33" s="395" t="s">
        <v>774</v>
      </c>
      <c r="B33" s="44"/>
      <c r="C33" s="385" t="s">
        <v>78</v>
      </c>
      <c r="D33" s="386"/>
      <c r="E33" s="385" t="s">
        <v>26</v>
      </c>
      <c r="F33" s="386"/>
      <c r="G33" s="385" t="s">
        <v>157</v>
      </c>
      <c r="I33" s="149">
        <v>14.0</v>
      </c>
      <c r="J33" s="79" t="s">
        <v>1</v>
      </c>
      <c r="K33" s="150">
        <f>2078-2035</f>
        <v>43</v>
      </c>
      <c r="L33" s="150" t="s">
        <v>157</v>
      </c>
      <c r="N33" s="376"/>
      <c r="O33" s="86"/>
      <c r="P33" s="202" t="s">
        <v>775</v>
      </c>
      <c r="T33" s="381" t="s">
        <v>776</v>
      </c>
      <c r="U33" s="400">
        <v>45509.0</v>
      </c>
      <c r="V33" s="377" t="s">
        <v>777</v>
      </c>
    </row>
    <row r="34">
      <c r="B34" s="41"/>
      <c r="I34" s="149">
        <v>15.0</v>
      </c>
      <c r="J34" s="79" t="s">
        <v>1</v>
      </c>
      <c r="K34" s="150">
        <f>2267-2206</f>
        <v>61</v>
      </c>
      <c r="L34" s="150" t="s">
        <v>158</v>
      </c>
      <c r="N34" s="376"/>
      <c r="O34" s="86"/>
      <c r="P34" s="202" t="s">
        <v>778</v>
      </c>
      <c r="T34" s="378" t="s">
        <v>779</v>
      </c>
      <c r="U34" s="401"/>
      <c r="V34" s="402"/>
    </row>
    <row r="35">
      <c r="I35" s="180">
        <v>16.0</v>
      </c>
      <c r="J35" s="181" t="s">
        <v>157</v>
      </c>
      <c r="K35" s="182">
        <f>2201-1850</f>
        <v>351</v>
      </c>
      <c r="L35" s="182" t="s">
        <v>1</v>
      </c>
      <c r="N35" s="403"/>
      <c r="O35" s="205"/>
      <c r="P35" s="380" t="s">
        <v>780</v>
      </c>
    </row>
    <row r="36">
      <c r="A36" s="61"/>
      <c r="B36" s="61"/>
      <c r="C36" s="61"/>
      <c r="D36" s="61"/>
      <c r="E36" s="61"/>
      <c r="F36" s="61"/>
      <c r="G36" s="61"/>
      <c r="H36" s="61"/>
      <c r="I36" s="218"/>
      <c r="J36" s="219"/>
      <c r="K36" s="404"/>
      <c r="L36" s="404"/>
      <c r="N36" s="364"/>
      <c r="O36" s="127"/>
      <c r="P36" s="364"/>
      <c r="T36" s="33" t="s">
        <v>781</v>
      </c>
      <c r="U36" s="34" t="s">
        <v>11</v>
      </c>
      <c r="V36" s="35" t="s">
        <v>782</v>
      </c>
    </row>
    <row r="37">
      <c r="N37" s="368" t="s">
        <v>783</v>
      </c>
      <c r="O37" s="34" t="s">
        <v>11</v>
      </c>
      <c r="P37" s="369" t="s">
        <v>784</v>
      </c>
      <c r="T37" s="51" t="s">
        <v>785</v>
      </c>
      <c r="U37" s="400">
        <v>45509.0</v>
      </c>
      <c r="V37" s="53" t="s">
        <v>786</v>
      </c>
    </row>
    <row r="38">
      <c r="A38" s="184" t="s">
        <v>189</v>
      </c>
      <c r="I38" s="185" t="s">
        <v>190</v>
      </c>
      <c r="J38" s="186"/>
      <c r="K38" s="185" t="s">
        <v>191</v>
      </c>
      <c r="L38" s="186"/>
      <c r="N38" s="371"/>
      <c r="O38" s="125">
        <v>45279.0</v>
      </c>
      <c r="P38" s="380" t="s">
        <v>787</v>
      </c>
      <c r="T38" s="126" t="s">
        <v>788</v>
      </c>
      <c r="U38" s="61"/>
      <c r="V38" s="38"/>
    </row>
    <row r="39">
      <c r="A39" s="188" t="s">
        <v>196</v>
      </c>
      <c r="B39" s="189" t="s">
        <v>197</v>
      </c>
      <c r="C39" s="190" t="s">
        <v>198</v>
      </c>
      <c r="I39" s="51" t="s">
        <v>158</v>
      </c>
      <c r="J39" s="191">
        <f t="shared" ref="J39:J48" si="1">COUNTIF($J$20:$J$37, I39)</f>
        <v>3</v>
      </c>
      <c r="K39" s="51" t="s">
        <v>158</v>
      </c>
      <c r="L39" s="191">
        <f t="shared" ref="L39:L48" si="2">COUNTIF($L$20:$L$37,K39)</f>
        <v>2</v>
      </c>
      <c r="N39" s="364"/>
      <c r="O39" s="86"/>
      <c r="P39" s="364"/>
    </row>
    <row r="40">
      <c r="A40" s="188" t="s">
        <v>200</v>
      </c>
      <c r="B40" s="189" t="s">
        <v>201</v>
      </c>
      <c r="C40" s="79" t="s">
        <v>202</v>
      </c>
      <c r="I40" s="51" t="s">
        <v>157</v>
      </c>
      <c r="J40" s="191">
        <f t="shared" si="1"/>
        <v>9</v>
      </c>
      <c r="K40" s="51" t="s">
        <v>157</v>
      </c>
      <c r="L40" s="191">
        <f t="shared" si="2"/>
        <v>3</v>
      </c>
      <c r="N40" s="368" t="s">
        <v>789</v>
      </c>
      <c r="O40" s="34" t="s">
        <v>11</v>
      </c>
      <c r="P40" s="369" t="s">
        <v>790</v>
      </c>
      <c r="T40" s="398" t="s">
        <v>791</v>
      </c>
      <c r="U40" s="34" t="s">
        <v>11</v>
      </c>
      <c r="V40" s="399" t="s">
        <v>792</v>
      </c>
    </row>
    <row r="41">
      <c r="A41" s="188" t="s">
        <v>203</v>
      </c>
      <c r="B41" s="189" t="s">
        <v>204</v>
      </c>
      <c r="C41" s="193" t="s">
        <v>205</v>
      </c>
      <c r="I41" s="51" t="s">
        <v>59</v>
      </c>
      <c r="J41" s="191">
        <f t="shared" si="1"/>
        <v>0</v>
      </c>
      <c r="K41" s="51" t="s">
        <v>59</v>
      </c>
      <c r="L41" s="191">
        <f t="shared" si="2"/>
        <v>0</v>
      </c>
      <c r="N41" s="376"/>
      <c r="O41" s="373">
        <v>45282.0</v>
      </c>
      <c r="P41" s="202" t="s">
        <v>793</v>
      </c>
      <c r="T41" s="126" t="s">
        <v>794</v>
      </c>
      <c r="U41" s="405">
        <v>45510.0</v>
      </c>
      <c r="V41" s="38"/>
    </row>
    <row r="42">
      <c r="A42" s="188" t="s">
        <v>206</v>
      </c>
      <c r="B42" s="189" t="s">
        <v>207</v>
      </c>
      <c r="C42" s="193" t="s">
        <v>795</v>
      </c>
      <c r="I42" s="51" t="s">
        <v>3</v>
      </c>
      <c r="J42" s="191">
        <f t="shared" si="1"/>
        <v>1</v>
      </c>
      <c r="K42" s="51" t="s">
        <v>3</v>
      </c>
      <c r="L42" s="191">
        <f t="shared" si="2"/>
        <v>3</v>
      </c>
      <c r="N42" s="375"/>
      <c r="O42" s="127"/>
      <c r="P42" s="202" t="s">
        <v>796</v>
      </c>
    </row>
    <row r="43">
      <c r="I43" s="51" t="s">
        <v>2</v>
      </c>
      <c r="J43" s="191">
        <f t="shared" si="1"/>
        <v>0</v>
      </c>
      <c r="K43" s="51" t="s">
        <v>2</v>
      </c>
      <c r="L43" s="191">
        <f t="shared" si="2"/>
        <v>0</v>
      </c>
      <c r="N43" s="371"/>
      <c r="O43" s="205"/>
      <c r="P43" s="406" t="s">
        <v>797</v>
      </c>
    </row>
    <row r="44">
      <c r="A44" s="188" t="s">
        <v>210</v>
      </c>
      <c r="B44" s="41"/>
      <c r="C44" s="79" t="s">
        <v>211</v>
      </c>
      <c r="D44" s="41"/>
      <c r="E44" s="41"/>
      <c r="I44" s="51" t="s">
        <v>78</v>
      </c>
      <c r="J44" s="191">
        <f t="shared" si="1"/>
        <v>0</v>
      </c>
      <c r="K44" s="51" t="s">
        <v>78</v>
      </c>
      <c r="L44" s="191">
        <f t="shared" si="2"/>
        <v>0</v>
      </c>
      <c r="N44" s="383"/>
      <c r="O44" s="86"/>
      <c r="P44" s="383"/>
    </row>
    <row r="45">
      <c r="A45" s="52">
        <v>45249.0</v>
      </c>
      <c r="B45" s="189" t="s">
        <v>197</v>
      </c>
      <c r="C45" s="79" t="s">
        <v>798</v>
      </c>
      <c r="I45" s="51" t="s">
        <v>26</v>
      </c>
      <c r="J45" s="191">
        <f t="shared" si="1"/>
        <v>0</v>
      </c>
      <c r="K45" s="51" t="s">
        <v>26</v>
      </c>
      <c r="L45" s="191">
        <f t="shared" si="2"/>
        <v>0</v>
      </c>
      <c r="N45" s="368" t="s">
        <v>799</v>
      </c>
      <c r="O45" s="34" t="s">
        <v>11</v>
      </c>
      <c r="P45" s="369" t="s">
        <v>800</v>
      </c>
    </row>
    <row r="46">
      <c r="A46" s="52">
        <v>45310.0</v>
      </c>
      <c r="B46" s="189" t="s">
        <v>197</v>
      </c>
      <c r="C46" s="79" t="s">
        <v>801</v>
      </c>
      <c r="I46" s="51" t="s">
        <v>22</v>
      </c>
      <c r="J46" s="191">
        <f t="shared" si="1"/>
        <v>0</v>
      </c>
      <c r="K46" s="51" t="s">
        <v>22</v>
      </c>
      <c r="L46" s="191">
        <f t="shared" si="2"/>
        <v>0</v>
      </c>
      <c r="N46" s="403"/>
      <c r="O46" s="125">
        <v>45290.0</v>
      </c>
      <c r="P46" s="380" t="s">
        <v>802</v>
      </c>
    </row>
    <row r="47">
      <c r="A47" s="52">
        <v>45330.0</v>
      </c>
      <c r="B47" s="189" t="s">
        <v>201</v>
      </c>
      <c r="C47" s="79" t="s">
        <v>801</v>
      </c>
      <c r="I47" s="51" t="s">
        <v>227</v>
      </c>
      <c r="J47" s="191">
        <f t="shared" si="1"/>
        <v>0</v>
      </c>
      <c r="K47" s="51" t="s">
        <v>227</v>
      </c>
      <c r="L47" s="191">
        <f t="shared" si="2"/>
        <v>1</v>
      </c>
      <c r="N47" s="383"/>
      <c r="O47" s="86"/>
      <c r="P47" s="383"/>
    </row>
    <row r="48">
      <c r="A48" s="52">
        <v>45332.0</v>
      </c>
      <c r="B48" s="189" t="s">
        <v>204</v>
      </c>
      <c r="C48" s="79" t="s">
        <v>803</v>
      </c>
      <c r="I48" s="126" t="s">
        <v>1</v>
      </c>
      <c r="J48" s="407">
        <f t="shared" si="1"/>
        <v>3</v>
      </c>
      <c r="K48" s="126" t="s">
        <v>1</v>
      </c>
      <c r="L48" s="407">
        <f t="shared" si="2"/>
        <v>7</v>
      </c>
      <c r="N48" s="368" t="s">
        <v>804</v>
      </c>
      <c r="O48" s="34" t="s">
        <v>11</v>
      </c>
      <c r="P48" s="369" t="s">
        <v>805</v>
      </c>
    </row>
    <row r="49">
      <c r="A49" s="61"/>
      <c r="B49" s="61"/>
      <c r="C49" s="61"/>
      <c r="D49" s="61"/>
      <c r="E49" s="61"/>
      <c r="F49" s="61"/>
      <c r="G49" s="61"/>
      <c r="H49" s="61"/>
      <c r="I49" s="61"/>
      <c r="J49" s="61"/>
      <c r="K49" s="61"/>
      <c r="L49" s="61"/>
      <c r="N49" s="204" t="s">
        <v>806</v>
      </c>
      <c r="O49" s="125">
        <v>45297.0</v>
      </c>
      <c r="P49" s="380" t="s">
        <v>807</v>
      </c>
    </row>
    <row r="50">
      <c r="N50" s="383"/>
      <c r="O50" s="86"/>
      <c r="P50" s="383"/>
    </row>
    <row r="51">
      <c r="A51" s="87" t="s">
        <v>54</v>
      </c>
      <c r="B51" s="88"/>
      <c r="C51" s="87" t="s">
        <v>808</v>
      </c>
      <c r="D51" s="88"/>
      <c r="E51" s="87" t="s">
        <v>809</v>
      </c>
      <c r="F51" s="88"/>
      <c r="G51" s="87" t="s">
        <v>810</v>
      </c>
      <c r="H51" s="89"/>
      <c r="I51" s="87" t="s">
        <v>811</v>
      </c>
      <c r="J51" s="408" t="s">
        <v>812</v>
      </c>
      <c r="K51" s="43"/>
      <c r="L51" s="44"/>
      <c r="N51" s="368" t="s">
        <v>813</v>
      </c>
      <c r="O51" s="34" t="s">
        <v>11</v>
      </c>
      <c r="P51" s="369" t="s">
        <v>814</v>
      </c>
    </row>
    <row r="52">
      <c r="A52" s="91" t="s">
        <v>59</v>
      </c>
      <c r="B52" s="94"/>
      <c r="C52" s="92" t="s">
        <v>815</v>
      </c>
      <c r="D52" s="93"/>
      <c r="E52" s="92" t="s">
        <v>815</v>
      </c>
      <c r="F52" s="94"/>
      <c r="G52" s="92" t="s">
        <v>815</v>
      </c>
      <c r="H52" s="94"/>
      <c r="I52" s="92" t="s">
        <v>815</v>
      </c>
      <c r="J52" s="409" t="s">
        <v>815</v>
      </c>
      <c r="K52" s="410"/>
      <c r="L52" s="295"/>
      <c r="N52" s="403"/>
      <c r="O52" s="125">
        <v>45297.0</v>
      </c>
      <c r="P52" s="363"/>
    </row>
    <row r="53">
      <c r="A53" s="95"/>
      <c r="B53" s="97"/>
      <c r="C53" s="96" t="s">
        <v>816</v>
      </c>
      <c r="D53" s="97"/>
      <c r="E53" s="96" t="s">
        <v>817</v>
      </c>
      <c r="F53" s="97"/>
      <c r="G53" s="96" t="s">
        <v>816</v>
      </c>
      <c r="H53" s="181"/>
      <c r="I53" s="96" t="s">
        <v>816</v>
      </c>
      <c r="J53" s="411" t="s">
        <v>816</v>
      </c>
      <c r="K53" s="139"/>
      <c r="L53" s="222"/>
      <c r="N53" s="383"/>
      <c r="O53" s="86"/>
      <c r="P53" s="383"/>
    </row>
    <row r="54">
      <c r="A54" s="91" t="s">
        <v>63</v>
      </c>
      <c r="C54" s="92" t="s">
        <v>65</v>
      </c>
      <c r="D54" s="94"/>
      <c r="E54" s="92" t="s">
        <v>65</v>
      </c>
      <c r="F54" s="94"/>
      <c r="G54" s="92" t="s">
        <v>65</v>
      </c>
      <c r="H54" s="94"/>
      <c r="I54" s="92" t="s">
        <v>65</v>
      </c>
      <c r="J54" s="92" t="s">
        <v>65</v>
      </c>
      <c r="L54" s="304"/>
      <c r="N54" s="368" t="s">
        <v>818</v>
      </c>
      <c r="O54" s="34" t="s">
        <v>11</v>
      </c>
      <c r="P54" s="369" t="s">
        <v>819</v>
      </c>
    </row>
    <row r="55">
      <c r="A55" s="95"/>
      <c r="C55" s="96" t="s">
        <v>254</v>
      </c>
      <c r="D55" s="97"/>
      <c r="E55" s="96" t="s">
        <v>254</v>
      </c>
      <c r="F55" s="97"/>
      <c r="G55" s="96" t="s">
        <v>254</v>
      </c>
      <c r="H55" s="97"/>
      <c r="I55" s="96" t="s">
        <v>254</v>
      </c>
      <c r="J55" s="96" t="s">
        <v>254</v>
      </c>
      <c r="L55" s="304"/>
      <c r="N55" s="198" t="s">
        <v>820</v>
      </c>
      <c r="O55" s="373">
        <v>45326.0</v>
      </c>
      <c r="P55" s="202" t="s">
        <v>821</v>
      </c>
    </row>
    <row r="56">
      <c r="A56" s="91" t="s">
        <v>2</v>
      </c>
      <c r="B56" s="94"/>
      <c r="C56" s="92" t="s">
        <v>259</v>
      </c>
      <c r="D56" s="94"/>
      <c r="E56" s="92" t="s">
        <v>259</v>
      </c>
      <c r="F56" s="94"/>
      <c r="G56" s="92" t="s">
        <v>259</v>
      </c>
      <c r="H56" s="94"/>
      <c r="I56" s="92" t="s">
        <v>259</v>
      </c>
      <c r="J56" s="92" t="s">
        <v>259</v>
      </c>
      <c r="K56" s="94"/>
      <c r="L56" s="300"/>
      <c r="N56" s="204" t="s">
        <v>822</v>
      </c>
      <c r="O56" s="205"/>
      <c r="P56" s="380" t="s">
        <v>823</v>
      </c>
    </row>
    <row r="57">
      <c r="A57" s="95"/>
      <c r="B57" s="97"/>
      <c r="C57" s="96" t="s">
        <v>261</v>
      </c>
      <c r="D57" s="97"/>
      <c r="E57" s="96" t="s">
        <v>261</v>
      </c>
      <c r="F57" s="97"/>
      <c r="G57" s="96" t="s">
        <v>261</v>
      </c>
      <c r="H57" s="97"/>
      <c r="I57" s="96" t="s">
        <v>261</v>
      </c>
      <c r="J57" s="96" t="s">
        <v>261</v>
      </c>
      <c r="K57" s="97"/>
      <c r="L57" s="342"/>
      <c r="N57" s="383"/>
      <c r="O57" s="86"/>
      <c r="P57" s="383"/>
    </row>
    <row r="58">
      <c r="A58" s="91" t="s">
        <v>3</v>
      </c>
      <c r="C58" s="92" t="s">
        <v>824</v>
      </c>
      <c r="D58" s="94"/>
      <c r="E58" s="92" t="s">
        <v>71</v>
      </c>
      <c r="F58" s="94"/>
      <c r="G58" s="92" t="s">
        <v>71</v>
      </c>
      <c r="H58" s="94"/>
      <c r="I58" s="92" t="s">
        <v>262</v>
      </c>
      <c r="J58" s="79" t="s">
        <v>262</v>
      </c>
      <c r="L58" s="304"/>
      <c r="N58" s="368" t="s">
        <v>825</v>
      </c>
      <c r="O58" s="34" t="s">
        <v>11</v>
      </c>
      <c r="P58" s="369" t="s">
        <v>826</v>
      </c>
    </row>
    <row r="59">
      <c r="A59" s="95"/>
      <c r="C59" s="96" t="s">
        <v>262</v>
      </c>
      <c r="D59" s="97"/>
      <c r="E59" s="96" t="s">
        <v>827</v>
      </c>
      <c r="F59" s="97"/>
      <c r="G59" s="96" t="s">
        <v>827</v>
      </c>
      <c r="H59" s="97"/>
      <c r="I59" s="96" t="s">
        <v>71</v>
      </c>
      <c r="J59" s="79" t="s">
        <v>229</v>
      </c>
      <c r="L59" s="304"/>
      <c r="N59" s="403"/>
      <c r="O59" s="125">
        <v>45330.0</v>
      </c>
      <c r="P59" s="406" t="s">
        <v>828</v>
      </c>
    </row>
    <row r="60">
      <c r="A60" s="91" t="s">
        <v>73</v>
      </c>
      <c r="B60" s="94"/>
      <c r="C60" s="92" t="s">
        <v>263</v>
      </c>
      <c r="D60" s="94"/>
      <c r="E60" s="92" t="s">
        <v>263</v>
      </c>
      <c r="F60" s="94"/>
      <c r="G60" s="92" t="s">
        <v>263</v>
      </c>
      <c r="H60" s="94"/>
      <c r="I60" s="92" t="s">
        <v>263</v>
      </c>
      <c r="J60" s="92" t="s">
        <v>263</v>
      </c>
      <c r="K60" s="94"/>
      <c r="L60" s="300"/>
      <c r="N60" s="383"/>
      <c r="O60" s="86"/>
      <c r="P60" s="383"/>
    </row>
    <row r="61">
      <c r="A61" s="95"/>
      <c r="B61" s="97"/>
      <c r="C61" s="96" t="s">
        <v>829</v>
      </c>
      <c r="D61" s="97"/>
      <c r="E61" s="96" t="s">
        <v>829</v>
      </c>
      <c r="F61" s="97"/>
      <c r="G61" s="96" t="s">
        <v>829</v>
      </c>
      <c r="H61" s="97"/>
      <c r="I61" s="96" t="s">
        <v>830</v>
      </c>
      <c r="J61" s="96" t="s">
        <v>830</v>
      </c>
      <c r="K61" s="97"/>
      <c r="L61" s="342"/>
      <c r="N61" s="368" t="s">
        <v>831</v>
      </c>
      <c r="O61" s="34" t="s">
        <v>11</v>
      </c>
      <c r="P61" s="369" t="s">
        <v>832</v>
      </c>
    </row>
    <row r="62">
      <c r="A62" s="91" t="s">
        <v>22</v>
      </c>
      <c r="C62" s="92" t="s">
        <v>833</v>
      </c>
      <c r="D62" s="94"/>
      <c r="E62" s="92" t="s">
        <v>833</v>
      </c>
      <c r="F62" s="94"/>
      <c r="G62" s="92" t="s">
        <v>833</v>
      </c>
      <c r="H62" s="94"/>
      <c r="I62" s="92" t="s">
        <v>833</v>
      </c>
      <c r="J62" s="92" t="s">
        <v>833</v>
      </c>
      <c r="L62" s="304"/>
      <c r="N62" s="403"/>
      <c r="O62" s="125">
        <v>45332.0</v>
      </c>
      <c r="P62" s="380" t="s">
        <v>834</v>
      </c>
    </row>
    <row r="63">
      <c r="A63" s="95"/>
      <c r="C63" s="96" t="s">
        <v>267</v>
      </c>
      <c r="D63" s="97"/>
      <c r="E63" s="96" t="s">
        <v>267</v>
      </c>
      <c r="F63" s="97"/>
      <c r="G63" s="96" t="s">
        <v>267</v>
      </c>
      <c r="H63" s="97"/>
      <c r="I63" s="96" t="s">
        <v>267</v>
      </c>
      <c r="J63" s="96" t="s">
        <v>267</v>
      </c>
      <c r="L63" s="304"/>
      <c r="N63" s="383"/>
      <c r="O63" s="86"/>
      <c r="P63" s="383"/>
    </row>
    <row r="64">
      <c r="A64" s="91" t="s">
        <v>78</v>
      </c>
      <c r="B64" s="94"/>
      <c r="C64" s="92" t="s">
        <v>835</v>
      </c>
      <c r="D64" s="94"/>
      <c r="E64" s="92" t="s">
        <v>835</v>
      </c>
      <c r="F64" s="94"/>
      <c r="G64" s="92" t="s">
        <v>835</v>
      </c>
      <c r="H64" s="94"/>
      <c r="I64" s="92" t="s">
        <v>835</v>
      </c>
      <c r="J64" s="92" t="s">
        <v>835</v>
      </c>
      <c r="K64" s="94"/>
      <c r="L64" s="300"/>
      <c r="N64" s="368" t="s">
        <v>836</v>
      </c>
      <c r="O64" s="34" t="s">
        <v>11</v>
      </c>
      <c r="P64" s="369" t="s">
        <v>837</v>
      </c>
    </row>
    <row r="65">
      <c r="A65" s="95"/>
      <c r="B65" s="97"/>
      <c r="C65" s="96" t="s">
        <v>838</v>
      </c>
      <c r="D65" s="97"/>
      <c r="E65" s="96" t="s">
        <v>838</v>
      </c>
      <c r="F65" s="97"/>
      <c r="G65" s="96" t="s">
        <v>838</v>
      </c>
      <c r="H65" s="97"/>
      <c r="I65" s="96" t="s">
        <v>838</v>
      </c>
      <c r="J65" s="96" t="s">
        <v>838</v>
      </c>
      <c r="K65" s="97"/>
      <c r="L65" s="342"/>
      <c r="N65" s="198" t="s">
        <v>839</v>
      </c>
      <c r="O65" s="373">
        <v>45333.0</v>
      </c>
      <c r="P65" s="202" t="s">
        <v>840</v>
      </c>
    </row>
    <row r="66">
      <c r="A66" s="91" t="s">
        <v>227</v>
      </c>
      <c r="C66" s="92" t="s">
        <v>841</v>
      </c>
      <c r="D66" s="94"/>
      <c r="E66" s="92" t="s">
        <v>841</v>
      </c>
      <c r="F66" s="94"/>
      <c r="G66" s="92" t="s">
        <v>841</v>
      </c>
      <c r="H66" s="94"/>
      <c r="I66" s="92" t="s">
        <v>841</v>
      </c>
      <c r="J66" s="92" t="s">
        <v>841</v>
      </c>
      <c r="L66" s="304"/>
      <c r="N66" s="198" t="s">
        <v>842</v>
      </c>
      <c r="O66" s="86"/>
      <c r="P66" s="202" t="s">
        <v>843</v>
      </c>
    </row>
    <row r="67">
      <c r="A67" s="95"/>
      <c r="C67" s="96" t="s">
        <v>222</v>
      </c>
      <c r="D67" s="97"/>
      <c r="E67" s="96" t="s">
        <v>222</v>
      </c>
      <c r="F67" s="97"/>
      <c r="G67" s="96" t="s">
        <v>240</v>
      </c>
      <c r="H67" s="97"/>
      <c r="I67" s="96" t="s">
        <v>240</v>
      </c>
      <c r="J67" s="96" t="s">
        <v>240</v>
      </c>
      <c r="L67" s="304"/>
      <c r="N67" s="198" t="s">
        <v>844</v>
      </c>
      <c r="O67" s="86"/>
      <c r="P67" s="202" t="s">
        <v>845</v>
      </c>
    </row>
    <row r="68">
      <c r="A68" s="91" t="s">
        <v>84</v>
      </c>
      <c r="B68" s="94"/>
      <c r="C68" s="92" t="s">
        <v>846</v>
      </c>
      <c r="D68" s="94"/>
      <c r="E68" s="92" t="s">
        <v>846</v>
      </c>
      <c r="F68" s="94"/>
      <c r="G68" s="92" t="s">
        <v>846</v>
      </c>
      <c r="H68" s="94"/>
      <c r="I68" s="92" t="s">
        <v>847</v>
      </c>
      <c r="J68" s="412" t="s">
        <v>848</v>
      </c>
      <c r="K68" s="94"/>
      <c r="L68" s="300"/>
      <c r="N68" s="198" t="s">
        <v>849</v>
      </c>
      <c r="O68" s="86"/>
      <c r="P68" s="202" t="s">
        <v>850</v>
      </c>
    </row>
    <row r="69">
      <c r="A69" s="95"/>
      <c r="B69" s="97"/>
      <c r="C69" s="96" t="s">
        <v>255</v>
      </c>
      <c r="D69" s="97"/>
      <c r="E69" s="96" t="s">
        <v>255</v>
      </c>
      <c r="F69" s="97"/>
      <c r="G69" s="96" t="s">
        <v>255</v>
      </c>
      <c r="H69" s="97"/>
      <c r="I69" s="96" t="s">
        <v>851</v>
      </c>
      <c r="J69" s="181" t="s">
        <v>852</v>
      </c>
      <c r="K69" s="97"/>
      <c r="L69" s="342"/>
      <c r="N69" s="376"/>
      <c r="O69" s="86"/>
      <c r="P69" s="202" t="s">
        <v>853</v>
      </c>
    </row>
    <row r="70">
      <c r="A70" s="91" t="s">
        <v>26</v>
      </c>
      <c r="C70" s="92" t="s">
        <v>854</v>
      </c>
      <c r="D70" s="94"/>
      <c r="E70" s="92" t="s">
        <v>855</v>
      </c>
      <c r="F70" s="94"/>
      <c r="G70" s="92" t="s">
        <v>855</v>
      </c>
      <c r="H70" s="94"/>
      <c r="I70" s="92" t="s">
        <v>855</v>
      </c>
      <c r="J70" s="79" t="s">
        <v>856</v>
      </c>
      <c r="L70" s="304"/>
      <c r="N70" s="376"/>
      <c r="O70" s="86"/>
      <c r="P70" s="202" t="s">
        <v>857</v>
      </c>
    </row>
    <row r="71">
      <c r="A71" s="95"/>
      <c r="B71" s="97"/>
      <c r="C71" s="96" t="s">
        <v>858</v>
      </c>
      <c r="D71" s="97"/>
      <c r="E71" s="96" t="s">
        <v>858</v>
      </c>
      <c r="F71" s="97"/>
      <c r="G71" s="96" t="s">
        <v>858</v>
      </c>
      <c r="H71" s="97"/>
      <c r="I71" s="96" t="s">
        <v>858</v>
      </c>
      <c r="J71" s="181" t="s">
        <v>858</v>
      </c>
      <c r="K71" s="97"/>
      <c r="L71" s="342"/>
      <c r="N71" s="376"/>
      <c r="O71" s="86"/>
      <c r="P71" s="202" t="s">
        <v>859</v>
      </c>
    </row>
    <row r="72">
      <c r="A72" s="61"/>
      <c r="B72" s="61"/>
      <c r="C72" s="61"/>
      <c r="D72" s="61"/>
      <c r="E72" s="61"/>
      <c r="F72" s="61"/>
      <c r="G72" s="61"/>
      <c r="H72" s="61"/>
      <c r="I72" s="61"/>
      <c r="J72" s="61"/>
      <c r="K72" s="61"/>
      <c r="L72" s="61"/>
      <c r="N72" s="376"/>
      <c r="O72" s="86"/>
      <c r="P72" s="53" t="s">
        <v>860</v>
      </c>
    </row>
    <row r="73">
      <c r="N73" s="376"/>
      <c r="O73" s="86"/>
      <c r="P73" s="377" t="s">
        <v>861</v>
      </c>
    </row>
    <row r="74">
      <c r="A74" s="207" t="s">
        <v>862</v>
      </c>
      <c r="N74" s="376"/>
      <c r="O74" s="86"/>
      <c r="P74" s="202" t="s">
        <v>863</v>
      </c>
    </row>
    <row r="75">
      <c r="A75" s="210" t="s">
        <v>279</v>
      </c>
      <c r="B75" s="43"/>
      <c r="C75" s="44"/>
      <c r="D75" s="210" t="s">
        <v>280</v>
      </c>
      <c r="E75" s="43"/>
      <c r="F75" s="43"/>
      <c r="G75" s="44"/>
      <c r="H75" s="210" t="s">
        <v>281</v>
      </c>
      <c r="I75" s="43"/>
      <c r="J75" s="43"/>
      <c r="K75" s="44"/>
      <c r="N75" s="376"/>
      <c r="O75" s="86"/>
      <c r="P75" s="53" t="s">
        <v>864</v>
      </c>
    </row>
    <row r="76">
      <c r="A76" s="214" t="s">
        <v>865</v>
      </c>
      <c r="B76" s="43"/>
      <c r="C76" s="44"/>
      <c r="D76" s="214" t="s">
        <v>866</v>
      </c>
      <c r="E76" s="43"/>
      <c r="F76" s="43"/>
      <c r="G76" s="44"/>
      <c r="H76" s="214" t="s">
        <v>867</v>
      </c>
      <c r="I76" s="43"/>
      <c r="J76" s="43"/>
      <c r="K76" s="44"/>
      <c r="N76" s="376"/>
      <c r="O76" s="86"/>
      <c r="P76" s="202" t="s">
        <v>684</v>
      </c>
    </row>
    <row r="77">
      <c r="A77" s="214" t="s">
        <v>868</v>
      </c>
      <c r="B77" s="43"/>
      <c r="C77" s="44"/>
      <c r="D77" s="214" t="s">
        <v>869</v>
      </c>
      <c r="E77" s="43"/>
      <c r="F77" s="43"/>
      <c r="G77" s="44"/>
      <c r="H77" s="214" t="s">
        <v>870</v>
      </c>
      <c r="I77" s="43"/>
      <c r="J77" s="43"/>
      <c r="K77" s="44"/>
      <c r="N77" s="403"/>
      <c r="O77" s="205"/>
      <c r="P77" s="380" t="s">
        <v>871</v>
      </c>
    </row>
    <row r="78">
      <c r="A78" s="214" t="s">
        <v>872</v>
      </c>
      <c r="B78" s="43"/>
      <c r="C78" s="44"/>
      <c r="D78" s="214" t="s">
        <v>873</v>
      </c>
      <c r="E78" s="43"/>
      <c r="F78" s="43"/>
      <c r="G78" s="44"/>
      <c r="H78" s="214" t="s">
        <v>874</v>
      </c>
      <c r="I78" s="43"/>
      <c r="J78" s="43"/>
      <c r="K78" s="44"/>
      <c r="N78" s="203"/>
      <c r="O78" s="86"/>
      <c r="P78" s="383"/>
    </row>
    <row r="79">
      <c r="A79" s="214" t="s">
        <v>875</v>
      </c>
      <c r="B79" s="43"/>
      <c r="C79" s="44"/>
      <c r="D79" s="214" t="s">
        <v>876</v>
      </c>
      <c r="E79" s="43"/>
      <c r="F79" s="43"/>
      <c r="G79" s="44"/>
      <c r="H79" s="214" t="s">
        <v>877</v>
      </c>
      <c r="I79" s="43"/>
      <c r="J79" s="43"/>
      <c r="K79" s="44"/>
      <c r="N79" s="368" t="s">
        <v>878</v>
      </c>
      <c r="O79" s="34" t="s">
        <v>11</v>
      </c>
      <c r="P79" s="369" t="s">
        <v>879</v>
      </c>
    </row>
    <row r="80">
      <c r="A80" s="214" t="s">
        <v>880</v>
      </c>
      <c r="B80" s="43"/>
      <c r="C80" s="44"/>
      <c r="D80" s="214" t="s">
        <v>881</v>
      </c>
      <c r="E80" s="43"/>
      <c r="F80" s="43"/>
      <c r="G80" s="44"/>
      <c r="H80" s="214" t="s">
        <v>882</v>
      </c>
      <c r="I80" s="43"/>
      <c r="J80" s="43"/>
      <c r="K80" s="44"/>
      <c r="N80" s="198" t="s">
        <v>883</v>
      </c>
      <c r="O80" s="373">
        <v>45333.0</v>
      </c>
      <c r="P80" s="202" t="s">
        <v>884</v>
      </c>
    </row>
    <row r="81">
      <c r="A81" s="214" t="s">
        <v>885</v>
      </c>
      <c r="B81" s="43"/>
      <c r="C81" s="44"/>
      <c r="D81" s="214" t="s">
        <v>886</v>
      </c>
      <c r="E81" s="43"/>
      <c r="F81" s="43"/>
      <c r="G81" s="44"/>
      <c r="H81" s="214" t="s">
        <v>887</v>
      </c>
      <c r="I81" s="43"/>
      <c r="J81" s="43"/>
      <c r="K81" s="44"/>
      <c r="N81" s="376"/>
      <c r="O81" s="86"/>
      <c r="P81" s="202" t="s">
        <v>888</v>
      </c>
    </row>
    <row r="82">
      <c r="A82" s="214" t="s">
        <v>889</v>
      </c>
      <c r="B82" s="43"/>
      <c r="C82" s="44"/>
      <c r="D82" s="214" t="s">
        <v>890</v>
      </c>
      <c r="E82" s="43"/>
      <c r="F82" s="43"/>
      <c r="G82" s="44"/>
      <c r="H82" s="214" t="s">
        <v>891</v>
      </c>
      <c r="I82" s="43"/>
      <c r="J82" s="43"/>
      <c r="K82" s="44"/>
      <c r="N82" s="376"/>
      <c r="O82" s="86"/>
      <c r="P82" s="202" t="s">
        <v>892</v>
      </c>
    </row>
    <row r="83">
      <c r="A83" s="214" t="s">
        <v>893</v>
      </c>
      <c r="B83" s="43"/>
      <c r="C83" s="44"/>
      <c r="D83" s="214" t="s">
        <v>894</v>
      </c>
      <c r="E83" s="43"/>
      <c r="F83" s="43"/>
      <c r="G83" s="44"/>
      <c r="H83" s="214" t="s">
        <v>895</v>
      </c>
      <c r="I83" s="43"/>
      <c r="J83" s="43"/>
      <c r="K83" s="44"/>
      <c r="N83" s="376"/>
      <c r="O83" s="86"/>
      <c r="P83" s="202" t="s">
        <v>896</v>
      </c>
    </row>
    <row r="84">
      <c r="A84" s="214" t="s">
        <v>897</v>
      </c>
      <c r="B84" s="43"/>
      <c r="C84" s="44"/>
      <c r="D84" s="214" t="s">
        <v>898</v>
      </c>
      <c r="E84" s="43"/>
      <c r="F84" s="43"/>
      <c r="G84" s="44"/>
      <c r="H84" s="214" t="s">
        <v>354</v>
      </c>
      <c r="I84" s="43"/>
      <c r="J84" s="43"/>
      <c r="K84" s="44"/>
      <c r="N84" s="403"/>
      <c r="O84" s="205"/>
      <c r="P84" s="380" t="s">
        <v>899</v>
      </c>
    </row>
    <row r="85">
      <c r="A85" s="214" t="s">
        <v>900</v>
      </c>
      <c r="B85" s="43"/>
      <c r="C85" s="44"/>
      <c r="D85" s="214" t="s">
        <v>901</v>
      </c>
      <c r="E85" s="43"/>
      <c r="F85" s="43"/>
      <c r="G85" s="44"/>
      <c r="H85" s="214" t="s">
        <v>902</v>
      </c>
      <c r="I85" s="43"/>
      <c r="J85" s="43"/>
      <c r="K85" s="44"/>
      <c r="N85" s="383"/>
      <c r="O85" s="86"/>
      <c r="P85" s="383"/>
    </row>
    <row r="86">
      <c r="N86" s="413" t="s">
        <v>903</v>
      </c>
      <c r="O86" s="414"/>
      <c r="P86" s="415"/>
      <c r="Q86" s="94"/>
      <c r="R86" s="94"/>
      <c r="S86" s="94"/>
      <c r="T86" s="300"/>
    </row>
    <row r="87">
      <c r="N87" s="416"/>
      <c r="O87" s="86"/>
      <c r="P87" s="383"/>
      <c r="T87" s="304"/>
    </row>
    <row r="88">
      <c r="A88" s="203" t="s">
        <v>904</v>
      </c>
      <c r="N88" s="417" t="s">
        <v>905</v>
      </c>
      <c r="O88" s="86"/>
      <c r="P88" s="203" t="s">
        <v>906</v>
      </c>
      <c r="R88" s="79" t="s">
        <v>236</v>
      </c>
      <c r="T88" s="150" t="s">
        <v>856</v>
      </c>
    </row>
    <row r="89">
      <c r="A89" s="383"/>
      <c r="N89" s="417" t="s">
        <v>907</v>
      </c>
      <c r="O89" s="86"/>
      <c r="P89" s="203" t="s">
        <v>908</v>
      </c>
      <c r="R89" s="79" t="s">
        <v>909</v>
      </c>
      <c r="T89" s="150" t="s">
        <v>910</v>
      </c>
    </row>
    <row r="90">
      <c r="A90" s="203" t="s">
        <v>911</v>
      </c>
      <c r="N90" s="417" t="s">
        <v>912</v>
      </c>
      <c r="O90" s="86"/>
      <c r="P90" s="383"/>
      <c r="R90" s="79" t="s">
        <v>913</v>
      </c>
      <c r="T90" s="304"/>
    </row>
    <row r="91">
      <c r="A91" s="203" t="s">
        <v>85</v>
      </c>
      <c r="N91" s="417" t="s">
        <v>914</v>
      </c>
      <c r="O91" s="86"/>
      <c r="P91" s="203" t="s">
        <v>915</v>
      </c>
      <c r="R91" s="79" t="s">
        <v>916</v>
      </c>
      <c r="T91" s="304"/>
    </row>
    <row r="92">
      <c r="A92" s="203" t="s">
        <v>917</v>
      </c>
      <c r="N92" s="417" t="s">
        <v>918</v>
      </c>
      <c r="O92" s="86"/>
      <c r="P92" s="203" t="s">
        <v>919</v>
      </c>
      <c r="R92" s="79" t="s">
        <v>920</v>
      </c>
      <c r="T92" s="304"/>
    </row>
    <row r="93">
      <c r="A93" s="203" t="s">
        <v>921</v>
      </c>
      <c r="N93" s="416"/>
      <c r="O93" s="86"/>
      <c r="P93" s="383"/>
      <c r="R93" s="79" t="s">
        <v>835</v>
      </c>
      <c r="T93" s="304"/>
    </row>
    <row r="94">
      <c r="A94" s="79" t="s">
        <v>241</v>
      </c>
      <c r="N94" s="417" t="s">
        <v>922</v>
      </c>
      <c r="O94" s="86"/>
      <c r="P94" s="203" t="s">
        <v>923</v>
      </c>
      <c r="T94" s="304"/>
    </row>
    <row r="95">
      <c r="A95" s="79" t="s">
        <v>924</v>
      </c>
      <c r="N95" s="417" t="s">
        <v>214</v>
      </c>
      <c r="O95" s="86"/>
      <c r="P95" s="203" t="s">
        <v>925</v>
      </c>
      <c r="R95" s="79" t="s">
        <v>212</v>
      </c>
      <c r="T95" s="304"/>
    </row>
    <row r="96">
      <c r="A96" s="79" t="s">
        <v>926</v>
      </c>
      <c r="N96" s="417" t="s">
        <v>927</v>
      </c>
      <c r="O96" s="86"/>
      <c r="P96" s="203" t="s">
        <v>928</v>
      </c>
      <c r="R96" s="79" t="s">
        <v>929</v>
      </c>
      <c r="T96" s="304"/>
    </row>
    <row r="97">
      <c r="N97" s="417" t="s">
        <v>930</v>
      </c>
      <c r="O97" s="86"/>
      <c r="P97" s="203" t="s">
        <v>931</v>
      </c>
      <c r="R97" s="79" t="s">
        <v>932</v>
      </c>
      <c r="T97" s="304"/>
    </row>
    <row r="98">
      <c r="A98" s="418" t="s">
        <v>281</v>
      </c>
      <c r="B98" s="43"/>
      <c r="C98" s="43"/>
      <c r="D98" s="44"/>
      <c r="E98" s="418" t="s">
        <v>332</v>
      </c>
      <c r="F98" s="43"/>
      <c r="G98" s="43"/>
      <c r="H98" s="44"/>
      <c r="I98" s="418" t="s">
        <v>333</v>
      </c>
      <c r="J98" s="43"/>
      <c r="K98" s="43"/>
      <c r="L98" s="44"/>
      <c r="N98" s="417" t="s">
        <v>933</v>
      </c>
      <c r="O98" s="86"/>
      <c r="R98" s="79" t="s">
        <v>816</v>
      </c>
      <c r="T98" s="304"/>
    </row>
    <row r="99">
      <c r="A99" s="419" t="s">
        <v>934</v>
      </c>
      <c r="B99" s="43"/>
      <c r="C99" s="43"/>
      <c r="D99" s="44"/>
      <c r="E99" s="419" t="s">
        <v>935</v>
      </c>
      <c r="F99" s="43"/>
      <c r="G99" s="43"/>
      <c r="H99" s="44"/>
      <c r="I99" s="419" t="s">
        <v>936</v>
      </c>
      <c r="J99" s="43"/>
      <c r="K99" s="43"/>
      <c r="L99" s="44"/>
      <c r="N99" s="417" t="s">
        <v>937</v>
      </c>
      <c r="O99" s="86"/>
      <c r="P99" s="203" t="s">
        <v>938</v>
      </c>
      <c r="T99" s="304"/>
    </row>
    <row r="100">
      <c r="A100" s="420"/>
      <c r="B100" s="43"/>
      <c r="C100" s="43"/>
      <c r="D100" s="44"/>
      <c r="E100" s="420"/>
      <c r="F100" s="43"/>
      <c r="G100" s="43"/>
      <c r="H100" s="44"/>
      <c r="I100" s="420"/>
      <c r="J100" s="43"/>
      <c r="K100" s="43"/>
      <c r="L100" s="44"/>
      <c r="N100" s="416"/>
      <c r="O100" s="86"/>
      <c r="P100" s="203" t="s">
        <v>939</v>
      </c>
      <c r="R100" s="79" t="s">
        <v>940</v>
      </c>
      <c r="T100" s="304"/>
    </row>
    <row r="101">
      <c r="A101" s="419" t="s">
        <v>941</v>
      </c>
      <c r="B101" s="43"/>
      <c r="C101" s="43"/>
      <c r="D101" s="44"/>
      <c r="E101" s="420"/>
      <c r="F101" s="43"/>
      <c r="G101" s="43"/>
      <c r="H101" s="44"/>
      <c r="I101" s="420"/>
      <c r="J101" s="43"/>
      <c r="K101" s="43"/>
      <c r="L101" s="44"/>
      <c r="N101" s="417" t="s">
        <v>942</v>
      </c>
      <c r="O101" s="86"/>
      <c r="P101" s="203" t="s">
        <v>943</v>
      </c>
      <c r="R101" s="79" t="s">
        <v>848</v>
      </c>
      <c r="T101" s="304"/>
    </row>
    <row r="102">
      <c r="A102" s="419" t="s">
        <v>944</v>
      </c>
      <c r="B102" s="43"/>
      <c r="C102" s="43"/>
      <c r="D102" s="44"/>
      <c r="E102" s="420"/>
      <c r="F102" s="43"/>
      <c r="G102" s="43"/>
      <c r="H102" s="44"/>
      <c r="I102" s="420"/>
      <c r="J102" s="43"/>
      <c r="K102" s="43"/>
      <c r="L102" s="44"/>
      <c r="N102" s="417" t="s">
        <v>945</v>
      </c>
      <c r="O102" s="86"/>
      <c r="P102" s="203" t="s">
        <v>946</v>
      </c>
      <c r="R102" s="79" t="s">
        <v>947</v>
      </c>
      <c r="T102" s="304"/>
    </row>
    <row r="103">
      <c r="A103" s="214" t="s">
        <v>948</v>
      </c>
      <c r="B103" s="43"/>
      <c r="C103" s="43"/>
      <c r="D103" s="44"/>
      <c r="E103" s="420"/>
      <c r="F103" s="43"/>
      <c r="G103" s="43"/>
      <c r="H103" s="44"/>
      <c r="I103" s="420"/>
      <c r="J103" s="43"/>
      <c r="K103" s="43"/>
      <c r="L103" s="44"/>
      <c r="N103" s="421" t="s">
        <v>833</v>
      </c>
      <c r="O103" s="422"/>
      <c r="P103" s="423" t="s">
        <v>949</v>
      </c>
      <c r="Q103" s="97"/>
      <c r="R103" s="181" t="s">
        <v>224</v>
      </c>
      <c r="S103" s="97"/>
      <c r="T103" s="342"/>
    </row>
    <row r="104">
      <c r="A104" s="419" t="s">
        <v>950</v>
      </c>
      <c r="B104" s="43"/>
      <c r="C104" s="43"/>
      <c r="D104" s="44"/>
      <c r="E104" s="419" t="s">
        <v>951</v>
      </c>
      <c r="F104" s="43"/>
      <c r="G104" s="43"/>
      <c r="H104" s="44"/>
      <c r="I104" s="419" t="s">
        <v>952</v>
      </c>
      <c r="J104" s="43"/>
      <c r="K104" s="43"/>
      <c r="L104" s="44"/>
      <c r="O104" s="86"/>
    </row>
    <row r="105">
      <c r="A105" s="419" t="s">
        <v>953</v>
      </c>
      <c r="B105" s="43"/>
      <c r="C105" s="43"/>
      <c r="D105" s="44"/>
      <c r="E105" s="419" t="s">
        <v>954</v>
      </c>
      <c r="F105" s="43"/>
      <c r="G105" s="43"/>
      <c r="H105" s="44"/>
      <c r="I105" s="419" t="s">
        <v>955</v>
      </c>
      <c r="J105" s="43"/>
      <c r="K105" s="43"/>
      <c r="L105" s="44"/>
      <c r="O105" s="86"/>
    </row>
    <row r="106">
      <c r="A106" s="420"/>
      <c r="B106" s="43"/>
      <c r="C106" s="43"/>
      <c r="D106" s="44"/>
      <c r="E106" s="420"/>
      <c r="F106" s="43"/>
      <c r="G106" s="43"/>
      <c r="H106" s="44"/>
      <c r="I106" s="420"/>
      <c r="J106" s="43"/>
      <c r="K106" s="43"/>
      <c r="L106" s="44"/>
      <c r="O106" s="86"/>
      <c r="P106" s="383"/>
    </row>
    <row r="107">
      <c r="A107" s="419" t="s">
        <v>956</v>
      </c>
      <c r="B107" s="43"/>
      <c r="C107" s="43"/>
      <c r="D107" s="44"/>
      <c r="E107" s="420"/>
      <c r="F107" s="43"/>
      <c r="G107" s="43"/>
      <c r="H107" s="44"/>
      <c r="I107" s="420"/>
      <c r="J107" s="43"/>
      <c r="K107" s="43"/>
      <c r="L107" s="44"/>
      <c r="O107" s="86"/>
      <c r="P107" s="383"/>
    </row>
    <row r="108">
      <c r="A108" s="419" t="s">
        <v>957</v>
      </c>
      <c r="B108" s="43"/>
      <c r="C108" s="43"/>
      <c r="D108" s="44"/>
      <c r="E108" s="419" t="s">
        <v>958</v>
      </c>
      <c r="F108" s="43"/>
      <c r="G108" s="43"/>
      <c r="H108" s="44"/>
      <c r="I108" s="419" t="s">
        <v>959</v>
      </c>
      <c r="J108" s="43"/>
      <c r="K108" s="43"/>
      <c r="L108" s="44"/>
      <c r="O108" s="86"/>
      <c r="P108" s="383"/>
    </row>
    <row r="109">
      <c r="I109" s="296"/>
      <c r="N109" s="383"/>
      <c r="O109" s="86"/>
      <c r="P109" s="383"/>
    </row>
    <row r="110">
      <c r="I110" s="296"/>
      <c r="N110" s="383"/>
      <c r="O110" s="86"/>
      <c r="P110" s="383"/>
    </row>
    <row r="111">
      <c r="I111" s="296"/>
      <c r="N111" s="383"/>
      <c r="O111" s="86"/>
      <c r="P111" s="383"/>
    </row>
    <row r="112">
      <c r="I112" s="296"/>
      <c r="N112" s="383"/>
      <c r="O112" s="86"/>
      <c r="P112" s="383"/>
    </row>
    <row r="113">
      <c r="I113" s="296"/>
      <c r="N113" s="383"/>
      <c r="O113" s="86"/>
      <c r="P113" s="383"/>
    </row>
    <row r="114">
      <c r="A114" s="41"/>
      <c r="N114" s="383"/>
      <c r="O114" s="86"/>
      <c r="P114" s="383"/>
    </row>
    <row r="115">
      <c r="A115" s="220" t="s">
        <v>960</v>
      </c>
      <c r="B115" s="43"/>
      <c r="C115" s="43"/>
      <c r="D115" s="43"/>
      <c r="E115" s="43"/>
      <c r="F115" s="43"/>
      <c r="G115" s="43"/>
      <c r="H115" s="43"/>
      <c r="I115" s="43"/>
      <c r="J115" s="43"/>
      <c r="K115" s="44"/>
      <c r="N115" s="383"/>
      <c r="O115" s="86"/>
      <c r="P115" s="383"/>
    </row>
    <row r="116">
      <c r="A116" s="221" t="s">
        <v>357</v>
      </c>
      <c r="B116" s="139"/>
      <c r="C116" s="222"/>
      <c r="D116" s="223" t="s">
        <v>358</v>
      </c>
      <c r="E116" s="139"/>
      <c r="F116" s="139"/>
      <c r="G116" s="222"/>
      <c r="H116" s="223" t="s">
        <v>359</v>
      </c>
      <c r="I116" s="139"/>
      <c r="J116" s="139"/>
      <c r="K116" s="222"/>
      <c r="N116" s="383"/>
      <c r="O116" s="86"/>
      <c r="P116" s="383"/>
    </row>
    <row r="117">
      <c r="A117" s="224" t="s">
        <v>961</v>
      </c>
      <c r="C117" s="225"/>
      <c r="D117" s="224" t="s">
        <v>962</v>
      </c>
      <c r="G117" s="225"/>
      <c r="H117" s="224" t="s">
        <v>963</v>
      </c>
      <c r="K117" s="225"/>
      <c r="N117" s="383"/>
      <c r="O117" s="86"/>
      <c r="P117" s="383"/>
    </row>
    <row r="118">
      <c r="A118" s="224" t="s">
        <v>964</v>
      </c>
      <c r="C118" s="225"/>
      <c r="D118" s="224" t="s">
        <v>965</v>
      </c>
      <c r="G118" s="225"/>
      <c r="H118" s="224" t="s">
        <v>966</v>
      </c>
      <c r="K118" s="225"/>
      <c r="N118" s="383"/>
      <c r="O118" s="86"/>
      <c r="P118" s="383"/>
    </row>
    <row r="119">
      <c r="A119" s="224" t="s">
        <v>967</v>
      </c>
      <c r="C119" s="225"/>
      <c r="D119" s="224" t="s">
        <v>968</v>
      </c>
      <c r="G119" s="225"/>
      <c r="H119" s="224" t="s">
        <v>969</v>
      </c>
      <c r="K119" s="225"/>
      <c r="N119" s="383"/>
      <c r="O119" s="86"/>
      <c r="P119" s="383"/>
    </row>
    <row r="120">
      <c r="A120" s="224" t="s">
        <v>970</v>
      </c>
      <c r="C120" s="225"/>
      <c r="D120" s="224" t="s">
        <v>971</v>
      </c>
      <c r="G120" s="225"/>
      <c r="H120" s="224" t="s">
        <v>972</v>
      </c>
      <c r="K120" s="225"/>
      <c r="N120" s="383"/>
      <c r="O120" s="86"/>
      <c r="P120" s="383"/>
    </row>
    <row r="121">
      <c r="A121" s="224" t="s">
        <v>973</v>
      </c>
      <c r="C121" s="225"/>
      <c r="D121" s="224" t="s">
        <v>974</v>
      </c>
      <c r="G121" s="225"/>
      <c r="H121" s="226" t="s">
        <v>975</v>
      </c>
      <c r="K121" s="225"/>
      <c r="N121" s="383"/>
      <c r="O121" s="86"/>
      <c r="P121" s="383"/>
    </row>
    <row r="122">
      <c r="A122" s="224" t="s">
        <v>976</v>
      </c>
      <c r="C122" s="225"/>
      <c r="D122" s="224" t="s">
        <v>977</v>
      </c>
      <c r="G122" s="225"/>
      <c r="H122" s="226" t="s">
        <v>978</v>
      </c>
      <c r="K122" s="225"/>
      <c r="N122" s="383"/>
      <c r="O122" s="86"/>
      <c r="P122" s="383"/>
    </row>
    <row r="123">
      <c r="A123" s="224" t="s">
        <v>979</v>
      </c>
      <c r="C123" s="225"/>
      <c r="D123" s="224" t="s">
        <v>980</v>
      </c>
      <c r="G123" s="225"/>
      <c r="H123" s="226" t="s">
        <v>981</v>
      </c>
      <c r="K123" s="225"/>
      <c r="N123" s="383"/>
      <c r="O123" s="86"/>
      <c r="P123" s="383"/>
    </row>
    <row r="124">
      <c r="A124" s="224" t="s">
        <v>982</v>
      </c>
      <c r="C124" s="225"/>
      <c r="D124" s="224" t="s">
        <v>983</v>
      </c>
      <c r="G124" s="225"/>
      <c r="H124" s="226" t="s">
        <v>984</v>
      </c>
      <c r="K124" s="225"/>
      <c r="N124" s="383"/>
      <c r="O124" s="86"/>
      <c r="P124" s="383"/>
    </row>
    <row r="125">
      <c r="A125" s="224" t="s">
        <v>985</v>
      </c>
      <c r="C125" s="225"/>
      <c r="D125" s="224" t="s">
        <v>986</v>
      </c>
      <c r="G125" s="225"/>
      <c r="H125" s="226" t="s">
        <v>987</v>
      </c>
      <c r="K125" s="225"/>
      <c r="N125" s="383"/>
      <c r="O125" s="86"/>
      <c r="P125" s="383"/>
    </row>
    <row r="126">
      <c r="A126" s="227" t="s">
        <v>988</v>
      </c>
      <c r="B126" s="139"/>
      <c r="C126" s="222"/>
      <c r="D126" s="227" t="s">
        <v>989</v>
      </c>
      <c r="E126" s="139"/>
      <c r="F126" s="139"/>
      <c r="G126" s="222"/>
      <c r="H126" s="228" t="s">
        <v>990</v>
      </c>
      <c r="I126" s="139"/>
      <c r="J126" s="139"/>
      <c r="K126" s="222"/>
      <c r="N126" s="383"/>
      <c r="O126" s="86"/>
      <c r="P126" s="383"/>
    </row>
    <row r="127">
      <c r="A127" s="227" t="s">
        <v>991</v>
      </c>
      <c r="B127" s="139"/>
      <c r="C127" s="222"/>
      <c r="N127" s="383"/>
      <c r="O127" s="86"/>
      <c r="P127" s="383"/>
    </row>
    <row r="128">
      <c r="N128" s="383"/>
      <c r="O128" s="86"/>
      <c r="P128" s="383"/>
    </row>
    <row r="129">
      <c r="N129" s="383"/>
      <c r="O129" s="86"/>
      <c r="P129" s="383"/>
    </row>
    <row r="130">
      <c r="A130" s="79" t="s">
        <v>992</v>
      </c>
      <c r="N130" s="383"/>
      <c r="O130" s="86"/>
      <c r="P130" s="383"/>
    </row>
    <row r="131">
      <c r="A131" s="79" t="s">
        <v>283</v>
      </c>
      <c r="E131" s="79" t="s">
        <v>993</v>
      </c>
      <c r="G131" s="79" t="s">
        <v>994</v>
      </c>
      <c r="N131" s="383"/>
      <c r="O131" s="86"/>
      <c r="P131" s="383"/>
    </row>
    <row r="132">
      <c r="A132" s="41" t="s">
        <v>995</v>
      </c>
      <c r="C132" s="79" t="s">
        <v>911</v>
      </c>
      <c r="E132" s="79" t="s">
        <v>996</v>
      </c>
      <c r="N132" s="383"/>
      <c r="O132" s="86"/>
      <c r="P132" s="383"/>
    </row>
    <row r="133">
      <c r="A133" s="41" t="s">
        <v>997</v>
      </c>
      <c r="C133" s="79" t="s">
        <v>322</v>
      </c>
      <c r="N133" s="383"/>
      <c r="O133" s="86"/>
      <c r="P133" s="383"/>
    </row>
    <row r="134">
      <c r="A134" s="41" t="s">
        <v>998</v>
      </c>
      <c r="C134" s="79" t="s">
        <v>999</v>
      </c>
      <c r="N134" s="383"/>
      <c r="O134" s="86"/>
      <c r="P134" s="383"/>
    </row>
    <row r="135">
      <c r="A135" s="41" t="s">
        <v>1000</v>
      </c>
      <c r="C135" s="79" t="s">
        <v>1001</v>
      </c>
      <c r="N135" s="383"/>
      <c r="O135" s="86"/>
      <c r="P135" s="383"/>
    </row>
    <row r="136">
      <c r="A136" s="41" t="s">
        <v>1002</v>
      </c>
      <c r="C136" s="79" t="s">
        <v>1003</v>
      </c>
      <c r="N136" s="383"/>
      <c r="O136" s="86"/>
      <c r="P136" s="383"/>
    </row>
    <row r="137">
      <c r="A137" s="79" t="s">
        <v>1004</v>
      </c>
      <c r="C137" s="79" t="s">
        <v>1005</v>
      </c>
      <c r="N137" s="383"/>
      <c r="O137" s="86"/>
      <c r="P137" s="383"/>
    </row>
    <row r="138">
      <c r="A138" s="79" t="s">
        <v>1006</v>
      </c>
      <c r="C138" s="79" t="s">
        <v>1007</v>
      </c>
      <c r="N138" s="383"/>
      <c r="O138" s="86"/>
      <c r="P138" s="383"/>
    </row>
    <row r="139">
      <c r="A139" s="79" t="s">
        <v>1008</v>
      </c>
      <c r="C139" s="79" t="s">
        <v>1009</v>
      </c>
      <c r="N139" s="383"/>
      <c r="O139" s="86"/>
      <c r="P139" s="383"/>
    </row>
    <row r="140">
      <c r="A140" s="79" t="s">
        <v>1010</v>
      </c>
      <c r="C140" s="79" t="s">
        <v>1011</v>
      </c>
      <c r="N140" s="383"/>
      <c r="O140" s="86"/>
      <c r="P140" s="383"/>
    </row>
    <row r="141">
      <c r="A141" s="79" t="s">
        <v>1012</v>
      </c>
      <c r="C141" s="79" t="s">
        <v>1013</v>
      </c>
      <c r="N141" s="383"/>
      <c r="O141" s="86"/>
      <c r="P141" s="383"/>
    </row>
    <row r="142">
      <c r="A142" s="79" t="s">
        <v>1014</v>
      </c>
      <c r="C142" s="79" t="s">
        <v>1015</v>
      </c>
      <c r="N142" s="383"/>
      <c r="O142" s="86"/>
      <c r="P142" s="383"/>
    </row>
    <row r="143">
      <c r="A143" s="79" t="s">
        <v>1016</v>
      </c>
      <c r="C143" s="79" t="s">
        <v>1017</v>
      </c>
      <c r="N143" s="383"/>
      <c r="O143" s="86"/>
      <c r="P143" s="383"/>
    </row>
    <row r="144">
      <c r="A144" s="79" t="s">
        <v>1018</v>
      </c>
      <c r="C144" s="79" t="s">
        <v>1019</v>
      </c>
      <c r="N144" s="383"/>
      <c r="O144" s="86"/>
      <c r="P144" s="383"/>
    </row>
    <row r="145">
      <c r="A145" s="79" t="s">
        <v>1020</v>
      </c>
      <c r="C145" s="79" t="s">
        <v>1021</v>
      </c>
      <c r="N145" s="383"/>
      <c r="O145" s="86"/>
      <c r="P145" s="383"/>
    </row>
    <row r="146">
      <c r="A146" s="79" t="s">
        <v>1022</v>
      </c>
      <c r="C146" s="79" t="s">
        <v>1023</v>
      </c>
      <c r="N146" s="383"/>
      <c r="O146" s="86"/>
      <c r="P146" s="383"/>
    </row>
    <row r="147">
      <c r="N147" s="383"/>
      <c r="O147" s="86"/>
      <c r="P147" s="383"/>
    </row>
    <row r="148">
      <c r="N148" s="383"/>
      <c r="O148" s="86"/>
      <c r="P148" s="383"/>
    </row>
    <row r="149">
      <c r="N149" s="383"/>
      <c r="O149" s="86"/>
      <c r="P149" s="383"/>
    </row>
    <row r="150">
      <c r="N150" s="383"/>
      <c r="O150" s="86"/>
      <c r="P150" s="383"/>
    </row>
    <row r="151">
      <c r="N151" s="383"/>
      <c r="O151" s="86"/>
      <c r="P151" s="383"/>
    </row>
    <row r="152">
      <c r="N152" s="383"/>
      <c r="O152" s="86"/>
      <c r="P152" s="383"/>
    </row>
    <row r="153">
      <c r="N153" s="383"/>
      <c r="O153" s="86"/>
      <c r="P153" s="383"/>
    </row>
    <row r="154">
      <c r="N154" s="383"/>
      <c r="O154" s="86"/>
      <c r="P154" s="383"/>
    </row>
    <row r="155">
      <c r="N155" s="383"/>
      <c r="O155" s="86"/>
      <c r="P155" s="383"/>
    </row>
    <row r="156">
      <c r="N156" s="383"/>
      <c r="O156" s="86"/>
      <c r="P156" s="383"/>
    </row>
    <row r="157">
      <c r="N157" s="383"/>
      <c r="O157" s="86"/>
      <c r="P157" s="383"/>
    </row>
    <row r="158">
      <c r="N158" s="383"/>
      <c r="O158" s="86"/>
      <c r="P158" s="383"/>
    </row>
    <row r="159">
      <c r="N159" s="383"/>
      <c r="O159" s="86"/>
      <c r="P159" s="383"/>
    </row>
    <row r="160">
      <c r="N160" s="383"/>
      <c r="O160" s="86"/>
      <c r="P160" s="383"/>
    </row>
    <row r="161">
      <c r="N161" s="383"/>
      <c r="O161" s="86"/>
      <c r="P161" s="383"/>
    </row>
    <row r="162">
      <c r="N162" s="383"/>
      <c r="O162" s="86"/>
      <c r="P162" s="383"/>
    </row>
    <row r="163">
      <c r="N163" s="383"/>
      <c r="O163" s="86"/>
      <c r="P163" s="383"/>
    </row>
    <row r="164">
      <c r="N164" s="383"/>
      <c r="O164" s="86"/>
      <c r="P164" s="383"/>
    </row>
    <row r="165">
      <c r="N165" s="383"/>
      <c r="O165" s="86"/>
      <c r="P165" s="383"/>
    </row>
    <row r="166">
      <c r="N166" s="383"/>
      <c r="O166" s="86"/>
      <c r="P166" s="383"/>
    </row>
    <row r="167">
      <c r="N167" s="383"/>
      <c r="O167" s="86"/>
      <c r="P167" s="383"/>
    </row>
    <row r="168">
      <c r="N168" s="383"/>
      <c r="O168" s="86"/>
      <c r="P168" s="383"/>
    </row>
    <row r="169">
      <c r="N169" s="383"/>
      <c r="O169" s="86"/>
      <c r="P169" s="383"/>
    </row>
    <row r="170">
      <c r="N170" s="383"/>
      <c r="O170" s="86"/>
      <c r="P170" s="383"/>
    </row>
    <row r="171">
      <c r="N171" s="383"/>
      <c r="O171" s="86"/>
      <c r="P171" s="383"/>
    </row>
    <row r="172">
      <c r="N172" s="383"/>
      <c r="O172" s="86"/>
      <c r="P172" s="383"/>
    </row>
    <row r="173">
      <c r="N173" s="383"/>
      <c r="O173" s="86"/>
      <c r="P173" s="383"/>
    </row>
    <row r="174">
      <c r="N174" s="383"/>
      <c r="O174" s="86"/>
      <c r="P174" s="383"/>
    </row>
    <row r="175">
      <c r="N175" s="383"/>
      <c r="O175" s="86"/>
      <c r="P175" s="383"/>
    </row>
    <row r="176">
      <c r="N176" s="383"/>
      <c r="O176" s="86"/>
      <c r="P176" s="383"/>
    </row>
    <row r="177">
      <c r="N177" s="383"/>
      <c r="O177" s="86"/>
      <c r="P177" s="383"/>
    </row>
    <row r="178">
      <c r="N178" s="383"/>
      <c r="O178" s="86"/>
      <c r="P178" s="383"/>
    </row>
    <row r="179">
      <c r="N179" s="383"/>
      <c r="O179" s="86"/>
      <c r="P179" s="383"/>
    </row>
    <row r="180">
      <c r="N180" s="383"/>
      <c r="O180" s="86"/>
      <c r="P180" s="383"/>
    </row>
    <row r="181">
      <c r="N181" s="383"/>
      <c r="O181" s="86"/>
      <c r="P181" s="383"/>
    </row>
    <row r="182">
      <c r="N182" s="383"/>
      <c r="O182" s="86"/>
      <c r="P182" s="383"/>
    </row>
    <row r="183">
      <c r="N183" s="383"/>
      <c r="O183" s="86"/>
      <c r="P183" s="383"/>
    </row>
    <row r="184">
      <c r="N184" s="383"/>
      <c r="O184" s="86"/>
      <c r="P184" s="383"/>
    </row>
    <row r="185">
      <c r="N185" s="383"/>
      <c r="O185" s="86"/>
      <c r="P185" s="383"/>
    </row>
    <row r="186">
      <c r="N186" s="383"/>
      <c r="O186" s="86"/>
      <c r="P186" s="383"/>
    </row>
    <row r="187">
      <c r="N187" s="383"/>
      <c r="O187" s="86"/>
      <c r="P187" s="383"/>
    </row>
    <row r="188">
      <c r="N188" s="383"/>
      <c r="O188" s="86"/>
      <c r="P188" s="383"/>
    </row>
    <row r="189">
      <c r="N189" s="383"/>
      <c r="O189" s="86"/>
      <c r="P189" s="383"/>
    </row>
    <row r="190">
      <c r="N190" s="383"/>
      <c r="O190" s="86"/>
      <c r="P190" s="383"/>
    </row>
    <row r="191">
      <c r="N191" s="383"/>
      <c r="O191" s="86"/>
      <c r="P191" s="383"/>
    </row>
    <row r="192">
      <c r="N192" s="383"/>
      <c r="O192" s="86"/>
      <c r="P192" s="383"/>
    </row>
    <row r="193">
      <c r="N193" s="383"/>
      <c r="O193" s="86"/>
      <c r="P193" s="383"/>
    </row>
    <row r="194">
      <c r="N194" s="383"/>
      <c r="O194" s="86"/>
      <c r="P194" s="383"/>
    </row>
    <row r="195">
      <c r="N195" s="383"/>
      <c r="O195" s="86"/>
      <c r="P195" s="383"/>
    </row>
    <row r="196">
      <c r="N196" s="383"/>
      <c r="O196" s="86"/>
      <c r="P196" s="383"/>
    </row>
    <row r="197">
      <c r="N197" s="383"/>
      <c r="O197" s="86"/>
      <c r="P197" s="383"/>
    </row>
    <row r="198">
      <c r="N198" s="383"/>
      <c r="O198" s="86"/>
      <c r="P198" s="383"/>
    </row>
    <row r="199">
      <c r="N199" s="383"/>
      <c r="O199" s="86"/>
      <c r="P199" s="383"/>
    </row>
    <row r="200">
      <c r="N200" s="383"/>
      <c r="O200" s="86"/>
      <c r="P200" s="383"/>
    </row>
    <row r="201">
      <c r="N201" s="383"/>
      <c r="O201" s="86"/>
      <c r="P201" s="383"/>
    </row>
    <row r="202">
      <c r="N202" s="383"/>
      <c r="O202" s="86"/>
      <c r="P202" s="383"/>
    </row>
    <row r="203">
      <c r="N203" s="383"/>
      <c r="O203" s="86"/>
      <c r="P203" s="383"/>
    </row>
    <row r="204">
      <c r="N204" s="383"/>
      <c r="O204" s="86"/>
      <c r="P204" s="383"/>
    </row>
    <row r="205">
      <c r="N205" s="383"/>
      <c r="O205" s="86"/>
      <c r="P205" s="383"/>
    </row>
    <row r="206">
      <c r="N206" s="383"/>
      <c r="O206" s="86"/>
      <c r="P206" s="383"/>
    </row>
    <row r="207">
      <c r="N207" s="383"/>
      <c r="O207" s="86"/>
      <c r="P207" s="383"/>
    </row>
    <row r="208">
      <c r="N208" s="383"/>
      <c r="O208" s="86"/>
      <c r="P208" s="383"/>
    </row>
    <row r="209">
      <c r="N209" s="383"/>
      <c r="O209" s="86"/>
      <c r="P209" s="383"/>
    </row>
    <row r="210">
      <c r="N210" s="383"/>
      <c r="O210" s="86"/>
      <c r="P210" s="383"/>
    </row>
    <row r="211">
      <c r="N211" s="383"/>
      <c r="O211" s="86"/>
      <c r="P211" s="383"/>
    </row>
    <row r="212">
      <c r="N212" s="383"/>
      <c r="O212" s="86"/>
      <c r="P212" s="383"/>
    </row>
    <row r="213">
      <c r="N213" s="383"/>
      <c r="O213" s="86"/>
      <c r="P213" s="383"/>
    </row>
    <row r="214">
      <c r="N214" s="383"/>
      <c r="O214" s="86"/>
      <c r="P214" s="383"/>
    </row>
    <row r="215">
      <c r="N215" s="383"/>
      <c r="O215" s="86"/>
      <c r="P215" s="383"/>
    </row>
    <row r="216">
      <c r="N216" s="383"/>
      <c r="O216" s="86"/>
      <c r="P216" s="383"/>
    </row>
    <row r="217">
      <c r="N217" s="383"/>
      <c r="O217" s="86"/>
      <c r="P217" s="383"/>
    </row>
    <row r="218">
      <c r="N218" s="383"/>
      <c r="O218" s="86"/>
      <c r="P218" s="383"/>
    </row>
    <row r="219">
      <c r="N219" s="383"/>
      <c r="O219" s="86"/>
      <c r="P219" s="383"/>
    </row>
    <row r="220">
      <c r="N220" s="383"/>
      <c r="O220" s="86"/>
      <c r="P220" s="383"/>
    </row>
    <row r="221">
      <c r="N221" s="383"/>
      <c r="O221" s="86"/>
      <c r="P221" s="383"/>
    </row>
    <row r="222">
      <c r="N222" s="383"/>
      <c r="O222" s="86"/>
      <c r="P222" s="383"/>
    </row>
    <row r="223">
      <c r="N223" s="383"/>
      <c r="O223" s="86"/>
      <c r="P223" s="383"/>
    </row>
    <row r="224">
      <c r="N224" s="383"/>
      <c r="O224" s="86"/>
      <c r="P224" s="383"/>
    </row>
    <row r="225">
      <c r="N225" s="383"/>
      <c r="O225" s="86"/>
      <c r="P225" s="383"/>
    </row>
    <row r="226">
      <c r="N226" s="383"/>
      <c r="O226" s="86"/>
      <c r="P226" s="383"/>
    </row>
    <row r="227">
      <c r="N227" s="383"/>
      <c r="O227" s="86"/>
      <c r="P227" s="383"/>
    </row>
    <row r="228">
      <c r="N228" s="383"/>
      <c r="O228" s="86"/>
      <c r="P228" s="383"/>
    </row>
    <row r="229">
      <c r="N229" s="383"/>
      <c r="O229" s="86"/>
      <c r="P229" s="383"/>
    </row>
    <row r="230">
      <c r="N230" s="383"/>
      <c r="O230" s="86"/>
      <c r="P230" s="383"/>
    </row>
    <row r="231">
      <c r="N231" s="383"/>
      <c r="O231" s="86"/>
      <c r="P231" s="383"/>
    </row>
    <row r="232">
      <c r="N232" s="383"/>
      <c r="O232" s="86"/>
      <c r="P232" s="383"/>
    </row>
    <row r="233">
      <c r="N233" s="383"/>
      <c r="O233" s="86"/>
      <c r="P233" s="383"/>
    </row>
    <row r="234">
      <c r="N234" s="383"/>
      <c r="O234" s="86"/>
      <c r="P234" s="383"/>
    </row>
    <row r="235">
      <c r="N235" s="383"/>
      <c r="O235" s="86"/>
      <c r="P235" s="383"/>
    </row>
    <row r="236">
      <c r="N236" s="383"/>
      <c r="O236" s="86"/>
      <c r="P236" s="383"/>
    </row>
    <row r="237">
      <c r="N237" s="383"/>
      <c r="O237" s="86"/>
      <c r="P237" s="383"/>
    </row>
    <row r="238">
      <c r="N238" s="383"/>
      <c r="O238" s="86"/>
      <c r="P238" s="383"/>
    </row>
    <row r="239">
      <c r="N239" s="383"/>
      <c r="O239" s="86"/>
      <c r="P239" s="383"/>
    </row>
    <row r="240">
      <c r="N240" s="383"/>
      <c r="O240" s="86"/>
      <c r="P240" s="383"/>
    </row>
    <row r="241">
      <c r="N241" s="383"/>
      <c r="O241" s="86"/>
      <c r="P241" s="383"/>
    </row>
    <row r="242">
      <c r="N242" s="383"/>
      <c r="O242" s="86"/>
      <c r="P242" s="383"/>
    </row>
    <row r="243">
      <c r="N243" s="383"/>
      <c r="O243" s="86"/>
      <c r="P243" s="383"/>
    </row>
    <row r="244">
      <c r="N244" s="383"/>
      <c r="O244" s="86"/>
      <c r="P244" s="383"/>
    </row>
    <row r="245">
      <c r="N245" s="383"/>
      <c r="O245" s="86"/>
      <c r="P245" s="383"/>
    </row>
    <row r="246">
      <c r="N246" s="383"/>
      <c r="O246" s="86"/>
      <c r="P246" s="383"/>
    </row>
    <row r="247">
      <c r="N247" s="383"/>
      <c r="O247" s="86"/>
      <c r="P247" s="383"/>
    </row>
    <row r="248">
      <c r="N248" s="383"/>
      <c r="O248" s="86"/>
      <c r="P248" s="383"/>
    </row>
    <row r="249">
      <c r="N249" s="383"/>
      <c r="O249" s="86"/>
      <c r="P249" s="383"/>
    </row>
    <row r="250">
      <c r="N250" s="383"/>
      <c r="O250" s="86"/>
      <c r="P250" s="383"/>
    </row>
    <row r="251">
      <c r="N251" s="383"/>
      <c r="O251" s="86"/>
      <c r="P251" s="383"/>
    </row>
    <row r="252">
      <c r="N252" s="383"/>
      <c r="O252" s="86"/>
      <c r="P252" s="383"/>
    </row>
    <row r="253">
      <c r="N253" s="383"/>
      <c r="O253" s="86"/>
      <c r="P253" s="383"/>
    </row>
    <row r="254">
      <c r="N254" s="383"/>
      <c r="O254" s="86"/>
      <c r="P254" s="383"/>
    </row>
    <row r="255">
      <c r="N255" s="383"/>
      <c r="O255" s="86"/>
      <c r="P255" s="383"/>
    </row>
    <row r="256">
      <c r="N256" s="383"/>
      <c r="O256" s="86"/>
      <c r="P256" s="383"/>
    </row>
    <row r="257">
      <c r="N257" s="383"/>
      <c r="O257" s="86"/>
      <c r="P257" s="383"/>
    </row>
    <row r="258">
      <c r="N258" s="383"/>
      <c r="O258" s="86"/>
      <c r="P258" s="383"/>
    </row>
    <row r="259">
      <c r="N259" s="383"/>
      <c r="O259" s="86"/>
      <c r="P259" s="383"/>
    </row>
    <row r="260">
      <c r="N260" s="383"/>
      <c r="O260" s="86"/>
      <c r="P260" s="383"/>
    </row>
    <row r="261">
      <c r="N261" s="383"/>
      <c r="O261" s="86"/>
      <c r="P261" s="383"/>
    </row>
    <row r="262">
      <c r="N262" s="383"/>
      <c r="O262" s="86"/>
      <c r="P262" s="383"/>
    </row>
    <row r="263">
      <c r="N263" s="383"/>
      <c r="O263" s="86"/>
      <c r="P263" s="383"/>
    </row>
    <row r="264">
      <c r="N264" s="383"/>
      <c r="O264" s="86"/>
      <c r="P264" s="383"/>
    </row>
    <row r="265">
      <c r="N265" s="383"/>
      <c r="O265" s="86"/>
      <c r="P265" s="383"/>
    </row>
    <row r="266">
      <c r="N266" s="383"/>
      <c r="O266" s="86"/>
      <c r="P266" s="383"/>
    </row>
    <row r="267">
      <c r="N267" s="383"/>
      <c r="O267" s="86"/>
      <c r="P267" s="383"/>
    </row>
    <row r="268">
      <c r="N268" s="383"/>
      <c r="O268" s="86"/>
      <c r="P268" s="383"/>
    </row>
    <row r="269">
      <c r="N269" s="383"/>
      <c r="O269" s="86"/>
      <c r="P269" s="383"/>
    </row>
    <row r="270">
      <c r="N270" s="383"/>
      <c r="O270" s="86"/>
      <c r="P270" s="383"/>
    </row>
    <row r="271">
      <c r="N271" s="383"/>
      <c r="O271" s="86"/>
      <c r="P271" s="383"/>
    </row>
    <row r="272">
      <c r="N272" s="383"/>
      <c r="O272" s="86"/>
      <c r="P272" s="383"/>
    </row>
    <row r="273">
      <c r="N273" s="383"/>
      <c r="O273" s="86"/>
      <c r="P273" s="383"/>
    </row>
    <row r="274">
      <c r="N274" s="383"/>
      <c r="O274" s="86"/>
      <c r="P274" s="383"/>
    </row>
    <row r="275">
      <c r="N275" s="383"/>
      <c r="O275" s="86"/>
      <c r="P275" s="383"/>
    </row>
    <row r="276">
      <c r="N276" s="383"/>
      <c r="O276" s="86"/>
      <c r="P276" s="383"/>
    </row>
    <row r="277">
      <c r="N277" s="383"/>
      <c r="O277" s="86"/>
      <c r="P277" s="383"/>
    </row>
    <row r="278">
      <c r="N278" s="383"/>
      <c r="O278" s="86"/>
      <c r="P278" s="383"/>
    </row>
    <row r="279">
      <c r="N279" s="383"/>
      <c r="O279" s="86"/>
      <c r="P279" s="383"/>
    </row>
    <row r="280">
      <c r="N280" s="383"/>
      <c r="O280" s="86"/>
      <c r="P280" s="383"/>
    </row>
    <row r="281">
      <c r="N281" s="383"/>
      <c r="O281" s="86"/>
      <c r="P281" s="383"/>
    </row>
    <row r="282">
      <c r="N282" s="383"/>
      <c r="O282" s="86"/>
      <c r="P282" s="383"/>
    </row>
    <row r="283">
      <c r="N283" s="383"/>
      <c r="O283" s="86"/>
      <c r="P283" s="383"/>
    </row>
    <row r="284">
      <c r="N284" s="383"/>
      <c r="O284" s="86"/>
      <c r="P284" s="383"/>
    </row>
    <row r="285">
      <c r="N285" s="383"/>
      <c r="O285" s="86"/>
      <c r="P285" s="383"/>
    </row>
    <row r="286">
      <c r="N286" s="383"/>
      <c r="O286" s="86"/>
      <c r="P286" s="383"/>
    </row>
    <row r="287">
      <c r="N287" s="383"/>
      <c r="O287" s="86"/>
      <c r="P287" s="383"/>
    </row>
    <row r="288">
      <c r="N288" s="383"/>
      <c r="O288" s="86"/>
      <c r="P288" s="383"/>
    </row>
    <row r="289">
      <c r="N289" s="383"/>
      <c r="O289" s="86"/>
      <c r="P289" s="383"/>
    </row>
    <row r="290">
      <c r="N290" s="383"/>
      <c r="O290" s="86"/>
      <c r="P290" s="383"/>
    </row>
    <row r="291">
      <c r="N291" s="383"/>
      <c r="O291" s="86"/>
      <c r="P291" s="383"/>
    </row>
    <row r="292">
      <c r="N292" s="383"/>
      <c r="O292" s="86"/>
      <c r="P292" s="383"/>
    </row>
    <row r="293">
      <c r="N293" s="383"/>
      <c r="O293" s="86"/>
      <c r="P293" s="383"/>
    </row>
    <row r="294">
      <c r="N294" s="383"/>
      <c r="O294" s="86"/>
      <c r="P294" s="383"/>
    </row>
    <row r="295">
      <c r="N295" s="383"/>
      <c r="O295" s="86"/>
      <c r="P295" s="383"/>
    </row>
    <row r="296">
      <c r="N296" s="383"/>
      <c r="O296" s="86"/>
      <c r="P296" s="383"/>
    </row>
    <row r="297">
      <c r="N297" s="383"/>
      <c r="O297" s="86"/>
      <c r="P297" s="383"/>
    </row>
    <row r="298">
      <c r="N298" s="383"/>
      <c r="O298" s="86"/>
      <c r="P298" s="383"/>
    </row>
    <row r="299">
      <c r="N299" s="383"/>
      <c r="O299" s="86"/>
      <c r="P299" s="383"/>
    </row>
    <row r="300">
      <c r="N300" s="383"/>
      <c r="O300" s="86"/>
      <c r="P300" s="383"/>
    </row>
    <row r="301">
      <c r="N301" s="383"/>
      <c r="O301" s="86"/>
      <c r="P301" s="383"/>
    </row>
    <row r="302">
      <c r="N302" s="383"/>
      <c r="O302" s="86"/>
      <c r="P302" s="383"/>
    </row>
    <row r="303">
      <c r="N303" s="383"/>
      <c r="O303" s="86"/>
      <c r="P303" s="383"/>
    </row>
    <row r="304">
      <c r="N304" s="383"/>
      <c r="O304" s="86"/>
      <c r="P304" s="383"/>
    </row>
    <row r="305">
      <c r="N305" s="383"/>
      <c r="O305" s="86"/>
      <c r="P305" s="383"/>
    </row>
    <row r="306">
      <c r="N306" s="383"/>
      <c r="O306" s="86"/>
      <c r="P306" s="383"/>
    </row>
    <row r="307">
      <c r="N307" s="383"/>
      <c r="O307" s="86"/>
      <c r="P307" s="383"/>
    </row>
    <row r="308">
      <c r="N308" s="383"/>
      <c r="O308" s="86"/>
      <c r="P308" s="383"/>
    </row>
    <row r="309">
      <c r="N309" s="383"/>
      <c r="O309" s="86"/>
      <c r="P309" s="383"/>
    </row>
    <row r="310">
      <c r="N310" s="383"/>
      <c r="O310" s="86"/>
      <c r="P310" s="383"/>
    </row>
    <row r="311">
      <c r="N311" s="383"/>
      <c r="O311" s="86"/>
      <c r="P311" s="383"/>
    </row>
    <row r="312">
      <c r="N312" s="383"/>
      <c r="O312" s="86"/>
      <c r="P312" s="383"/>
    </row>
    <row r="313">
      <c r="N313" s="383"/>
      <c r="O313" s="86"/>
      <c r="P313" s="383"/>
    </row>
    <row r="314">
      <c r="N314" s="383"/>
      <c r="O314" s="86"/>
      <c r="P314" s="383"/>
    </row>
    <row r="315">
      <c r="N315" s="383"/>
      <c r="O315" s="86"/>
      <c r="P315" s="383"/>
    </row>
    <row r="316">
      <c r="N316" s="383"/>
      <c r="O316" s="86"/>
      <c r="P316" s="383"/>
    </row>
    <row r="317">
      <c r="N317" s="383"/>
      <c r="O317" s="86"/>
      <c r="P317" s="383"/>
    </row>
    <row r="318">
      <c r="N318" s="383"/>
      <c r="O318" s="86"/>
      <c r="P318" s="383"/>
    </row>
    <row r="319">
      <c r="N319" s="383"/>
      <c r="O319" s="86"/>
      <c r="P319" s="383"/>
    </row>
    <row r="320">
      <c r="N320" s="383"/>
      <c r="O320" s="86"/>
      <c r="P320" s="383"/>
    </row>
    <row r="321">
      <c r="N321" s="383"/>
      <c r="O321" s="86"/>
      <c r="P321" s="383"/>
    </row>
    <row r="322">
      <c r="N322" s="383"/>
      <c r="O322" s="86"/>
      <c r="P322" s="383"/>
    </row>
    <row r="323">
      <c r="N323" s="383"/>
      <c r="O323" s="86"/>
      <c r="P323" s="383"/>
    </row>
    <row r="324">
      <c r="N324" s="383"/>
      <c r="O324" s="86"/>
      <c r="P324" s="383"/>
    </row>
    <row r="325">
      <c r="N325" s="383"/>
      <c r="O325" s="86"/>
      <c r="P325" s="383"/>
    </row>
    <row r="326">
      <c r="N326" s="383"/>
      <c r="O326" s="86"/>
      <c r="P326" s="383"/>
    </row>
    <row r="327">
      <c r="N327" s="383"/>
      <c r="O327" s="86"/>
      <c r="P327" s="383"/>
    </row>
    <row r="328">
      <c r="N328" s="383"/>
      <c r="O328" s="86"/>
      <c r="P328" s="383"/>
    </row>
    <row r="329">
      <c r="N329" s="383"/>
      <c r="O329" s="86"/>
      <c r="P329" s="383"/>
    </row>
    <row r="330">
      <c r="N330" s="383"/>
      <c r="O330" s="86"/>
      <c r="P330" s="383"/>
    </row>
    <row r="331">
      <c r="N331" s="383"/>
      <c r="O331" s="86"/>
      <c r="P331" s="383"/>
    </row>
    <row r="332">
      <c r="N332" s="383"/>
      <c r="O332" s="86"/>
      <c r="P332" s="383"/>
    </row>
    <row r="333">
      <c r="N333" s="383"/>
      <c r="O333" s="86"/>
      <c r="P333" s="383"/>
    </row>
    <row r="334">
      <c r="N334" s="383"/>
      <c r="O334" s="86"/>
      <c r="P334" s="383"/>
    </row>
    <row r="335">
      <c r="N335" s="383"/>
      <c r="O335" s="86"/>
      <c r="P335" s="383"/>
    </row>
    <row r="336">
      <c r="N336" s="383"/>
      <c r="O336" s="86"/>
      <c r="P336" s="383"/>
    </row>
    <row r="337">
      <c r="N337" s="383"/>
      <c r="O337" s="86"/>
      <c r="P337" s="383"/>
    </row>
    <row r="338">
      <c r="N338" s="383"/>
      <c r="O338" s="86"/>
      <c r="P338" s="383"/>
    </row>
    <row r="339">
      <c r="N339" s="383"/>
      <c r="O339" s="86"/>
      <c r="P339" s="383"/>
    </row>
    <row r="340">
      <c r="N340" s="383"/>
      <c r="O340" s="86"/>
      <c r="P340" s="383"/>
    </row>
    <row r="341">
      <c r="N341" s="383"/>
      <c r="O341" s="86"/>
      <c r="P341" s="383"/>
    </row>
    <row r="342">
      <c r="N342" s="383"/>
      <c r="O342" s="86"/>
      <c r="P342" s="383"/>
    </row>
    <row r="343">
      <c r="N343" s="383"/>
      <c r="O343" s="86"/>
      <c r="P343" s="383"/>
    </row>
    <row r="344">
      <c r="N344" s="383"/>
      <c r="O344" s="86"/>
      <c r="P344" s="383"/>
    </row>
    <row r="345">
      <c r="N345" s="383"/>
      <c r="O345" s="86"/>
      <c r="P345" s="383"/>
    </row>
    <row r="346">
      <c r="N346" s="383"/>
      <c r="O346" s="86"/>
      <c r="P346" s="383"/>
    </row>
    <row r="347">
      <c r="N347" s="383"/>
      <c r="O347" s="86"/>
      <c r="P347" s="383"/>
    </row>
    <row r="348">
      <c r="N348" s="383"/>
      <c r="O348" s="86"/>
      <c r="P348" s="383"/>
    </row>
    <row r="349">
      <c r="N349" s="383"/>
      <c r="O349" s="86"/>
      <c r="P349" s="383"/>
    </row>
    <row r="350">
      <c r="N350" s="383"/>
      <c r="O350" s="86"/>
      <c r="P350" s="383"/>
    </row>
    <row r="351">
      <c r="N351" s="383"/>
      <c r="O351" s="86"/>
      <c r="P351" s="383"/>
    </row>
    <row r="352">
      <c r="N352" s="383"/>
      <c r="O352" s="86"/>
      <c r="P352" s="383"/>
    </row>
    <row r="353">
      <c r="N353" s="383"/>
      <c r="O353" s="86"/>
      <c r="P353" s="383"/>
    </row>
    <row r="354">
      <c r="N354" s="383"/>
      <c r="O354" s="86"/>
      <c r="P354" s="383"/>
    </row>
    <row r="355">
      <c r="N355" s="383"/>
      <c r="O355" s="86"/>
      <c r="P355" s="383"/>
    </row>
    <row r="356">
      <c r="N356" s="383"/>
      <c r="O356" s="86"/>
      <c r="P356" s="383"/>
    </row>
    <row r="357">
      <c r="N357" s="383"/>
      <c r="O357" s="86"/>
      <c r="P357" s="383"/>
    </row>
    <row r="358">
      <c r="N358" s="383"/>
      <c r="O358" s="86"/>
      <c r="P358" s="383"/>
    </row>
    <row r="359">
      <c r="N359" s="383"/>
      <c r="O359" s="86"/>
      <c r="P359" s="383"/>
    </row>
    <row r="360">
      <c r="N360" s="383"/>
      <c r="O360" s="86"/>
      <c r="P360" s="383"/>
    </row>
    <row r="361">
      <c r="N361" s="383"/>
      <c r="O361" s="86"/>
      <c r="P361" s="383"/>
    </row>
    <row r="362">
      <c r="N362" s="383"/>
      <c r="O362" s="86"/>
      <c r="P362" s="383"/>
    </row>
    <row r="363">
      <c r="N363" s="383"/>
      <c r="O363" s="86"/>
      <c r="P363" s="383"/>
    </row>
    <row r="364">
      <c r="N364" s="383"/>
      <c r="O364" s="86"/>
      <c r="P364" s="383"/>
    </row>
    <row r="365">
      <c r="N365" s="383"/>
      <c r="O365" s="86"/>
      <c r="P365" s="383"/>
    </row>
    <row r="366">
      <c r="N366" s="383"/>
      <c r="O366" s="86"/>
      <c r="P366" s="383"/>
    </row>
    <row r="367">
      <c r="N367" s="383"/>
      <c r="O367" s="86"/>
      <c r="P367" s="383"/>
    </row>
    <row r="368">
      <c r="N368" s="383"/>
      <c r="O368" s="86"/>
      <c r="P368" s="383"/>
    </row>
    <row r="369">
      <c r="N369" s="383"/>
      <c r="O369" s="86"/>
      <c r="P369" s="383"/>
    </row>
    <row r="370">
      <c r="N370" s="383"/>
      <c r="O370" s="86"/>
      <c r="P370" s="383"/>
    </row>
    <row r="371">
      <c r="N371" s="383"/>
      <c r="O371" s="86"/>
      <c r="P371" s="383"/>
    </row>
    <row r="372">
      <c r="N372" s="383"/>
      <c r="O372" s="86"/>
      <c r="P372" s="383"/>
    </row>
    <row r="373">
      <c r="N373" s="383"/>
      <c r="O373" s="86"/>
      <c r="P373" s="383"/>
    </row>
    <row r="374">
      <c r="N374" s="383"/>
      <c r="O374" s="86"/>
      <c r="P374" s="383"/>
    </row>
    <row r="375">
      <c r="N375" s="383"/>
      <c r="O375" s="86"/>
      <c r="P375" s="383"/>
    </row>
    <row r="376">
      <c r="N376" s="383"/>
      <c r="O376" s="86"/>
      <c r="P376" s="383"/>
    </row>
    <row r="377">
      <c r="N377" s="383"/>
      <c r="O377" s="86"/>
      <c r="P377" s="383"/>
    </row>
    <row r="378">
      <c r="N378" s="383"/>
      <c r="O378" s="86"/>
      <c r="P378" s="383"/>
    </row>
    <row r="379">
      <c r="N379" s="383"/>
      <c r="O379" s="86"/>
      <c r="P379" s="383"/>
    </row>
    <row r="380">
      <c r="N380" s="383"/>
      <c r="O380" s="86"/>
      <c r="P380" s="383"/>
    </row>
    <row r="381">
      <c r="N381" s="383"/>
      <c r="O381" s="86"/>
      <c r="P381" s="383"/>
    </row>
    <row r="382">
      <c r="N382" s="383"/>
      <c r="O382" s="86"/>
      <c r="P382" s="383"/>
    </row>
    <row r="383">
      <c r="N383" s="383"/>
      <c r="O383" s="86"/>
      <c r="P383" s="383"/>
    </row>
    <row r="384">
      <c r="N384" s="383"/>
      <c r="O384" s="86"/>
      <c r="P384" s="383"/>
    </row>
    <row r="385">
      <c r="N385" s="383"/>
      <c r="O385" s="86"/>
      <c r="P385" s="383"/>
    </row>
    <row r="386">
      <c r="N386" s="383"/>
      <c r="O386" s="86"/>
      <c r="P386" s="383"/>
    </row>
    <row r="387">
      <c r="N387" s="383"/>
      <c r="O387" s="86"/>
      <c r="P387" s="383"/>
    </row>
    <row r="388">
      <c r="N388" s="383"/>
      <c r="O388" s="86"/>
      <c r="P388" s="383"/>
    </row>
    <row r="389">
      <c r="N389" s="383"/>
      <c r="O389" s="86"/>
      <c r="P389" s="383"/>
    </row>
    <row r="390">
      <c r="N390" s="383"/>
      <c r="O390" s="86"/>
      <c r="P390" s="383"/>
    </row>
    <row r="391">
      <c r="N391" s="383"/>
      <c r="O391" s="86"/>
      <c r="P391" s="383"/>
    </row>
    <row r="392">
      <c r="N392" s="383"/>
      <c r="O392" s="86"/>
      <c r="P392" s="383"/>
    </row>
    <row r="393">
      <c r="N393" s="383"/>
      <c r="O393" s="86"/>
      <c r="P393" s="383"/>
    </row>
    <row r="394">
      <c r="N394" s="383"/>
      <c r="O394" s="86"/>
      <c r="P394" s="383"/>
    </row>
    <row r="395">
      <c r="N395" s="383"/>
      <c r="O395" s="86"/>
      <c r="P395" s="383"/>
    </row>
    <row r="396">
      <c r="N396" s="383"/>
      <c r="O396" s="86"/>
      <c r="P396" s="383"/>
    </row>
    <row r="397">
      <c r="N397" s="383"/>
      <c r="O397" s="86"/>
      <c r="P397" s="383"/>
    </row>
    <row r="398">
      <c r="N398" s="383"/>
      <c r="O398" s="86"/>
      <c r="P398" s="383"/>
    </row>
    <row r="399">
      <c r="N399" s="383"/>
      <c r="O399" s="86"/>
      <c r="P399" s="383"/>
    </row>
    <row r="400">
      <c r="N400" s="383"/>
      <c r="O400" s="86"/>
      <c r="P400" s="383"/>
    </row>
    <row r="401">
      <c r="N401" s="383"/>
      <c r="O401" s="86"/>
      <c r="P401" s="383"/>
    </row>
    <row r="402">
      <c r="N402" s="383"/>
      <c r="O402" s="86"/>
      <c r="P402" s="383"/>
    </row>
    <row r="403">
      <c r="N403" s="383"/>
      <c r="O403" s="86"/>
      <c r="P403" s="383"/>
    </row>
    <row r="404">
      <c r="N404" s="383"/>
      <c r="O404" s="86"/>
      <c r="P404" s="383"/>
    </row>
    <row r="405">
      <c r="N405" s="383"/>
      <c r="O405" s="86"/>
      <c r="P405" s="383"/>
    </row>
    <row r="406">
      <c r="N406" s="383"/>
      <c r="O406" s="86"/>
      <c r="P406" s="383"/>
    </row>
    <row r="407">
      <c r="N407" s="383"/>
      <c r="O407" s="86"/>
      <c r="P407" s="383"/>
    </row>
    <row r="408">
      <c r="N408" s="383"/>
      <c r="O408" s="86"/>
      <c r="P408" s="383"/>
    </row>
    <row r="409">
      <c r="N409" s="383"/>
      <c r="O409" s="86"/>
      <c r="P409" s="383"/>
    </row>
    <row r="410">
      <c r="N410" s="383"/>
      <c r="O410" s="86"/>
      <c r="P410" s="383"/>
    </row>
    <row r="411">
      <c r="N411" s="383"/>
      <c r="O411" s="86"/>
      <c r="P411" s="383"/>
    </row>
    <row r="412">
      <c r="N412" s="383"/>
      <c r="O412" s="86"/>
      <c r="P412" s="383"/>
    </row>
    <row r="413">
      <c r="N413" s="383"/>
      <c r="O413" s="86"/>
      <c r="P413" s="383"/>
    </row>
    <row r="414">
      <c r="N414" s="383"/>
      <c r="O414" s="86"/>
      <c r="P414" s="383"/>
    </row>
    <row r="415">
      <c r="N415" s="383"/>
      <c r="O415" s="86"/>
      <c r="P415" s="383"/>
    </row>
    <row r="416">
      <c r="N416" s="383"/>
      <c r="O416" s="86"/>
      <c r="P416" s="383"/>
    </row>
    <row r="417">
      <c r="N417" s="383"/>
      <c r="O417" s="86"/>
      <c r="P417" s="383"/>
    </row>
    <row r="418">
      <c r="N418" s="383"/>
      <c r="O418" s="86"/>
      <c r="P418" s="383"/>
    </row>
    <row r="419">
      <c r="N419" s="383"/>
      <c r="O419" s="86"/>
      <c r="P419" s="383"/>
    </row>
    <row r="420">
      <c r="N420" s="383"/>
      <c r="O420" s="86"/>
      <c r="P420" s="383"/>
    </row>
    <row r="421">
      <c r="N421" s="383"/>
      <c r="O421" s="86"/>
      <c r="P421" s="383"/>
    </row>
    <row r="422">
      <c r="N422" s="383"/>
      <c r="O422" s="86"/>
      <c r="P422" s="383"/>
    </row>
    <row r="423">
      <c r="N423" s="383"/>
      <c r="O423" s="86"/>
      <c r="P423" s="383"/>
    </row>
    <row r="424">
      <c r="N424" s="383"/>
      <c r="O424" s="86"/>
      <c r="P424" s="383"/>
    </row>
    <row r="425">
      <c r="N425" s="383"/>
      <c r="O425" s="86"/>
      <c r="P425" s="383"/>
    </row>
    <row r="426">
      <c r="N426" s="383"/>
      <c r="O426" s="86"/>
      <c r="P426" s="383"/>
    </row>
    <row r="427">
      <c r="N427" s="383"/>
      <c r="O427" s="86"/>
      <c r="P427" s="383"/>
    </row>
    <row r="428">
      <c r="N428" s="383"/>
      <c r="O428" s="86"/>
      <c r="P428" s="383"/>
    </row>
    <row r="429">
      <c r="N429" s="383"/>
      <c r="O429" s="86"/>
      <c r="P429" s="383"/>
    </row>
    <row r="430">
      <c r="N430" s="383"/>
      <c r="O430" s="86"/>
      <c r="P430" s="383"/>
    </row>
    <row r="431">
      <c r="N431" s="383"/>
      <c r="O431" s="86"/>
      <c r="P431" s="383"/>
    </row>
    <row r="432">
      <c r="N432" s="383"/>
      <c r="O432" s="86"/>
      <c r="P432" s="383"/>
    </row>
    <row r="433">
      <c r="N433" s="383"/>
      <c r="O433" s="86"/>
      <c r="P433" s="383"/>
    </row>
    <row r="434">
      <c r="N434" s="383"/>
      <c r="O434" s="86"/>
      <c r="P434" s="383"/>
    </row>
    <row r="435">
      <c r="N435" s="383"/>
      <c r="O435" s="86"/>
      <c r="P435" s="383"/>
    </row>
    <row r="436">
      <c r="N436" s="383"/>
      <c r="O436" s="86"/>
      <c r="P436" s="383"/>
    </row>
    <row r="437">
      <c r="N437" s="383"/>
      <c r="O437" s="86"/>
      <c r="P437" s="383"/>
    </row>
    <row r="438">
      <c r="N438" s="383"/>
      <c r="O438" s="86"/>
      <c r="P438" s="383"/>
    </row>
    <row r="439">
      <c r="N439" s="383"/>
      <c r="O439" s="86"/>
      <c r="P439" s="383"/>
    </row>
    <row r="440">
      <c r="N440" s="383"/>
      <c r="O440" s="86"/>
      <c r="P440" s="383"/>
    </row>
    <row r="441">
      <c r="N441" s="383"/>
      <c r="O441" s="86"/>
      <c r="P441" s="383"/>
    </row>
    <row r="442">
      <c r="N442" s="383"/>
      <c r="O442" s="86"/>
      <c r="P442" s="383"/>
    </row>
    <row r="443">
      <c r="N443" s="383"/>
      <c r="O443" s="86"/>
      <c r="P443" s="383"/>
    </row>
    <row r="444">
      <c r="N444" s="383"/>
      <c r="O444" s="86"/>
      <c r="P444" s="383"/>
    </row>
    <row r="445">
      <c r="N445" s="383"/>
      <c r="O445" s="86"/>
      <c r="P445" s="383"/>
    </row>
    <row r="446">
      <c r="N446" s="383"/>
      <c r="O446" s="86"/>
      <c r="P446" s="383"/>
    </row>
    <row r="447">
      <c r="N447" s="383"/>
      <c r="O447" s="86"/>
      <c r="P447" s="383"/>
    </row>
    <row r="448">
      <c r="N448" s="383"/>
      <c r="O448" s="86"/>
      <c r="P448" s="383"/>
    </row>
    <row r="449">
      <c r="N449" s="383"/>
      <c r="O449" s="86"/>
      <c r="P449" s="383"/>
    </row>
    <row r="450">
      <c r="N450" s="383"/>
      <c r="O450" s="86"/>
      <c r="P450" s="383"/>
    </row>
    <row r="451">
      <c r="N451" s="383"/>
      <c r="O451" s="86"/>
      <c r="P451" s="383"/>
    </row>
    <row r="452">
      <c r="N452" s="383"/>
      <c r="O452" s="86"/>
      <c r="P452" s="383"/>
    </row>
    <row r="453">
      <c r="N453" s="383"/>
      <c r="O453" s="86"/>
      <c r="P453" s="383"/>
    </row>
    <row r="454">
      <c r="N454" s="383"/>
      <c r="O454" s="86"/>
      <c r="P454" s="383"/>
    </row>
    <row r="455">
      <c r="N455" s="383"/>
      <c r="O455" s="86"/>
      <c r="P455" s="383"/>
    </row>
    <row r="456">
      <c r="N456" s="383"/>
      <c r="O456" s="86"/>
      <c r="P456" s="383"/>
    </row>
    <row r="457">
      <c r="N457" s="383"/>
      <c r="O457" s="86"/>
      <c r="P457" s="383"/>
    </row>
    <row r="458">
      <c r="N458" s="383"/>
      <c r="O458" s="86"/>
      <c r="P458" s="383"/>
    </row>
    <row r="459">
      <c r="N459" s="383"/>
      <c r="O459" s="86"/>
      <c r="P459" s="383"/>
    </row>
    <row r="460">
      <c r="N460" s="383"/>
      <c r="O460" s="86"/>
      <c r="P460" s="383"/>
    </row>
    <row r="461">
      <c r="N461" s="383"/>
      <c r="O461" s="86"/>
      <c r="P461" s="383"/>
    </row>
    <row r="462">
      <c r="N462" s="383"/>
      <c r="O462" s="86"/>
      <c r="P462" s="383"/>
    </row>
    <row r="463">
      <c r="N463" s="383"/>
      <c r="O463" s="86"/>
      <c r="P463" s="383"/>
    </row>
    <row r="464">
      <c r="N464" s="383"/>
      <c r="O464" s="86"/>
      <c r="P464" s="383"/>
    </row>
    <row r="465">
      <c r="N465" s="383"/>
      <c r="O465" s="86"/>
      <c r="P465" s="383"/>
    </row>
    <row r="466">
      <c r="N466" s="383"/>
      <c r="O466" s="86"/>
      <c r="P466" s="383"/>
    </row>
    <row r="467">
      <c r="N467" s="383"/>
      <c r="O467" s="86"/>
      <c r="P467" s="383"/>
    </row>
    <row r="468">
      <c r="N468" s="383"/>
      <c r="O468" s="86"/>
      <c r="P468" s="383"/>
    </row>
    <row r="469">
      <c r="N469" s="383"/>
      <c r="O469" s="86"/>
      <c r="P469" s="383"/>
    </row>
    <row r="470">
      <c r="N470" s="383"/>
      <c r="O470" s="86"/>
      <c r="P470" s="383"/>
    </row>
    <row r="471">
      <c r="N471" s="383"/>
      <c r="O471" s="86"/>
      <c r="P471" s="383"/>
    </row>
    <row r="472">
      <c r="N472" s="383"/>
      <c r="O472" s="86"/>
      <c r="P472" s="383"/>
    </row>
    <row r="473">
      <c r="N473" s="383"/>
      <c r="O473" s="86"/>
      <c r="P473" s="383"/>
    </row>
    <row r="474">
      <c r="N474" s="383"/>
      <c r="O474" s="86"/>
      <c r="P474" s="383"/>
    </row>
    <row r="475">
      <c r="N475" s="383"/>
      <c r="O475" s="86"/>
      <c r="P475" s="383"/>
    </row>
    <row r="476">
      <c r="N476" s="383"/>
      <c r="O476" s="86"/>
      <c r="P476" s="383"/>
    </row>
    <row r="477">
      <c r="N477" s="383"/>
      <c r="O477" s="86"/>
      <c r="P477" s="383"/>
    </row>
    <row r="478">
      <c r="N478" s="383"/>
      <c r="O478" s="86"/>
      <c r="P478" s="383"/>
    </row>
    <row r="479">
      <c r="N479" s="383"/>
      <c r="O479" s="86"/>
      <c r="P479" s="383"/>
    </row>
    <row r="480">
      <c r="N480" s="383"/>
      <c r="O480" s="86"/>
      <c r="P480" s="383"/>
    </row>
    <row r="481">
      <c r="N481" s="383"/>
      <c r="O481" s="86"/>
      <c r="P481" s="383"/>
    </row>
    <row r="482">
      <c r="N482" s="383"/>
      <c r="O482" s="86"/>
      <c r="P482" s="383"/>
    </row>
    <row r="483">
      <c r="N483" s="383"/>
      <c r="O483" s="86"/>
      <c r="P483" s="383"/>
    </row>
    <row r="484">
      <c r="N484" s="383"/>
      <c r="O484" s="86"/>
      <c r="P484" s="383"/>
    </row>
    <row r="485">
      <c r="N485" s="383"/>
      <c r="O485" s="86"/>
      <c r="P485" s="383"/>
    </row>
    <row r="486">
      <c r="N486" s="383"/>
      <c r="O486" s="86"/>
      <c r="P486" s="383"/>
    </row>
    <row r="487">
      <c r="N487" s="383"/>
      <c r="O487" s="86"/>
      <c r="P487" s="383"/>
    </row>
    <row r="488">
      <c r="N488" s="383"/>
      <c r="O488" s="86"/>
      <c r="P488" s="383"/>
    </row>
    <row r="489">
      <c r="N489" s="383"/>
      <c r="O489" s="86"/>
      <c r="P489" s="383"/>
    </row>
    <row r="490">
      <c r="N490" s="383"/>
      <c r="O490" s="86"/>
      <c r="P490" s="383"/>
    </row>
    <row r="491">
      <c r="N491" s="383"/>
      <c r="O491" s="86"/>
      <c r="P491" s="383"/>
    </row>
    <row r="492">
      <c r="N492" s="383"/>
      <c r="O492" s="86"/>
      <c r="P492" s="383"/>
    </row>
    <row r="493">
      <c r="N493" s="383"/>
      <c r="O493" s="86"/>
      <c r="P493" s="383"/>
    </row>
    <row r="494">
      <c r="N494" s="383"/>
      <c r="O494" s="86"/>
      <c r="P494" s="383"/>
    </row>
    <row r="495">
      <c r="N495" s="383"/>
      <c r="O495" s="86"/>
      <c r="P495" s="383"/>
    </row>
    <row r="496">
      <c r="N496" s="383"/>
      <c r="O496" s="86"/>
      <c r="P496" s="383"/>
    </row>
    <row r="497">
      <c r="N497" s="383"/>
      <c r="O497" s="86"/>
      <c r="P497" s="383"/>
    </row>
    <row r="498">
      <c r="N498" s="383"/>
      <c r="O498" s="86"/>
      <c r="P498" s="383"/>
    </row>
    <row r="499">
      <c r="N499" s="383"/>
      <c r="O499" s="86"/>
      <c r="P499" s="383"/>
    </row>
    <row r="500">
      <c r="N500" s="383"/>
      <c r="O500" s="86"/>
      <c r="P500" s="383"/>
    </row>
    <row r="501">
      <c r="N501" s="383"/>
      <c r="O501" s="86"/>
      <c r="P501" s="383"/>
    </row>
    <row r="502">
      <c r="N502" s="383"/>
      <c r="O502" s="86"/>
      <c r="P502" s="383"/>
    </row>
    <row r="503">
      <c r="N503" s="383"/>
      <c r="O503" s="86"/>
      <c r="P503" s="383"/>
    </row>
    <row r="504">
      <c r="N504" s="383"/>
      <c r="O504" s="86"/>
      <c r="P504" s="383"/>
    </row>
    <row r="505">
      <c r="N505" s="383"/>
      <c r="O505" s="86"/>
      <c r="P505" s="383"/>
    </row>
    <row r="506">
      <c r="N506" s="383"/>
      <c r="O506" s="86"/>
      <c r="P506" s="383"/>
    </row>
    <row r="507">
      <c r="N507" s="383"/>
      <c r="O507" s="86"/>
      <c r="P507" s="383"/>
    </row>
    <row r="508">
      <c r="N508" s="383"/>
      <c r="O508" s="86"/>
      <c r="P508" s="383"/>
    </row>
    <row r="509">
      <c r="N509" s="383"/>
      <c r="O509" s="86"/>
      <c r="P509" s="383"/>
    </row>
    <row r="510">
      <c r="N510" s="383"/>
      <c r="O510" s="86"/>
      <c r="P510" s="383"/>
    </row>
    <row r="511">
      <c r="N511" s="383"/>
      <c r="O511" s="86"/>
      <c r="P511" s="383"/>
    </row>
    <row r="512">
      <c r="N512" s="383"/>
      <c r="O512" s="86"/>
      <c r="P512" s="383"/>
    </row>
    <row r="513">
      <c r="N513" s="383"/>
      <c r="O513" s="86"/>
      <c r="P513" s="383"/>
    </row>
    <row r="514">
      <c r="N514" s="383"/>
      <c r="O514" s="86"/>
      <c r="P514" s="383"/>
    </row>
    <row r="515">
      <c r="N515" s="383"/>
      <c r="O515" s="86"/>
      <c r="P515" s="383"/>
    </row>
    <row r="516">
      <c r="N516" s="383"/>
      <c r="O516" s="86"/>
      <c r="P516" s="383"/>
    </row>
    <row r="517">
      <c r="N517" s="383"/>
      <c r="O517" s="86"/>
      <c r="P517" s="383"/>
    </row>
    <row r="518">
      <c r="N518" s="383"/>
      <c r="O518" s="86"/>
      <c r="P518" s="383"/>
    </row>
    <row r="519">
      <c r="N519" s="383"/>
      <c r="O519" s="86"/>
      <c r="P519" s="383"/>
    </row>
    <row r="520">
      <c r="N520" s="383"/>
      <c r="O520" s="86"/>
      <c r="P520" s="383"/>
    </row>
    <row r="521">
      <c r="N521" s="383"/>
      <c r="O521" s="86"/>
      <c r="P521" s="383"/>
    </row>
    <row r="522">
      <c r="N522" s="383"/>
      <c r="O522" s="86"/>
      <c r="P522" s="383"/>
    </row>
    <row r="523">
      <c r="N523" s="383"/>
      <c r="O523" s="86"/>
      <c r="P523" s="383"/>
    </row>
    <row r="524">
      <c r="N524" s="383"/>
      <c r="O524" s="86"/>
      <c r="P524" s="383"/>
    </row>
    <row r="525">
      <c r="N525" s="383"/>
      <c r="O525" s="86"/>
      <c r="P525" s="383"/>
    </row>
    <row r="526">
      <c r="N526" s="383"/>
      <c r="O526" s="86"/>
      <c r="P526" s="383"/>
    </row>
    <row r="527">
      <c r="N527" s="383"/>
      <c r="O527" s="86"/>
      <c r="P527" s="383"/>
    </row>
    <row r="528">
      <c r="N528" s="383"/>
      <c r="O528" s="86"/>
      <c r="P528" s="383"/>
    </row>
    <row r="529">
      <c r="N529" s="383"/>
      <c r="O529" s="86"/>
      <c r="P529" s="383"/>
    </row>
    <row r="530">
      <c r="N530" s="383"/>
      <c r="O530" s="86"/>
      <c r="P530" s="383"/>
    </row>
    <row r="531">
      <c r="N531" s="383"/>
      <c r="O531" s="86"/>
      <c r="P531" s="383"/>
    </row>
    <row r="532">
      <c r="N532" s="383"/>
      <c r="O532" s="86"/>
      <c r="P532" s="383"/>
    </row>
    <row r="533">
      <c r="N533" s="383"/>
      <c r="O533" s="86"/>
      <c r="P533" s="383"/>
    </row>
    <row r="534">
      <c r="N534" s="383"/>
      <c r="O534" s="86"/>
      <c r="P534" s="383"/>
    </row>
    <row r="535">
      <c r="N535" s="383"/>
      <c r="O535" s="86"/>
      <c r="P535" s="383"/>
    </row>
    <row r="536">
      <c r="N536" s="383"/>
      <c r="O536" s="86"/>
      <c r="P536" s="383"/>
    </row>
    <row r="537">
      <c r="N537" s="383"/>
      <c r="O537" s="86"/>
      <c r="P537" s="383"/>
    </row>
    <row r="538">
      <c r="N538" s="383"/>
      <c r="O538" s="86"/>
      <c r="P538" s="383"/>
    </row>
    <row r="539">
      <c r="N539" s="383"/>
      <c r="O539" s="86"/>
      <c r="P539" s="383"/>
    </row>
    <row r="540">
      <c r="N540" s="383"/>
      <c r="O540" s="86"/>
      <c r="P540" s="383"/>
    </row>
    <row r="541">
      <c r="N541" s="383"/>
      <c r="O541" s="86"/>
      <c r="P541" s="383"/>
    </row>
    <row r="542">
      <c r="N542" s="383"/>
      <c r="O542" s="86"/>
      <c r="P542" s="383"/>
    </row>
    <row r="543">
      <c r="N543" s="383"/>
      <c r="O543" s="86"/>
      <c r="P543" s="383"/>
    </row>
    <row r="544">
      <c r="N544" s="383"/>
      <c r="O544" s="86"/>
      <c r="P544" s="383"/>
    </row>
    <row r="545">
      <c r="N545" s="383"/>
      <c r="O545" s="86"/>
      <c r="P545" s="383"/>
    </row>
    <row r="546">
      <c r="N546" s="383"/>
      <c r="O546" s="86"/>
      <c r="P546" s="383"/>
    </row>
    <row r="547">
      <c r="N547" s="383"/>
      <c r="O547" s="86"/>
      <c r="P547" s="383"/>
    </row>
    <row r="548">
      <c r="N548" s="383"/>
      <c r="O548" s="86"/>
      <c r="P548" s="383"/>
    </row>
    <row r="549">
      <c r="N549" s="383"/>
      <c r="O549" s="86"/>
      <c r="P549" s="383"/>
    </row>
    <row r="550">
      <c r="N550" s="383"/>
      <c r="O550" s="86"/>
      <c r="P550" s="383"/>
    </row>
    <row r="551">
      <c r="N551" s="383"/>
      <c r="O551" s="86"/>
      <c r="P551" s="383"/>
    </row>
    <row r="552">
      <c r="N552" s="383"/>
      <c r="O552" s="86"/>
      <c r="P552" s="383"/>
    </row>
    <row r="553">
      <c r="N553" s="383"/>
      <c r="O553" s="86"/>
      <c r="P553" s="383"/>
    </row>
    <row r="554">
      <c r="N554" s="383"/>
      <c r="O554" s="86"/>
      <c r="P554" s="383"/>
    </row>
    <row r="555">
      <c r="N555" s="383"/>
      <c r="O555" s="86"/>
      <c r="P555" s="383"/>
    </row>
    <row r="556">
      <c r="N556" s="383"/>
      <c r="O556" s="86"/>
      <c r="P556" s="383"/>
    </row>
    <row r="557">
      <c r="N557" s="383"/>
      <c r="O557" s="86"/>
      <c r="P557" s="383"/>
    </row>
    <row r="558">
      <c r="N558" s="383"/>
      <c r="O558" s="86"/>
      <c r="P558" s="383"/>
    </row>
    <row r="559">
      <c r="N559" s="383"/>
      <c r="O559" s="86"/>
      <c r="P559" s="383"/>
    </row>
    <row r="560">
      <c r="N560" s="383"/>
      <c r="O560" s="86"/>
      <c r="P560" s="383"/>
    </row>
    <row r="561">
      <c r="N561" s="383"/>
      <c r="O561" s="86"/>
      <c r="P561" s="383"/>
    </row>
    <row r="562">
      <c r="N562" s="383"/>
      <c r="O562" s="86"/>
      <c r="P562" s="383"/>
    </row>
    <row r="563">
      <c r="N563" s="383"/>
      <c r="O563" s="86"/>
      <c r="P563" s="383"/>
    </row>
    <row r="564">
      <c r="N564" s="383"/>
      <c r="O564" s="86"/>
      <c r="P564" s="383"/>
    </row>
    <row r="565">
      <c r="N565" s="383"/>
      <c r="O565" s="86"/>
      <c r="P565" s="383"/>
    </row>
    <row r="566">
      <c r="N566" s="383"/>
      <c r="O566" s="86"/>
      <c r="P566" s="383"/>
    </row>
    <row r="567">
      <c r="N567" s="383"/>
      <c r="O567" s="86"/>
      <c r="P567" s="383"/>
    </row>
    <row r="568">
      <c r="N568" s="383"/>
      <c r="O568" s="86"/>
      <c r="P568" s="383"/>
    </row>
    <row r="569">
      <c r="N569" s="383"/>
      <c r="O569" s="86"/>
      <c r="P569" s="383"/>
    </row>
    <row r="570">
      <c r="N570" s="383"/>
      <c r="O570" s="86"/>
      <c r="P570" s="383"/>
    </row>
    <row r="571">
      <c r="N571" s="383"/>
      <c r="O571" s="86"/>
      <c r="P571" s="383"/>
    </row>
    <row r="572">
      <c r="N572" s="383"/>
      <c r="O572" s="86"/>
      <c r="P572" s="383"/>
    </row>
    <row r="573">
      <c r="N573" s="383"/>
      <c r="O573" s="86"/>
      <c r="P573" s="383"/>
    </row>
    <row r="574">
      <c r="N574" s="383"/>
      <c r="O574" s="86"/>
      <c r="P574" s="383"/>
    </row>
    <row r="575">
      <c r="N575" s="383"/>
      <c r="O575" s="86"/>
      <c r="P575" s="383"/>
    </row>
    <row r="576">
      <c r="N576" s="383"/>
      <c r="O576" s="86"/>
      <c r="P576" s="383"/>
    </row>
    <row r="577">
      <c r="N577" s="383"/>
      <c r="O577" s="86"/>
      <c r="P577" s="383"/>
    </row>
    <row r="578">
      <c r="N578" s="383"/>
      <c r="O578" s="86"/>
      <c r="P578" s="383"/>
    </row>
    <row r="579">
      <c r="N579" s="383"/>
      <c r="O579" s="86"/>
      <c r="P579" s="383"/>
    </row>
    <row r="580">
      <c r="N580" s="383"/>
      <c r="O580" s="86"/>
      <c r="P580" s="383"/>
    </row>
    <row r="581">
      <c r="N581" s="383"/>
      <c r="O581" s="86"/>
      <c r="P581" s="383"/>
    </row>
    <row r="582">
      <c r="N582" s="383"/>
      <c r="O582" s="86"/>
      <c r="P582" s="383"/>
    </row>
    <row r="583">
      <c r="N583" s="383"/>
      <c r="O583" s="86"/>
      <c r="P583" s="383"/>
    </row>
    <row r="584">
      <c r="N584" s="383"/>
      <c r="O584" s="86"/>
      <c r="P584" s="383"/>
    </row>
    <row r="585">
      <c r="N585" s="383"/>
      <c r="O585" s="86"/>
      <c r="P585" s="383"/>
    </row>
    <row r="586">
      <c r="N586" s="383"/>
      <c r="O586" s="86"/>
      <c r="P586" s="383"/>
    </row>
    <row r="587">
      <c r="N587" s="383"/>
      <c r="O587" s="86"/>
      <c r="P587" s="383"/>
    </row>
    <row r="588">
      <c r="N588" s="383"/>
      <c r="O588" s="86"/>
      <c r="P588" s="383"/>
    </row>
    <row r="589">
      <c r="N589" s="383"/>
      <c r="O589" s="86"/>
      <c r="P589" s="383"/>
    </row>
    <row r="590">
      <c r="N590" s="383"/>
      <c r="O590" s="86"/>
      <c r="P590" s="383"/>
    </row>
    <row r="591">
      <c r="N591" s="383"/>
      <c r="O591" s="86"/>
      <c r="P591" s="383"/>
    </row>
    <row r="592">
      <c r="N592" s="383"/>
      <c r="O592" s="86"/>
      <c r="P592" s="383"/>
    </row>
    <row r="593">
      <c r="N593" s="383"/>
      <c r="O593" s="86"/>
      <c r="P593" s="383"/>
    </row>
    <row r="594">
      <c r="N594" s="383"/>
      <c r="O594" s="86"/>
      <c r="P594" s="383"/>
    </row>
    <row r="595">
      <c r="N595" s="383"/>
      <c r="O595" s="86"/>
      <c r="P595" s="383"/>
    </row>
    <row r="596">
      <c r="N596" s="383"/>
      <c r="O596" s="86"/>
      <c r="P596" s="383"/>
    </row>
    <row r="597">
      <c r="N597" s="383"/>
      <c r="O597" s="86"/>
      <c r="P597" s="383"/>
    </row>
    <row r="598">
      <c r="N598" s="383"/>
      <c r="O598" s="86"/>
      <c r="P598" s="383"/>
    </row>
    <row r="599">
      <c r="N599" s="383"/>
      <c r="O599" s="86"/>
      <c r="P599" s="383"/>
    </row>
    <row r="600">
      <c r="N600" s="383"/>
      <c r="O600" s="86"/>
      <c r="P600" s="383"/>
    </row>
    <row r="601">
      <c r="N601" s="383"/>
      <c r="O601" s="86"/>
      <c r="P601" s="383"/>
    </row>
    <row r="602">
      <c r="N602" s="383"/>
      <c r="O602" s="86"/>
      <c r="P602" s="383"/>
    </row>
    <row r="603">
      <c r="N603" s="383"/>
      <c r="O603" s="86"/>
      <c r="P603" s="383"/>
    </row>
    <row r="604">
      <c r="N604" s="383"/>
      <c r="O604" s="86"/>
      <c r="P604" s="383"/>
    </row>
    <row r="605">
      <c r="N605" s="383"/>
      <c r="O605" s="86"/>
      <c r="P605" s="383"/>
    </row>
    <row r="606">
      <c r="N606" s="383"/>
      <c r="O606" s="86"/>
      <c r="P606" s="383"/>
    </row>
    <row r="607">
      <c r="N607" s="383"/>
      <c r="O607" s="86"/>
      <c r="P607" s="383"/>
    </row>
    <row r="608">
      <c r="N608" s="383"/>
      <c r="O608" s="86"/>
      <c r="P608" s="383"/>
    </row>
    <row r="609">
      <c r="N609" s="383"/>
      <c r="O609" s="86"/>
      <c r="P609" s="383"/>
    </row>
    <row r="610">
      <c r="N610" s="383"/>
      <c r="O610" s="86"/>
      <c r="P610" s="383"/>
    </row>
    <row r="611">
      <c r="N611" s="383"/>
      <c r="O611" s="86"/>
      <c r="P611" s="383"/>
    </row>
    <row r="612">
      <c r="N612" s="383"/>
      <c r="O612" s="86"/>
      <c r="P612" s="383"/>
    </row>
    <row r="613">
      <c r="N613" s="383"/>
      <c r="O613" s="86"/>
      <c r="P613" s="383"/>
    </row>
    <row r="614">
      <c r="N614" s="383"/>
      <c r="O614" s="86"/>
      <c r="P614" s="383"/>
    </row>
    <row r="615">
      <c r="N615" s="383"/>
      <c r="O615" s="86"/>
      <c r="P615" s="383"/>
    </row>
    <row r="616">
      <c r="N616" s="383"/>
      <c r="O616" s="86"/>
      <c r="P616" s="383"/>
    </row>
    <row r="617">
      <c r="N617" s="383"/>
      <c r="O617" s="86"/>
      <c r="P617" s="383"/>
    </row>
    <row r="618">
      <c r="N618" s="383"/>
      <c r="O618" s="86"/>
      <c r="P618" s="383"/>
    </row>
    <row r="619">
      <c r="N619" s="383"/>
      <c r="O619" s="86"/>
      <c r="P619" s="383"/>
    </row>
    <row r="620">
      <c r="N620" s="383"/>
      <c r="O620" s="86"/>
      <c r="P620" s="383"/>
    </row>
    <row r="621">
      <c r="N621" s="383"/>
      <c r="O621" s="86"/>
      <c r="P621" s="383"/>
    </row>
    <row r="622">
      <c r="N622" s="383"/>
      <c r="O622" s="86"/>
      <c r="P622" s="383"/>
    </row>
    <row r="623">
      <c r="N623" s="383"/>
      <c r="O623" s="86"/>
      <c r="P623" s="383"/>
    </row>
    <row r="624">
      <c r="N624" s="383"/>
      <c r="O624" s="86"/>
      <c r="P624" s="383"/>
    </row>
    <row r="625">
      <c r="N625" s="383"/>
      <c r="O625" s="86"/>
      <c r="P625" s="383"/>
    </row>
    <row r="626">
      <c r="N626" s="383"/>
      <c r="O626" s="86"/>
      <c r="P626" s="383"/>
    </row>
    <row r="627">
      <c r="N627" s="383"/>
      <c r="O627" s="86"/>
      <c r="P627" s="383"/>
    </row>
    <row r="628">
      <c r="N628" s="383"/>
      <c r="O628" s="86"/>
      <c r="P628" s="383"/>
    </row>
    <row r="629">
      <c r="N629" s="383"/>
      <c r="O629" s="86"/>
      <c r="P629" s="383"/>
    </row>
    <row r="630">
      <c r="N630" s="383"/>
      <c r="O630" s="86"/>
      <c r="P630" s="383"/>
    </row>
    <row r="631">
      <c r="N631" s="383"/>
      <c r="O631" s="86"/>
      <c r="P631" s="383"/>
    </row>
    <row r="632">
      <c r="N632" s="383"/>
      <c r="O632" s="86"/>
      <c r="P632" s="383"/>
    </row>
    <row r="633">
      <c r="N633" s="383"/>
      <c r="O633" s="86"/>
      <c r="P633" s="383"/>
    </row>
    <row r="634">
      <c r="N634" s="383"/>
      <c r="O634" s="86"/>
      <c r="P634" s="383"/>
    </row>
    <row r="635">
      <c r="N635" s="383"/>
      <c r="O635" s="86"/>
      <c r="P635" s="383"/>
    </row>
    <row r="636">
      <c r="N636" s="383"/>
      <c r="O636" s="86"/>
      <c r="P636" s="383"/>
    </row>
    <row r="637">
      <c r="N637" s="383"/>
      <c r="O637" s="86"/>
      <c r="P637" s="383"/>
    </row>
    <row r="638">
      <c r="N638" s="383"/>
      <c r="O638" s="86"/>
      <c r="P638" s="383"/>
    </row>
    <row r="639">
      <c r="N639" s="383"/>
      <c r="O639" s="86"/>
      <c r="P639" s="383"/>
    </row>
    <row r="640">
      <c r="N640" s="383"/>
      <c r="O640" s="86"/>
      <c r="P640" s="383"/>
    </row>
    <row r="641">
      <c r="N641" s="383"/>
      <c r="O641" s="86"/>
      <c r="P641" s="383"/>
    </row>
    <row r="642">
      <c r="N642" s="383"/>
      <c r="O642" s="86"/>
      <c r="P642" s="383"/>
    </row>
    <row r="643">
      <c r="N643" s="383"/>
      <c r="O643" s="86"/>
      <c r="P643" s="383"/>
    </row>
    <row r="644">
      <c r="N644" s="383"/>
      <c r="O644" s="86"/>
      <c r="P644" s="383"/>
    </row>
    <row r="645">
      <c r="N645" s="383"/>
      <c r="O645" s="86"/>
      <c r="P645" s="383"/>
    </row>
    <row r="646">
      <c r="N646" s="383"/>
      <c r="O646" s="86"/>
      <c r="P646" s="383"/>
    </row>
    <row r="647">
      <c r="N647" s="383"/>
      <c r="O647" s="86"/>
      <c r="P647" s="383"/>
    </row>
    <row r="648">
      <c r="N648" s="383"/>
      <c r="O648" s="86"/>
      <c r="P648" s="383"/>
    </row>
    <row r="649">
      <c r="N649" s="383"/>
      <c r="O649" s="86"/>
      <c r="P649" s="383"/>
    </row>
    <row r="650">
      <c r="N650" s="383"/>
      <c r="O650" s="86"/>
      <c r="P650" s="383"/>
    </row>
    <row r="651">
      <c r="N651" s="383"/>
      <c r="O651" s="86"/>
      <c r="P651" s="383"/>
    </row>
    <row r="652">
      <c r="N652" s="383"/>
      <c r="O652" s="86"/>
      <c r="P652" s="383"/>
    </row>
    <row r="653">
      <c r="N653" s="383"/>
      <c r="O653" s="86"/>
      <c r="P653" s="383"/>
    </row>
    <row r="654">
      <c r="N654" s="383"/>
      <c r="O654" s="86"/>
      <c r="P654" s="383"/>
    </row>
    <row r="655">
      <c r="N655" s="383"/>
      <c r="O655" s="86"/>
      <c r="P655" s="383"/>
    </row>
    <row r="656">
      <c r="N656" s="383"/>
      <c r="O656" s="86"/>
      <c r="P656" s="383"/>
    </row>
    <row r="657">
      <c r="N657" s="383"/>
      <c r="O657" s="86"/>
      <c r="P657" s="383"/>
    </row>
    <row r="658">
      <c r="N658" s="383"/>
      <c r="O658" s="86"/>
      <c r="P658" s="383"/>
    </row>
    <row r="659">
      <c r="N659" s="383"/>
      <c r="O659" s="86"/>
      <c r="P659" s="383"/>
    </row>
    <row r="660">
      <c r="N660" s="383"/>
      <c r="O660" s="86"/>
      <c r="P660" s="383"/>
    </row>
    <row r="661">
      <c r="N661" s="383"/>
      <c r="O661" s="86"/>
      <c r="P661" s="383"/>
    </row>
    <row r="662">
      <c r="N662" s="383"/>
      <c r="O662" s="86"/>
      <c r="P662" s="383"/>
    </row>
    <row r="663">
      <c r="N663" s="383"/>
      <c r="O663" s="86"/>
      <c r="P663" s="383"/>
    </row>
    <row r="664">
      <c r="N664" s="383"/>
      <c r="O664" s="86"/>
      <c r="P664" s="383"/>
    </row>
    <row r="665">
      <c r="N665" s="383"/>
      <c r="O665" s="86"/>
      <c r="P665" s="383"/>
    </row>
    <row r="666">
      <c r="N666" s="383"/>
      <c r="O666" s="86"/>
      <c r="P666" s="383"/>
    </row>
    <row r="667">
      <c r="N667" s="383"/>
      <c r="O667" s="86"/>
      <c r="P667" s="383"/>
    </row>
    <row r="668">
      <c r="N668" s="383"/>
      <c r="O668" s="86"/>
      <c r="P668" s="383"/>
    </row>
    <row r="669">
      <c r="N669" s="383"/>
      <c r="O669" s="86"/>
      <c r="P669" s="383"/>
    </row>
    <row r="670">
      <c r="N670" s="383"/>
      <c r="O670" s="86"/>
      <c r="P670" s="383"/>
    </row>
    <row r="671">
      <c r="N671" s="383"/>
      <c r="O671" s="86"/>
      <c r="P671" s="383"/>
    </row>
    <row r="672">
      <c r="N672" s="383"/>
      <c r="O672" s="86"/>
      <c r="P672" s="383"/>
    </row>
    <row r="673">
      <c r="N673" s="383"/>
      <c r="O673" s="86"/>
      <c r="P673" s="383"/>
    </row>
    <row r="674">
      <c r="N674" s="383"/>
      <c r="O674" s="86"/>
      <c r="P674" s="383"/>
    </row>
    <row r="675">
      <c r="N675" s="383"/>
      <c r="O675" s="86"/>
      <c r="P675" s="383"/>
    </row>
    <row r="676">
      <c r="N676" s="383"/>
      <c r="O676" s="86"/>
      <c r="P676" s="383"/>
    </row>
    <row r="677">
      <c r="N677" s="383"/>
      <c r="O677" s="86"/>
      <c r="P677" s="383"/>
    </row>
    <row r="678">
      <c r="N678" s="383"/>
      <c r="O678" s="86"/>
      <c r="P678" s="383"/>
    </row>
    <row r="679">
      <c r="N679" s="383"/>
      <c r="O679" s="86"/>
      <c r="P679" s="383"/>
    </row>
    <row r="680">
      <c r="N680" s="383"/>
      <c r="O680" s="86"/>
      <c r="P680" s="383"/>
    </row>
    <row r="681">
      <c r="N681" s="383"/>
      <c r="O681" s="86"/>
      <c r="P681" s="383"/>
    </row>
    <row r="682">
      <c r="N682" s="383"/>
      <c r="O682" s="86"/>
      <c r="P682" s="383"/>
    </row>
    <row r="683">
      <c r="N683" s="383"/>
      <c r="O683" s="86"/>
      <c r="P683" s="383"/>
    </row>
    <row r="684">
      <c r="N684" s="383"/>
      <c r="O684" s="86"/>
      <c r="P684" s="383"/>
    </row>
    <row r="685">
      <c r="N685" s="383"/>
      <c r="O685" s="86"/>
      <c r="P685" s="383"/>
    </row>
    <row r="686">
      <c r="N686" s="383"/>
      <c r="O686" s="86"/>
      <c r="P686" s="383"/>
    </row>
    <row r="687">
      <c r="N687" s="383"/>
      <c r="O687" s="86"/>
      <c r="P687" s="383"/>
    </row>
    <row r="688">
      <c r="N688" s="383"/>
      <c r="O688" s="86"/>
      <c r="P688" s="383"/>
    </row>
    <row r="689">
      <c r="N689" s="383"/>
      <c r="O689" s="86"/>
      <c r="P689" s="383"/>
    </row>
    <row r="690">
      <c r="N690" s="383"/>
      <c r="O690" s="86"/>
      <c r="P690" s="383"/>
    </row>
    <row r="691">
      <c r="N691" s="383"/>
      <c r="O691" s="86"/>
      <c r="P691" s="383"/>
    </row>
    <row r="692">
      <c r="N692" s="383"/>
      <c r="O692" s="86"/>
      <c r="P692" s="383"/>
    </row>
    <row r="693">
      <c r="N693" s="383"/>
      <c r="O693" s="86"/>
      <c r="P693" s="383"/>
    </row>
    <row r="694">
      <c r="N694" s="383"/>
      <c r="O694" s="86"/>
      <c r="P694" s="383"/>
    </row>
    <row r="695">
      <c r="N695" s="383"/>
      <c r="O695" s="86"/>
      <c r="P695" s="383"/>
    </row>
    <row r="696">
      <c r="N696" s="383"/>
      <c r="O696" s="86"/>
      <c r="P696" s="383"/>
    </row>
    <row r="697">
      <c r="N697" s="383"/>
      <c r="O697" s="86"/>
      <c r="P697" s="383"/>
    </row>
    <row r="698">
      <c r="N698" s="383"/>
      <c r="O698" s="86"/>
      <c r="P698" s="383"/>
    </row>
    <row r="699">
      <c r="N699" s="383"/>
      <c r="O699" s="86"/>
      <c r="P699" s="383"/>
    </row>
    <row r="700">
      <c r="N700" s="383"/>
      <c r="O700" s="86"/>
      <c r="P700" s="383"/>
    </row>
    <row r="701">
      <c r="N701" s="383"/>
      <c r="O701" s="86"/>
      <c r="P701" s="383"/>
    </row>
    <row r="702">
      <c r="N702" s="383"/>
      <c r="O702" s="86"/>
      <c r="P702" s="383"/>
    </row>
    <row r="703">
      <c r="N703" s="383"/>
      <c r="O703" s="86"/>
      <c r="P703" s="383"/>
    </row>
    <row r="704">
      <c r="N704" s="383"/>
      <c r="O704" s="86"/>
      <c r="P704" s="383"/>
    </row>
    <row r="705">
      <c r="N705" s="383"/>
      <c r="O705" s="86"/>
      <c r="P705" s="383"/>
    </row>
    <row r="706">
      <c r="N706" s="383"/>
      <c r="O706" s="86"/>
      <c r="P706" s="383"/>
    </row>
    <row r="707">
      <c r="N707" s="383"/>
      <c r="O707" s="86"/>
      <c r="P707" s="383"/>
    </row>
    <row r="708">
      <c r="N708" s="383"/>
      <c r="O708" s="86"/>
      <c r="P708" s="383"/>
    </row>
    <row r="709">
      <c r="N709" s="383"/>
      <c r="O709" s="86"/>
      <c r="P709" s="383"/>
    </row>
    <row r="710">
      <c r="N710" s="383"/>
      <c r="O710" s="86"/>
      <c r="P710" s="383"/>
    </row>
    <row r="711">
      <c r="N711" s="383"/>
      <c r="O711" s="86"/>
      <c r="P711" s="383"/>
    </row>
    <row r="712">
      <c r="N712" s="383"/>
      <c r="O712" s="86"/>
      <c r="P712" s="383"/>
    </row>
    <row r="713">
      <c r="N713" s="383"/>
      <c r="O713" s="86"/>
      <c r="P713" s="383"/>
    </row>
    <row r="714">
      <c r="N714" s="383"/>
      <c r="O714" s="86"/>
      <c r="P714" s="383"/>
    </row>
    <row r="715">
      <c r="N715" s="383"/>
      <c r="O715" s="86"/>
      <c r="P715" s="383"/>
    </row>
    <row r="716">
      <c r="N716" s="383"/>
      <c r="O716" s="86"/>
      <c r="P716" s="383"/>
    </row>
    <row r="717">
      <c r="N717" s="383"/>
      <c r="O717" s="86"/>
      <c r="P717" s="383"/>
    </row>
    <row r="718">
      <c r="N718" s="383"/>
      <c r="O718" s="86"/>
      <c r="P718" s="383"/>
    </row>
    <row r="719">
      <c r="N719" s="383"/>
      <c r="O719" s="86"/>
      <c r="P719" s="383"/>
    </row>
    <row r="720">
      <c r="N720" s="383"/>
      <c r="O720" s="86"/>
      <c r="P720" s="383"/>
    </row>
    <row r="721">
      <c r="N721" s="383"/>
      <c r="O721" s="86"/>
      <c r="P721" s="383"/>
    </row>
    <row r="722">
      <c r="N722" s="383"/>
      <c r="O722" s="86"/>
      <c r="P722" s="383"/>
    </row>
    <row r="723">
      <c r="N723" s="383"/>
      <c r="O723" s="86"/>
      <c r="P723" s="383"/>
    </row>
    <row r="724">
      <c r="N724" s="383"/>
      <c r="O724" s="86"/>
      <c r="P724" s="383"/>
    </row>
    <row r="725">
      <c r="N725" s="383"/>
      <c r="O725" s="86"/>
      <c r="P725" s="383"/>
    </row>
    <row r="726">
      <c r="N726" s="383"/>
      <c r="O726" s="86"/>
      <c r="P726" s="383"/>
    </row>
    <row r="727">
      <c r="N727" s="383"/>
      <c r="O727" s="86"/>
      <c r="P727" s="383"/>
    </row>
    <row r="728">
      <c r="N728" s="383"/>
      <c r="O728" s="86"/>
      <c r="P728" s="383"/>
    </row>
    <row r="729">
      <c r="N729" s="383"/>
      <c r="O729" s="86"/>
      <c r="P729" s="383"/>
    </row>
    <row r="730">
      <c r="N730" s="383"/>
      <c r="O730" s="86"/>
      <c r="P730" s="383"/>
    </row>
    <row r="731">
      <c r="N731" s="383"/>
      <c r="O731" s="86"/>
      <c r="P731" s="383"/>
    </row>
    <row r="732">
      <c r="N732" s="383"/>
      <c r="O732" s="86"/>
      <c r="P732" s="383"/>
    </row>
    <row r="733">
      <c r="N733" s="383"/>
      <c r="O733" s="86"/>
      <c r="P733" s="383"/>
    </row>
    <row r="734">
      <c r="N734" s="383"/>
      <c r="O734" s="86"/>
      <c r="P734" s="383"/>
    </row>
    <row r="735">
      <c r="N735" s="383"/>
      <c r="O735" s="86"/>
      <c r="P735" s="383"/>
    </row>
    <row r="736">
      <c r="N736" s="383"/>
      <c r="O736" s="86"/>
      <c r="P736" s="383"/>
    </row>
    <row r="737">
      <c r="N737" s="383"/>
      <c r="O737" s="86"/>
      <c r="P737" s="383"/>
    </row>
    <row r="738">
      <c r="N738" s="383"/>
      <c r="O738" s="86"/>
      <c r="P738" s="383"/>
    </row>
    <row r="739">
      <c r="N739" s="383"/>
      <c r="O739" s="86"/>
      <c r="P739" s="383"/>
    </row>
    <row r="740">
      <c r="N740" s="383"/>
      <c r="O740" s="86"/>
      <c r="P740" s="383"/>
    </row>
    <row r="741">
      <c r="N741" s="383"/>
      <c r="O741" s="86"/>
      <c r="P741" s="383"/>
    </row>
    <row r="742">
      <c r="N742" s="383"/>
      <c r="O742" s="86"/>
      <c r="P742" s="383"/>
    </row>
    <row r="743">
      <c r="N743" s="383"/>
      <c r="O743" s="86"/>
      <c r="P743" s="383"/>
    </row>
    <row r="744">
      <c r="N744" s="383"/>
      <c r="O744" s="86"/>
      <c r="P744" s="383"/>
    </row>
    <row r="745">
      <c r="N745" s="383"/>
      <c r="O745" s="86"/>
      <c r="P745" s="383"/>
    </row>
    <row r="746">
      <c r="N746" s="383"/>
      <c r="O746" s="86"/>
      <c r="P746" s="383"/>
    </row>
    <row r="747">
      <c r="N747" s="383"/>
      <c r="O747" s="86"/>
      <c r="P747" s="383"/>
    </row>
    <row r="748">
      <c r="N748" s="383"/>
      <c r="O748" s="86"/>
      <c r="P748" s="383"/>
    </row>
    <row r="749">
      <c r="N749" s="383"/>
      <c r="O749" s="86"/>
      <c r="P749" s="383"/>
    </row>
    <row r="750">
      <c r="N750" s="383"/>
      <c r="O750" s="86"/>
      <c r="P750" s="383"/>
    </row>
    <row r="751">
      <c r="N751" s="383"/>
      <c r="O751" s="86"/>
      <c r="P751" s="383"/>
    </row>
    <row r="752">
      <c r="N752" s="383"/>
      <c r="O752" s="86"/>
      <c r="P752" s="383"/>
    </row>
    <row r="753">
      <c r="N753" s="383"/>
      <c r="O753" s="86"/>
      <c r="P753" s="383"/>
    </row>
    <row r="754">
      <c r="N754" s="383"/>
      <c r="O754" s="86"/>
      <c r="P754" s="383"/>
    </row>
    <row r="755">
      <c r="N755" s="383"/>
      <c r="O755" s="86"/>
      <c r="P755" s="383"/>
    </row>
    <row r="756">
      <c r="N756" s="383"/>
      <c r="O756" s="86"/>
      <c r="P756" s="383"/>
    </row>
    <row r="757">
      <c r="N757" s="383"/>
      <c r="O757" s="86"/>
      <c r="P757" s="383"/>
    </row>
    <row r="758">
      <c r="N758" s="383"/>
      <c r="O758" s="86"/>
      <c r="P758" s="383"/>
    </row>
    <row r="759">
      <c r="N759" s="383"/>
      <c r="O759" s="86"/>
      <c r="P759" s="383"/>
    </row>
    <row r="760">
      <c r="N760" s="383"/>
      <c r="O760" s="86"/>
      <c r="P760" s="383"/>
    </row>
    <row r="761">
      <c r="N761" s="383"/>
      <c r="O761" s="86"/>
      <c r="P761" s="383"/>
    </row>
    <row r="762">
      <c r="N762" s="383"/>
      <c r="O762" s="86"/>
      <c r="P762" s="383"/>
    </row>
    <row r="763">
      <c r="N763" s="383"/>
      <c r="O763" s="86"/>
      <c r="P763" s="383"/>
    </row>
    <row r="764">
      <c r="N764" s="383"/>
      <c r="O764" s="86"/>
      <c r="P764" s="383"/>
    </row>
    <row r="765">
      <c r="N765" s="383"/>
      <c r="O765" s="86"/>
      <c r="P765" s="383"/>
    </row>
    <row r="766">
      <c r="N766" s="383"/>
      <c r="O766" s="86"/>
      <c r="P766" s="383"/>
    </row>
    <row r="767">
      <c r="N767" s="383"/>
      <c r="O767" s="86"/>
      <c r="P767" s="383"/>
    </row>
    <row r="768">
      <c r="N768" s="383"/>
      <c r="O768" s="86"/>
      <c r="P768" s="383"/>
    </row>
    <row r="769">
      <c r="N769" s="383"/>
      <c r="O769" s="86"/>
      <c r="P769" s="383"/>
    </row>
    <row r="770">
      <c r="N770" s="383"/>
      <c r="O770" s="86"/>
      <c r="P770" s="383"/>
    </row>
    <row r="771">
      <c r="N771" s="383"/>
      <c r="O771" s="86"/>
      <c r="P771" s="383"/>
    </row>
    <row r="772">
      <c r="N772" s="383"/>
      <c r="O772" s="86"/>
      <c r="P772" s="383"/>
    </row>
    <row r="773">
      <c r="N773" s="383"/>
      <c r="O773" s="86"/>
      <c r="P773" s="383"/>
    </row>
    <row r="774">
      <c r="N774" s="383"/>
      <c r="O774" s="86"/>
      <c r="P774" s="383"/>
    </row>
    <row r="775">
      <c r="N775" s="383"/>
      <c r="O775" s="86"/>
      <c r="P775" s="383"/>
    </row>
    <row r="776">
      <c r="N776" s="383"/>
      <c r="O776" s="86"/>
      <c r="P776" s="383"/>
    </row>
    <row r="777">
      <c r="N777" s="383"/>
      <c r="O777" s="86"/>
      <c r="P777" s="383"/>
    </row>
    <row r="778">
      <c r="N778" s="383"/>
      <c r="O778" s="86"/>
      <c r="P778" s="383"/>
    </row>
    <row r="779">
      <c r="N779" s="383"/>
      <c r="O779" s="86"/>
      <c r="P779" s="383"/>
    </row>
    <row r="780">
      <c r="N780" s="383"/>
      <c r="O780" s="86"/>
      <c r="P780" s="383"/>
    </row>
    <row r="781">
      <c r="N781" s="383"/>
      <c r="O781" s="86"/>
      <c r="P781" s="383"/>
    </row>
    <row r="782">
      <c r="N782" s="383"/>
      <c r="O782" s="86"/>
      <c r="P782" s="383"/>
    </row>
    <row r="783">
      <c r="N783" s="383"/>
      <c r="O783" s="86"/>
      <c r="P783" s="383"/>
    </row>
    <row r="784">
      <c r="N784" s="383"/>
      <c r="O784" s="86"/>
      <c r="P784" s="383"/>
    </row>
    <row r="785">
      <c r="N785" s="383"/>
      <c r="O785" s="86"/>
      <c r="P785" s="383"/>
    </row>
    <row r="786">
      <c r="N786" s="383"/>
      <c r="O786" s="86"/>
      <c r="P786" s="383"/>
    </row>
    <row r="787">
      <c r="N787" s="383"/>
      <c r="O787" s="86"/>
      <c r="P787" s="383"/>
    </row>
    <row r="788">
      <c r="N788" s="383"/>
      <c r="O788" s="86"/>
      <c r="P788" s="383"/>
    </row>
    <row r="789">
      <c r="N789" s="383"/>
      <c r="O789" s="86"/>
      <c r="P789" s="383"/>
    </row>
    <row r="790">
      <c r="N790" s="383"/>
      <c r="O790" s="86"/>
      <c r="P790" s="383"/>
    </row>
    <row r="791">
      <c r="N791" s="383"/>
      <c r="O791" s="86"/>
      <c r="P791" s="383"/>
    </row>
    <row r="792">
      <c r="N792" s="383"/>
      <c r="O792" s="86"/>
      <c r="P792" s="383"/>
    </row>
    <row r="793">
      <c r="N793" s="383"/>
      <c r="O793" s="86"/>
      <c r="P793" s="383"/>
    </row>
    <row r="794">
      <c r="N794" s="383"/>
      <c r="O794" s="86"/>
      <c r="P794" s="383"/>
    </row>
    <row r="795">
      <c r="N795" s="383"/>
      <c r="O795" s="86"/>
      <c r="P795" s="383"/>
    </row>
    <row r="796">
      <c r="N796" s="383"/>
      <c r="O796" s="86"/>
      <c r="P796" s="383"/>
    </row>
    <row r="797">
      <c r="N797" s="383"/>
      <c r="O797" s="86"/>
      <c r="P797" s="383"/>
    </row>
    <row r="798">
      <c r="N798" s="383"/>
      <c r="O798" s="86"/>
      <c r="P798" s="383"/>
    </row>
    <row r="799">
      <c r="N799" s="383"/>
      <c r="O799" s="86"/>
      <c r="P799" s="383"/>
    </row>
    <row r="800">
      <c r="N800" s="383"/>
      <c r="O800" s="86"/>
      <c r="P800" s="383"/>
    </row>
    <row r="801">
      <c r="N801" s="383"/>
      <c r="O801" s="86"/>
      <c r="P801" s="383"/>
    </row>
    <row r="802">
      <c r="N802" s="383"/>
      <c r="O802" s="86"/>
      <c r="P802" s="383"/>
    </row>
    <row r="803">
      <c r="N803" s="383"/>
      <c r="O803" s="86"/>
      <c r="P803" s="383"/>
    </row>
    <row r="804">
      <c r="N804" s="383"/>
      <c r="O804" s="86"/>
      <c r="P804" s="383"/>
    </row>
    <row r="805">
      <c r="N805" s="383"/>
      <c r="O805" s="86"/>
      <c r="P805" s="383"/>
    </row>
    <row r="806">
      <c r="N806" s="383"/>
      <c r="O806" s="86"/>
      <c r="P806" s="383"/>
    </row>
    <row r="807">
      <c r="N807" s="383"/>
      <c r="O807" s="86"/>
      <c r="P807" s="383"/>
    </row>
    <row r="808">
      <c r="N808" s="383"/>
      <c r="O808" s="86"/>
      <c r="P808" s="383"/>
    </row>
    <row r="809">
      <c r="N809" s="383"/>
      <c r="O809" s="86"/>
      <c r="P809" s="383"/>
    </row>
    <row r="810">
      <c r="N810" s="383"/>
      <c r="O810" s="86"/>
      <c r="P810" s="383"/>
    </row>
    <row r="811">
      <c r="N811" s="383"/>
      <c r="O811" s="86"/>
      <c r="P811" s="383"/>
    </row>
    <row r="812">
      <c r="N812" s="383"/>
      <c r="O812" s="86"/>
      <c r="P812" s="383"/>
    </row>
    <row r="813">
      <c r="N813" s="383"/>
      <c r="O813" s="86"/>
      <c r="P813" s="383"/>
    </row>
    <row r="814">
      <c r="N814" s="383"/>
      <c r="O814" s="86"/>
      <c r="P814" s="383"/>
    </row>
    <row r="815">
      <c r="N815" s="383"/>
      <c r="O815" s="86"/>
      <c r="P815" s="383"/>
    </row>
    <row r="816">
      <c r="N816" s="383"/>
      <c r="O816" s="86"/>
      <c r="P816" s="383"/>
    </row>
    <row r="817">
      <c r="N817" s="383"/>
      <c r="O817" s="86"/>
      <c r="P817" s="383"/>
    </row>
    <row r="818">
      <c r="N818" s="383"/>
      <c r="O818" s="86"/>
      <c r="P818" s="383"/>
    </row>
    <row r="819">
      <c r="N819" s="383"/>
      <c r="O819" s="86"/>
      <c r="P819" s="383"/>
    </row>
    <row r="820">
      <c r="N820" s="383"/>
      <c r="O820" s="86"/>
      <c r="P820" s="383"/>
    </row>
    <row r="821">
      <c r="N821" s="383"/>
      <c r="O821" s="86"/>
      <c r="P821" s="383"/>
    </row>
    <row r="822">
      <c r="N822" s="383"/>
      <c r="O822" s="86"/>
      <c r="P822" s="383"/>
    </row>
    <row r="823">
      <c r="N823" s="383"/>
      <c r="O823" s="86"/>
      <c r="P823" s="383"/>
    </row>
    <row r="824">
      <c r="N824" s="383"/>
      <c r="O824" s="86"/>
      <c r="P824" s="383"/>
    </row>
    <row r="825">
      <c r="N825" s="383"/>
      <c r="O825" s="86"/>
      <c r="P825" s="383"/>
    </row>
    <row r="826">
      <c r="N826" s="383"/>
      <c r="O826" s="86"/>
      <c r="P826" s="383"/>
    </row>
    <row r="827">
      <c r="N827" s="383"/>
      <c r="O827" s="86"/>
      <c r="P827" s="383"/>
    </row>
    <row r="828">
      <c r="N828" s="383"/>
      <c r="O828" s="86"/>
      <c r="P828" s="383"/>
    </row>
    <row r="829">
      <c r="N829" s="383"/>
      <c r="O829" s="86"/>
      <c r="P829" s="383"/>
    </row>
    <row r="830">
      <c r="N830" s="383"/>
      <c r="O830" s="86"/>
      <c r="P830" s="383"/>
    </row>
    <row r="831">
      <c r="N831" s="383"/>
      <c r="O831" s="86"/>
      <c r="P831" s="383"/>
    </row>
    <row r="832">
      <c r="N832" s="383"/>
      <c r="O832" s="86"/>
      <c r="P832" s="383"/>
    </row>
    <row r="833">
      <c r="N833" s="383"/>
      <c r="O833" s="86"/>
      <c r="P833" s="383"/>
    </row>
    <row r="834">
      <c r="N834" s="383"/>
      <c r="O834" s="86"/>
      <c r="P834" s="383"/>
    </row>
    <row r="835">
      <c r="N835" s="383"/>
      <c r="O835" s="86"/>
      <c r="P835" s="383"/>
    </row>
    <row r="836">
      <c r="N836" s="383"/>
      <c r="O836" s="86"/>
      <c r="P836" s="383"/>
    </row>
    <row r="837">
      <c r="N837" s="383"/>
      <c r="O837" s="86"/>
      <c r="P837" s="383"/>
    </row>
    <row r="838">
      <c r="N838" s="383"/>
      <c r="O838" s="86"/>
      <c r="P838" s="383"/>
    </row>
    <row r="839">
      <c r="N839" s="383"/>
      <c r="O839" s="86"/>
      <c r="P839" s="383"/>
    </row>
    <row r="840">
      <c r="N840" s="383"/>
      <c r="O840" s="86"/>
      <c r="P840" s="383"/>
    </row>
    <row r="841">
      <c r="N841" s="383"/>
      <c r="O841" s="86"/>
      <c r="P841" s="383"/>
    </row>
    <row r="842">
      <c r="N842" s="383"/>
      <c r="O842" s="86"/>
      <c r="P842" s="383"/>
    </row>
    <row r="843">
      <c r="N843" s="383"/>
      <c r="O843" s="86"/>
      <c r="P843" s="383"/>
    </row>
    <row r="844">
      <c r="N844" s="383"/>
      <c r="O844" s="86"/>
      <c r="P844" s="383"/>
    </row>
    <row r="845">
      <c r="N845" s="383"/>
      <c r="O845" s="86"/>
      <c r="P845" s="383"/>
    </row>
    <row r="846">
      <c r="N846" s="383"/>
      <c r="O846" s="86"/>
      <c r="P846" s="383"/>
    </row>
    <row r="847">
      <c r="N847" s="383"/>
      <c r="O847" s="86"/>
      <c r="P847" s="383"/>
    </row>
    <row r="848">
      <c r="N848" s="383"/>
      <c r="O848" s="86"/>
      <c r="P848" s="383"/>
    </row>
    <row r="849">
      <c r="N849" s="383"/>
      <c r="O849" s="86"/>
      <c r="P849" s="383"/>
    </row>
    <row r="850">
      <c r="N850" s="383"/>
      <c r="O850" s="86"/>
      <c r="P850" s="383"/>
    </row>
    <row r="851">
      <c r="N851" s="383"/>
      <c r="O851" s="86"/>
      <c r="P851" s="383"/>
    </row>
    <row r="852">
      <c r="N852" s="383"/>
      <c r="O852" s="86"/>
      <c r="P852" s="383"/>
    </row>
    <row r="853">
      <c r="N853" s="383"/>
      <c r="O853" s="86"/>
      <c r="P853" s="383"/>
    </row>
    <row r="854">
      <c r="N854" s="383"/>
      <c r="O854" s="86"/>
      <c r="P854" s="383"/>
    </row>
    <row r="855">
      <c r="N855" s="383"/>
      <c r="O855" s="86"/>
      <c r="P855" s="383"/>
    </row>
    <row r="856">
      <c r="N856" s="383"/>
      <c r="O856" s="86"/>
      <c r="P856" s="383"/>
    </row>
    <row r="857">
      <c r="N857" s="383"/>
      <c r="O857" s="86"/>
      <c r="P857" s="383"/>
    </row>
    <row r="858">
      <c r="N858" s="383"/>
      <c r="O858" s="86"/>
      <c r="P858" s="383"/>
    </row>
    <row r="859">
      <c r="N859" s="383"/>
      <c r="O859" s="86"/>
      <c r="P859" s="383"/>
    </row>
    <row r="860">
      <c r="N860" s="383"/>
      <c r="O860" s="86"/>
      <c r="P860" s="383"/>
    </row>
    <row r="861">
      <c r="N861" s="383"/>
      <c r="O861" s="86"/>
      <c r="P861" s="383"/>
    </row>
    <row r="862">
      <c r="N862" s="383"/>
      <c r="O862" s="86"/>
      <c r="P862" s="383"/>
    </row>
    <row r="863">
      <c r="N863" s="383"/>
      <c r="O863" s="86"/>
      <c r="P863" s="383"/>
    </row>
    <row r="864">
      <c r="N864" s="383"/>
      <c r="O864" s="86"/>
      <c r="P864" s="383"/>
    </row>
    <row r="865">
      <c r="N865" s="383"/>
      <c r="O865" s="86"/>
      <c r="P865" s="383"/>
    </row>
    <row r="866">
      <c r="N866" s="383"/>
      <c r="O866" s="86"/>
      <c r="P866" s="383"/>
    </row>
    <row r="867">
      <c r="N867" s="383"/>
      <c r="O867" s="86"/>
      <c r="P867" s="383"/>
    </row>
    <row r="868">
      <c r="N868" s="383"/>
      <c r="O868" s="86"/>
      <c r="P868" s="383"/>
    </row>
    <row r="869">
      <c r="N869" s="383"/>
      <c r="O869" s="86"/>
      <c r="P869" s="383"/>
    </row>
    <row r="870">
      <c r="N870" s="383"/>
      <c r="O870" s="86"/>
      <c r="P870" s="383"/>
    </row>
    <row r="871">
      <c r="N871" s="383"/>
      <c r="O871" s="86"/>
      <c r="P871" s="383"/>
    </row>
    <row r="872">
      <c r="N872" s="383"/>
      <c r="O872" s="86"/>
      <c r="P872" s="383"/>
    </row>
    <row r="873">
      <c r="N873" s="383"/>
      <c r="O873" s="86"/>
      <c r="P873" s="383"/>
    </row>
    <row r="874">
      <c r="N874" s="383"/>
      <c r="O874" s="86"/>
      <c r="P874" s="383"/>
    </row>
    <row r="875">
      <c r="N875" s="383"/>
      <c r="O875" s="86"/>
      <c r="P875" s="383"/>
    </row>
    <row r="876">
      <c r="N876" s="383"/>
      <c r="O876" s="86"/>
      <c r="P876" s="383"/>
    </row>
    <row r="877">
      <c r="N877" s="383"/>
      <c r="O877" s="86"/>
      <c r="P877" s="383"/>
    </row>
    <row r="878">
      <c r="N878" s="383"/>
      <c r="O878" s="86"/>
      <c r="P878" s="383"/>
    </row>
    <row r="879">
      <c r="N879" s="383"/>
      <c r="O879" s="86"/>
      <c r="P879" s="383"/>
    </row>
    <row r="880">
      <c r="N880" s="383"/>
      <c r="O880" s="86"/>
      <c r="P880" s="383"/>
    </row>
    <row r="881">
      <c r="N881" s="383"/>
      <c r="O881" s="86"/>
      <c r="P881" s="383"/>
    </row>
    <row r="882">
      <c r="N882" s="383"/>
      <c r="O882" s="86"/>
      <c r="P882" s="383"/>
    </row>
    <row r="883">
      <c r="N883" s="383"/>
      <c r="O883" s="86"/>
      <c r="P883" s="383"/>
    </row>
    <row r="884">
      <c r="N884" s="383"/>
      <c r="O884" s="86"/>
      <c r="P884" s="383"/>
    </row>
    <row r="885">
      <c r="N885" s="383"/>
      <c r="O885" s="86"/>
      <c r="P885" s="383"/>
    </row>
    <row r="886">
      <c r="N886" s="383"/>
      <c r="O886" s="86"/>
      <c r="P886" s="383"/>
    </row>
    <row r="887">
      <c r="N887" s="383"/>
      <c r="O887" s="86"/>
      <c r="P887" s="383"/>
    </row>
    <row r="888">
      <c r="N888" s="383"/>
      <c r="O888" s="86"/>
      <c r="P888" s="383"/>
    </row>
    <row r="889">
      <c r="N889" s="383"/>
      <c r="O889" s="86"/>
      <c r="P889" s="383"/>
    </row>
    <row r="890">
      <c r="N890" s="383"/>
      <c r="O890" s="86"/>
      <c r="P890" s="383"/>
    </row>
    <row r="891">
      <c r="N891" s="383"/>
      <c r="O891" s="86"/>
      <c r="P891" s="383"/>
    </row>
    <row r="892">
      <c r="N892" s="383"/>
      <c r="O892" s="86"/>
      <c r="P892" s="383"/>
    </row>
    <row r="893">
      <c r="N893" s="383"/>
      <c r="O893" s="86"/>
      <c r="P893" s="383"/>
    </row>
    <row r="894">
      <c r="N894" s="383"/>
      <c r="O894" s="86"/>
      <c r="P894" s="383"/>
    </row>
    <row r="895">
      <c r="N895" s="383"/>
      <c r="O895" s="86"/>
      <c r="P895" s="383"/>
    </row>
    <row r="896">
      <c r="N896" s="383"/>
      <c r="O896" s="86"/>
      <c r="P896" s="383"/>
    </row>
    <row r="897">
      <c r="N897" s="383"/>
      <c r="O897" s="86"/>
      <c r="P897" s="383"/>
    </row>
    <row r="898">
      <c r="N898" s="383"/>
      <c r="O898" s="86"/>
      <c r="P898" s="383"/>
    </row>
    <row r="899">
      <c r="N899" s="383"/>
      <c r="O899" s="86"/>
      <c r="P899" s="383"/>
    </row>
    <row r="900">
      <c r="N900" s="383"/>
      <c r="O900" s="86"/>
      <c r="P900" s="383"/>
    </row>
    <row r="901">
      <c r="N901" s="383"/>
      <c r="O901" s="86"/>
      <c r="P901" s="383"/>
    </row>
    <row r="902">
      <c r="N902" s="383"/>
      <c r="O902" s="86"/>
      <c r="P902" s="383"/>
    </row>
    <row r="903">
      <c r="N903" s="383"/>
      <c r="O903" s="86"/>
      <c r="P903" s="383"/>
    </row>
    <row r="904">
      <c r="N904" s="383"/>
      <c r="O904" s="86"/>
      <c r="P904" s="383"/>
    </row>
    <row r="905">
      <c r="N905" s="383"/>
      <c r="O905" s="86"/>
      <c r="P905" s="383"/>
    </row>
    <row r="906">
      <c r="N906" s="383"/>
      <c r="O906" s="86"/>
      <c r="P906" s="383"/>
    </row>
    <row r="907">
      <c r="N907" s="383"/>
      <c r="O907" s="86"/>
      <c r="P907" s="383"/>
    </row>
    <row r="908">
      <c r="N908" s="383"/>
      <c r="O908" s="86"/>
      <c r="P908" s="383"/>
    </row>
    <row r="909">
      <c r="N909" s="383"/>
      <c r="O909" s="86"/>
      <c r="P909" s="383"/>
    </row>
    <row r="910">
      <c r="N910" s="383"/>
      <c r="O910" s="86"/>
      <c r="P910" s="383"/>
    </row>
    <row r="911">
      <c r="N911" s="383"/>
      <c r="O911" s="86"/>
      <c r="P911" s="383"/>
    </row>
    <row r="912">
      <c r="N912" s="383"/>
      <c r="O912" s="86"/>
      <c r="P912" s="383"/>
    </row>
    <row r="913">
      <c r="N913" s="383"/>
      <c r="O913" s="86"/>
      <c r="P913" s="383"/>
    </row>
    <row r="914">
      <c r="N914" s="383"/>
      <c r="O914" s="86"/>
      <c r="P914" s="383"/>
    </row>
    <row r="915">
      <c r="N915" s="383"/>
      <c r="O915" s="86"/>
      <c r="P915" s="383"/>
    </row>
    <row r="916">
      <c r="N916" s="383"/>
      <c r="O916" s="86"/>
      <c r="P916" s="383"/>
    </row>
    <row r="917">
      <c r="N917" s="383"/>
      <c r="O917" s="86"/>
      <c r="P917" s="383"/>
    </row>
    <row r="918">
      <c r="N918" s="383"/>
      <c r="O918" s="86"/>
      <c r="P918" s="383"/>
    </row>
    <row r="919">
      <c r="N919" s="383"/>
      <c r="O919" s="86"/>
      <c r="P919" s="383"/>
    </row>
    <row r="920">
      <c r="N920" s="383"/>
      <c r="O920" s="86"/>
      <c r="P920" s="383"/>
    </row>
    <row r="921">
      <c r="N921" s="383"/>
      <c r="O921" s="86"/>
      <c r="P921" s="383"/>
    </row>
    <row r="922">
      <c r="N922" s="383"/>
      <c r="O922" s="86"/>
      <c r="P922" s="383"/>
    </row>
    <row r="923">
      <c r="N923" s="383"/>
      <c r="O923" s="86"/>
      <c r="P923" s="383"/>
    </row>
    <row r="924">
      <c r="N924" s="383"/>
      <c r="O924" s="86"/>
      <c r="P924" s="383"/>
    </row>
    <row r="925">
      <c r="N925" s="383"/>
      <c r="O925" s="86"/>
      <c r="P925" s="383"/>
    </row>
    <row r="926">
      <c r="N926" s="383"/>
      <c r="O926" s="86"/>
      <c r="P926" s="383"/>
    </row>
    <row r="927">
      <c r="N927" s="383"/>
      <c r="O927" s="86"/>
      <c r="P927" s="383"/>
    </row>
    <row r="928">
      <c r="N928" s="383"/>
      <c r="O928" s="86"/>
      <c r="P928" s="383"/>
    </row>
    <row r="929">
      <c r="N929" s="383"/>
      <c r="O929" s="86"/>
      <c r="P929" s="383"/>
    </row>
    <row r="930">
      <c r="N930" s="383"/>
      <c r="O930" s="86"/>
      <c r="P930" s="383"/>
    </row>
    <row r="931">
      <c r="N931" s="383"/>
      <c r="O931" s="86"/>
      <c r="P931" s="383"/>
    </row>
    <row r="932">
      <c r="N932" s="383"/>
      <c r="O932" s="86"/>
      <c r="P932" s="383"/>
    </row>
    <row r="933">
      <c r="N933" s="383"/>
      <c r="O933" s="86"/>
      <c r="P933" s="383"/>
    </row>
    <row r="934">
      <c r="N934" s="383"/>
      <c r="O934" s="86"/>
      <c r="P934" s="383"/>
    </row>
    <row r="935">
      <c r="N935" s="383"/>
      <c r="O935" s="86"/>
      <c r="P935" s="383"/>
    </row>
    <row r="936">
      <c r="N936" s="383"/>
      <c r="O936" s="86"/>
      <c r="P936" s="383"/>
    </row>
    <row r="937">
      <c r="N937" s="383"/>
      <c r="O937" s="86"/>
      <c r="P937" s="383"/>
    </row>
    <row r="938">
      <c r="N938" s="383"/>
      <c r="O938" s="86"/>
      <c r="P938" s="383"/>
    </row>
    <row r="939">
      <c r="N939" s="383"/>
      <c r="O939" s="86"/>
      <c r="P939" s="383"/>
    </row>
    <row r="940">
      <c r="N940" s="383"/>
      <c r="O940" s="86"/>
      <c r="P940" s="383"/>
    </row>
    <row r="941">
      <c r="N941" s="383"/>
      <c r="O941" s="86"/>
      <c r="P941" s="383"/>
    </row>
    <row r="942">
      <c r="N942" s="383"/>
      <c r="O942" s="86"/>
      <c r="P942" s="383"/>
    </row>
    <row r="943">
      <c r="N943" s="383"/>
      <c r="O943" s="86"/>
      <c r="P943" s="383"/>
    </row>
    <row r="944">
      <c r="N944" s="383"/>
      <c r="O944" s="86"/>
      <c r="P944" s="383"/>
    </row>
    <row r="945">
      <c r="N945" s="383"/>
      <c r="O945" s="86"/>
      <c r="P945" s="383"/>
    </row>
    <row r="946">
      <c r="N946" s="383"/>
      <c r="O946" s="86"/>
      <c r="P946" s="383"/>
    </row>
    <row r="947">
      <c r="N947" s="383"/>
      <c r="O947" s="86"/>
      <c r="P947" s="383"/>
    </row>
    <row r="948">
      <c r="N948" s="383"/>
      <c r="O948" s="86"/>
      <c r="P948" s="383"/>
    </row>
    <row r="949">
      <c r="N949" s="383"/>
      <c r="O949" s="86"/>
      <c r="P949" s="383"/>
    </row>
    <row r="950">
      <c r="N950" s="383"/>
      <c r="O950" s="86"/>
      <c r="P950" s="383"/>
    </row>
    <row r="951">
      <c r="N951" s="383"/>
      <c r="O951" s="86"/>
      <c r="P951" s="383"/>
    </row>
    <row r="952">
      <c r="N952" s="383"/>
      <c r="O952" s="86"/>
      <c r="P952" s="383"/>
    </row>
    <row r="953">
      <c r="N953" s="383"/>
      <c r="O953" s="86"/>
      <c r="P953" s="383"/>
    </row>
    <row r="954">
      <c r="N954" s="383"/>
      <c r="O954" s="86"/>
      <c r="P954" s="383"/>
    </row>
    <row r="955">
      <c r="N955" s="383"/>
      <c r="O955" s="86"/>
      <c r="P955" s="383"/>
    </row>
    <row r="956">
      <c r="N956" s="383"/>
      <c r="O956" s="86"/>
      <c r="P956" s="383"/>
    </row>
    <row r="957">
      <c r="N957" s="383"/>
      <c r="O957" s="86"/>
      <c r="P957" s="383"/>
    </row>
    <row r="958">
      <c r="N958" s="383"/>
      <c r="O958" s="86"/>
      <c r="P958" s="383"/>
    </row>
    <row r="959">
      <c r="N959" s="383"/>
      <c r="O959" s="86"/>
      <c r="P959" s="383"/>
    </row>
    <row r="960">
      <c r="N960" s="383"/>
      <c r="O960" s="86"/>
      <c r="P960" s="383"/>
    </row>
    <row r="961">
      <c r="N961" s="383"/>
      <c r="O961" s="86"/>
      <c r="P961" s="383"/>
    </row>
    <row r="962">
      <c r="N962" s="383"/>
      <c r="O962" s="86"/>
      <c r="P962" s="383"/>
    </row>
    <row r="963">
      <c r="N963" s="383"/>
      <c r="O963" s="86"/>
      <c r="P963" s="383"/>
    </row>
    <row r="964">
      <c r="N964" s="383"/>
      <c r="O964" s="86"/>
      <c r="P964" s="383"/>
    </row>
    <row r="965">
      <c r="N965" s="383"/>
      <c r="O965" s="86"/>
      <c r="P965" s="383"/>
    </row>
    <row r="966">
      <c r="N966" s="383"/>
      <c r="O966" s="86"/>
      <c r="P966" s="383"/>
    </row>
    <row r="967">
      <c r="N967" s="383"/>
      <c r="O967" s="86"/>
      <c r="P967" s="383"/>
    </row>
    <row r="968">
      <c r="N968" s="383"/>
      <c r="O968" s="86"/>
      <c r="P968" s="383"/>
    </row>
    <row r="969">
      <c r="N969" s="383"/>
      <c r="O969" s="86"/>
      <c r="P969" s="383"/>
    </row>
    <row r="970">
      <c r="N970" s="383"/>
      <c r="O970" s="86"/>
      <c r="P970" s="383"/>
    </row>
    <row r="971">
      <c r="N971" s="383"/>
      <c r="O971" s="86"/>
      <c r="P971" s="383"/>
    </row>
    <row r="972">
      <c r="N972" s="383"/>
      <c r="O972" s="86"/>
      <c r="P972" s="383"/>
    </row>
    <row r="973">
      <c r="N973" s="383"/>
      <c r="O973" s="86"/>
      <c r="P973" s="383"/>
    </row>
    <row r="974">
      <c r="N974" s="383"/>
      <c r="O974" s="86"/>
      <c r="P974" s="383"/>
    </row>
    <row r="975">
      <c r="N975" s="383"/>
      <c r="O975" s="86"/>
      <c r="P975" s="383"/>
    </row>
    <row r="976">
      <c r="N976" s="383"/>
      <c r="O976" s="86"/>
      <c r="P976" s="383"/>
    </row>
    <row r="977">
      <c r="N977" s="383"/>
      <c r="O977" s="86"/>
      <c r="P977" s="383"/>
    </row>
    <row r="978">
      <c r="N978" s="383"/>
      <c r="O978" s="86"/>
      <c r="P978" s="383"/>
    </row>
    <row r="979">
      <c r="N979" s="383"/>
      <c r="O979" s="86"/>
      <c r="P979" s="383"/>
    </row>
    <row r="980">
      <c r="N980" s="383"/>
      <c r="O980" s="86"/>
      <c r="P980" s="383"/>
    </row>
    <row r="981">
      <c r="N981" s="383"/>
      <c r="O981" s="86"/>
      <c r="P981" s="383"/>
    </row>
    <row r="982">
      <c r="N982" s="383"/>
      <c r="O982" s="86"/>
      <c r="P982" s="383"/>
    </row>
    <row r="983">
      <c r="N983" s="383"/>
      <c r="O983" s="86"/>
      <c r="P983" s="383"/>
    </row>
    <row r="984">
      <c r="N984" s="383"/>
      <c r="O984" s="86"/>
      <c r="P984" s="383"/>
    </row>
    <row r="985">
      <c r="N985" s="383"/>
      <c r="O985" s="86"/>
      <c r="P985" s="383"/>
    </row>
    <row r="986">
      <c r="N986" s="383"/>
      <c r="O986" s="86"/>
      <c r="P986" s="383"/>
    </row>
    <row r="987">
      <c r="N987" s="383"/>
      <c r="O987" s="86"/>
      <c r="P987" s="383"/>
    </row>
  </sheetData>
  <mergeCells count="158">
    <mergeCell ref="A26:B26"/>
    <mergeCell ref="A27:B27"/>
    <mergeCell ref="T27:V27"/>
    <mergeCell ref="T28:V28"/>
    <mergeCell ref="H15:I15"/>
    <mergeCell ref="H16:I16"/>
    <mergeCell ref="A20:G20"/>
    <mergeCell ref="A21:G21"/>
    <mergeCell ref="A22:C22"/>
    <mergeCell ref="A24:B24"/>
    <mergeCell ref="A25:B25"/>
    <mergeCell ref="D3:D6"/>
    <mergeCell ref="F3:F6"/>
    <mergeCell ref="A7:I7"/>
    <mergeCell ref="C1:D1"/>
    <mergeCell ref="C8:D8"/>
    <mergeCell ref="D10:D13"/>
    <mergeCell ref="E8:F8"/>
    <mergeCell ref="G8:H8"/>
    <mergeCell ref="H3:H6"/>
    <mergeCell ref="H10:H13"/>
    <mergeCell ref="H17:I17"/>
    <mergeCell ref="Q20:Q21"/>
    <mergeCell ref="A31:B31"/>
    <mergeCell ref="A32:B32"/>
    <mergeCell ref="A33:B33"/>
    <mergeCell ref="C41:E41"/>
    <mergeCell ref="C42:E42"/>
    <mergeCell ref="A1:B1"/>
    <mergeCell ref="B3:B6"/>
    <mergeCell ref="A8:B8"/>
    <mergeCell ref="B10:B13"/>
    <mergeCell ref="A28:B28"/>
    <mergeCell ref="A29:B29"/>
    <mergeCell ref="A30:B30"/>
    <mergeCell ref="J52:L52"/>
    <mergeCell ref="J53:L53"/>
    <mergeCell ref="H75:K75"/>
    <mergeCell ref="H76:K76"/>
    <mergeCell ref="H77:K77"/>
    <mergeCell ref="H78:K78"/>
    <mergeCell ref="H79:K79"/>
    <mergeCell ref="H80:K80"/>
    <mergeCell ref="H81:K81"/>
    <mergeCell ref="H82:K82"/>
    <mergeCell ref="H83:K83"/>
    <mergeCell ref="H84:K84"/>
    <mergeCell ref="H85:K85"/>
    <mergeCell ref="E98:H98"/>
    <mergeCell ref="A107:D107"/>
    <mergeCell ref="A108:D108"/>
    <mergeCell ref="A100:D100"/>
    <mergeCell ref="A101:D101"/>
    <mergeCell ref="A102:D102"/>
    <mergeCell ref="A103:D103"/>
    <mergeCell ref="A104:D104"/>
    <mergeCell ref="A105:D105"/>
    <mergeCell ref="A106:D106"/>
    <mergeCell ref="J1:L13"/>
    <mergeCell ref="J51:L51"/>
    <mergeCell ref="H119:K119"/>
    <mergeCell ref="H120:K120"/>
    <mergeCell ref="H121:K121"/>
    <mergeCell ref="H122:K122"/>
    <mergeCell ref="H123:K123"/>
    <mergeCell ref="H124:K124"/>
    <mergeCell ref="H125:K125"/>
    <mergeCell ref="H126:K126"/>
    <mergeCell ref="E1:F1"/>
    <mergeCell ref="G1:H1"/>
    <mergeCell ref="M1:M987"/>
    <mergeCell ref="N1:O1"/>
    <mergeCell ref="T1:U1"/>
    <mergeCell ref="F10:F13"/>
    <mergeCell ref="Q25:Q26"/>
    <mergeCell ref="I98:L98"/>
    <mergeCell ref="I99:L99"/>
    <mergeCell ref="I100:L100"/>
    <mergeCell ref="I101:L101"/>
    <mergeCell ref="I102:L102"/>
    <mergeCell ref="I103:L103"/>
    <mergeCell ref="I104:L104"/>
    <mergeCell ref="I105:L105"/>
    <mergeCell ref="I106:L106"/>
    <mergeCell ref="I107:L107"/>
    <mergeCell ref="E108:H108"/>
    <mergeCell ref="I108:L108"/>
    <mergeCell ref="H116:K116"/>
    <mergeCell ref="H117:K117"/>
    <mergeCell ref="A115:K115"/>
    <mergeCell ref="A116:C116"/>
    <mergeCell ref="D116:G116"/>
    <mergeCell ref="A117:C117"/>
    <mergeCell ref="D117:G117"/>
    <mergeCell ref="D118:G118"/>
    <mergeCell ref="H118:K118"/>
    <mergeCell ref="A118:C118"/>
    <mergeCell ref="A119:C119"/>
    <mergeCell ref="D119:G119"/>
    <mergeCell ref="A120:C120"/>
    <mergeCell ref="D120:G120"/>
    <mergeCell ref="A121:C121"/>
    <mergeCell ref="D121:G121"/>
    <mergeCell ref="A125:C125"/>
    <mergeCell ref="A126:C126"/>
    <mergeCell ref="A127:C127"/>
    <mergeCell ref="A122:C122"/>
    <mergeCell ref="D122:G122"/>
    <mergeCell ref="A123:C123"/>
    <mergeCell ref="D123:G123"/>
    <mergeCell ref="A124:C124"/>
    <mergeCell ref="D124:G124"/>
    <mergeCell ref="D125:G125"/>
    <mergeCell ref="D126:G126"/>
    <mergeCell ref="A52:A53"/>
    <mergeCell ref="A54:A55"/>
    <mergeCell ref="A56:A57"/>
    <mergeCell ref="A58:A59"/>
    <mergeCell ref="A60:A61"/>
    <mergeCell ref="A62:A63"/>
    <mergeCell ref="A64:A65"/>
    <mergeCell ref="A66:A67"/>
    <mergeCell ref="A68:A69"/>
    <mergeCell ref="A70:A71"/>
    <mergeCell ref="A74:K74"/>
    <mergeCell ref="A75:C75"/>
    <mergeCell ref="D75:G75"/>
    <mergeCell ref="D76:G76"/>
    <mergeCell ref="A76:C76"/>
    <mergeCell ref="A77:C77"/>
    <mergeCell ref="D77:G77"/>
    <mergeCell ref="A78:C78"/>
    <mergeCell ref="D78:G78"/>
    <mergeCell ref="A79:C79"/>
    <mergeCell ref="D79:G79"/>
    <mergeCell ref="D84:G84"/>
    <mergeCell ref="D85:G85"/>
    <mergeCell ref="A80:C80"/>
    <mergeCell ref="D80:G80"/>
    <mergeCell ref="A81:C81"/>
    <mergeCell ref="D81:G81"/>
    <mergeCell ref="A82:C82"/>
    <mergeCell ref="D82:G82"/>
    <mergeCell ref="D83:G83"/>
    <mergeCell ref="A83:C83"/>
    <mergeCell ref="A84:C84"/>
    <mergeCell ref="A85:C85"/>
    <mergeCell ref="A98:D98"/>
    <mergeCell ref="A99:D99"/>
    <mergeCell ref="E99:H99"/>
    <mergeCell ref="E100:H100"/>
    <mergeCell ref="E101:H101"/>
    <mergeCell ref="E102:H102"/>
    <mergeCell ref="E103:H103"/>
    <mergeCell ref="E104:H104"/>
    <mergeCell ref="E105:H105"/>
    <mergeCell ref="E106:H106"/>
    <mergeCell ref="E107:H10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88"/>
    <col customWidth="1" min="2" max="2" width="2.25"/>
    <col customWidth="1" min="3" max="3" width="21.5"/>
    <col customWidth="1" min="4" max="4" width="2.75"/>
    <col customWidth="1" min="5" max="5" width="22.38"/>
    <col customWidth="1" min="6" max="6" width="2.63"/>
    <col customWidth="1" min="7" max="7" width="20.38"/>
    <col customWidth="1" min="8" max="8" width="2.5"/>
    <col customWidth="1" min="9" max="9" width="21.75"/>
    <col customWidth="1" min="10" max="10" width="7.13"/>
    <col customWidth="1" min="11" max="11" width="8.0"/>
    <col customWidth="1" min="12" max="12" width="7.13"/>
    <col customWidth="1" min="13" max="13" width="1.5"/>
    <col customWidth="1" min="14" max="14" width="28.0"/>
    <col customWidth="1" min="15" max="15" width="5.13"/>
    <col customWidth="1" min="16" max="16" width="27.13"/>
    <col customWidth="1" min="17" max="17" width="4.5"/>
    <col customWidth="1" min="18" max="18" width="25.0"/>
    <col customWidth="1" min="19" max="19" width="3.75"/>
    <col customWidth="1" min="20" max="20" width="26.13"/>
    <col customWidth="1" min="21" max="21" width="6.63"/>
    <col customWidth="1" min="22" max="22" width="33.75"/>
    <col customWidth="1" min="23" max="23" width="11.0"/>
    <col customWidth="1" min="24" max="24" width="26.13"/>
    <col customWidth="1" min="25" max="25" width="13.63"/>
    <col customWidth="1" min="26" max="27" width="26.13"/>
  </cols>
  <sheetData>
    <row r="1">
      <c r="A1" s="1" t="s">
        <v>1024</v>
      </c>
      <c r="B1" s="2"/>
      <c r="C1" s="1" t="s">
        <v>1025</v>
      </c>
      <c r="D1" s="3"/>
      <c r="E1" s="1" t="s">
        <v>1026</v>
      </c>
      <c r="F1" s="2"/>
      <c r="G1" s="4" t="s">
        <v>3</v>
      </c>
      <c r="H1" s="2"/>
      <c r="I1" s="5" t="s">
        <v>73</v>
      </c>
      <c r="J1" s="6">
        <v>2023.0</v>
      </c>
      <c r="K1" s="7"/>
      <c r="L1" s="8"/>
      <c r="M1" s="9"/>
      <c r="N1" s="108" t="s">
        <v>1027</v>
      </c>
      <c r="O1" s="109"/>
      <c r="P1" s="110" t="s">
        <v>1028</v>
      </c>
      <c r="Q1" s="13"/>
      <c r="T1" s="424" t="s">
        <v>1029</v>
      </c>
      <c r="U1" s="7"/>
      <c r="V1" s="425" t="s">
        <v>1030</v>
      </c>
      <c r="W1" s="41"/>
      <c r="X1" s="426" t="s">
        <v>1031</v>
      </c>
      <c r="Y1" s="7"/>
      <c r="Z1" s="8"/>
      <c r="AA1" s="41"/>
    </row>
    <row r="2">
      <c r="A2" s="18" t="s">
        <v>128</v>
      </c>
      <c r="B2" s="285"/>
      <c r="C2" s="18" t="s">
        <v>396</v>
      </c>
      <c r="D2" s="285"/>
      <c r="E2" s="31" t="s">
        <v>35</v>
      </c>
      <c r="F2" s="285"/>
      <c r="G2" s="18" t="s">
        <v>14</v>
      </c>
      <c r="H2" s="285"/>
      <c r="I2" s="18" t="s">
        <v>43</v>
      </c>
      <c r="J2" s="19"/>
      <c r="L2" s="20"/>
      <c r="N2" s="427" t="s">
        <v>1032</v>
      </c>
      <c r="O2" s="22" t="s">
        <v>11</v>
      </c>
      <c r="P2" s="114" t="s">
        <v>884</v>
      </c>
      <c r="Q2" s="24"/>
      <c r="R2" s="18" t="s">
        <v>1033</v>
      </c>
      <c r="S2" s="24"/>
      <c r="T2" s="115" t="s">
        <v>1034</v>
      </c>
      <c r="U2" s="34" t="s">
        <v>11</v>
      </c>
      <c r="V2" s="117" t="s">
        <v>1035</v>
      </c>
      <c r="W2" s="24"/>
      <c r="X2" s="19"/>
      <c r="Z2" s="20"/>
      <c r="AA2" s="24"/>
    </row>
    <row r="3">
      <c r="A3" s="26" t="s">
        <v>1036</v>
      </c>
      <c r="B3" s="25"/>
      <c r="C3" s="31" t="s">
        <v>1037</v>
      </c>
      <c r="D3" s="25"/>
      <c r="E3" s="18" t="s">
        <v>19</v>
      </c>
      <c r="F3" s="25"/>
      <c r="G3" s="18" t="s">
        <v>393</v>
      </c>
      <c r="H3" s="25"/>
      <c r="J3" s="19"/>
      <c r="L3" s="20"/>
      <c r="N3" s="428" t="s">
        <v>1038</v>
      </c>
      <c r="O3" s="233"/>
      <c r="P3" s="429"/>
      <c r="Q3" s="24"/>
      <c r="R3" s="24"/>
      <c r="S3" s="24"/>
      <c r="T3" s="430" t="s">
        <v>1039</v>
      </c>
      <c r="U3" s="24"/>
      <c r="V3" s="367" t="s">
        <v>1040</v>
      </c>
      <c r="W3" s="24"/>
      <c r="X3" s="431" t="s">
        <v>1041</v>
      </c>
      <c r="Y3" s="432" t="s">
        <v>905</v>
      </c>
      <c r="Z3" s="433" t="s">
        <v>238</v>
      </c>
      <c r="AA3" s="24"/>
    </row>
    <row r="4">
      <c r="A4" s="18" t="s">
        <v>32</v>
      </c>
      <c r="B4" s="30"/>
      <c r="C4" s="18" t="s">
        <v>39</v>
      </c>
      <c r="D4" s="30"/>
      <c r="F4" s="30"/>
      <c r="G4" s="26" t="s">
        <v>1042</v>
      </c>
      <c r="H4" s="30"/>
      <c r="J4" s="19"/>
      <c r="L4" s="20"/>
      <c r="N4" s="383"/>
      <c r="P4" s="383"/>
      <c r="Q4" s="24"/>
      <c r="R4" s="24"/>
      <c r="S4" s="24"/>
      <c r="T4" s="365"/>
      <c r="U4" s="24"/>
      <c r="V4" s="367" t="s">
        <v>1043</v>
      </c>
      <c r="W4" s="24"/>
      <c r="X4" s="431" t="s">
        <v>923</v>
      </c>
      <c r="Y4" s="432" t="s">
        <v>1044</v>
      </c>
      <c r="Z4" s="434"/>
      <c r="AA4" s="24"/>
    </row>
    <row r="5">
      <c r="A5" s="18" t="s">
        <v>42</v>
      </c>
      <c r="B5" s="30"/>
      <c r="D5" s="30"/>
      <c r="F5" s="30"/>
      <c r="H5" s="30"/>
      <c r="J5" s="19"/>
      <c r="L5" s="20"/>
      <c r="N5" s="368" t="s">
        <v>1045</v>
      </c>
      <c r="O5" s="34" t="s">
        <v>11</v>
      </c>
      <c r="P5" s="369" t="s">
        <v>1046</v>
      </c>
      <c r="Q5" s="24"/>
      <c r="T5" s="58"/>
      <c r="V5" s="53" t="s">
        <v>1047</v>
      </c>
      <c r="X5" s="431" t="s">
        <v>1048</v>
      </c>
      <c r="Y5" s="432" t="s">
        <v>1049</v>
      </c>
      <c r="Z5" s="433" t="s">
        <v>1050</v>
      </c>
    </row>
    <row r="6">
      <c r="B6" s="40"/>
      <c r="D6" s="40"/>
      <c r="F6" s="40"/>
      <c r="H6" s="40"/>
      <c r="J6" s="19"/>
      <c r="L6" s="20"/>
      <c r="N6" s="198" t="s">
        <v>1051</v>
      </c>
      <c r="P6" s="202" t="s">
        <v>1052</v>
      </c>
      <c r="T6" s="58"/>
      <c r="V6" s="53" t="s">
        <v>1053</v>
      </c>
      <c r="X6" s="431" t="s">
        <v>1054</v>
      </c>
      <c r="Y6" s="432" t="s">
        <v>916</v>
      </c>
      <c r="Z6" s="433" t="s">
        <v>1055</v>
      </c>
    </row>
    <row r="7">
      <c r="A7" s="42" t="s">
        <v>1056</v>
      </c>
      <c r="B7" s="43"/>
      <c r="C7" s="43"/>
      <c r="D7" s="43"/>
      <c r="E7" s="43"/>
      <c r="F7" s="43"/>
      <c r="G7" s="43"/>
      <c r="H7" s="43"/>
      <c r="I7" s="44"/>
      <c r="J7" s="19"/>
      <c r="L7" s="20"/>
      <c r="N7" s="371"/>
      <c r="O7" s="435"/>
      <c r="P7" s="380" t="s">
        <v>1057</v>
      </c>
      <c r="T7" s="58"/>
      <c r="V7" s="53" t="s">
        <v>1058</v>
      </c>
      <c r="X7" s="431" t="s">
        <v>1059</v>
      </c>
      <c r="Z7" s="164"/>
    </row>
    <row r="8">
      <c r="A8" s="45" t="s">
        <v>1060</v>
      </c>
      <c r="B8" s="46"/>
      <c r="C8" s="47" t="s">
        <v>78</v>
      </c>
      <c r="D8" s="46"/>
      <c r="E8" s="45" t="s">
        <v>1061</v>
      </c>
      <c r="F8" s="46"/>
      <c r="G8" s="47" t="s">
        <v>84</v>
      </c>
      <c r="H8" s="46"/>
      <c r="I8" s="50" t="s">
        <v>1062</v>
      </c>
      <c r="J8" s="19"/>
      <c r="L8" s="20"/>
      <c r="N8" s="364"/>
      <c r="O8" s="41"/>
      <c r="P8" s="364"/>
      <c r="T8" s="36"/>
      <c r="U8" s="61"/>
      <c r="V8" s="62" t="s">
        <v>1063</v>
      </c>
      <c r="X8" s="436"/>
      <c r="Y8" s="437"/>
      <c r="Z8" s="433" t="s">
        <v>1064</v>
      </c>
    </row>
    <row r="9">
      <c r="A9" s="134" t="s">
        <v>36</v>
      </c>
      <c r="B9" s="286"/>
      <c r="C9" s="18" t="s">
        <v>119</v>
      </c>
      <c r="D9" s="286"/>
      <c r="E9" s="31" t="s">
        <v>15</v>
      </c>
      <c r="F9" s="286"/>
      <c r="G9" s="18" t="s">
        <v>45</v>
      </c>
      <c r="H9" s="286"/>
      <c r="I9" s="18" t="s">
        <v>18</v>
      </c>
      <c r="J9" s="19"/>
      <c r="L9" s="20"/>
      <c r="N9" s="368" t="s">
        <v>1065</v>
      </c>
      <c r="O9" s="34" t="s">
        <v>11</v>
      </c>
      <c r="P9" s="369" t="s">
        <v>1066</v>
      </c>
      <c r="X9" s="431" t="s">
        <v>847</v>
      </c>
      <c r="Z9" s="164"/>
    </row>
    <row r="10">
      <c r="B10" s="25"/>
      <c r="D10" s="25"/>
      <c r="F10" s="25"/>
      <c r="H10" s="25"/>
      <c r="I10" s="18" t="s">
        <v>46</v>
      </c>
      <c r="J10" s="19"/>
      <c r="L10" s="20"/>
      <c r="N10" s="198" t="s">
        <v>1067</v>
      </c>
      <c r="P10" s="202" t="s">
        <v>169</v>
      </c>
      <c r="T10" s="33" t="s">
        <v>1068</v>
      </c>
      <c r="U10" s="34" t="s">
        <v>11</v>
      </c>
      <c r="V10" s="35" t="s">
        <v>1069</v>
      </c>
      <c r="X10" s="431" t="s">
        <v>215</v>
      </c>
      <c r="Y10" s="432" t="s">
        <v>1070</v>
      </c>
      <c r="Z10" s="433" t="s">
        <v>1071</v>
      </c>
    </row>
    <row r="11">
      <c r="A11" s="18"/>
      <c r="B11" s="30"/>
      <c r="D11" s="30"/>
      <c r="F11" s="30"/>
      <c r="H11" s="30"/>
      <c r="I11" s="134" t="s">
        <v>40</v>
      </c>
      <c r="J11" s="19"/>
      <c r="L11" s="20"/>
      <c r="N11" s="198" t="s">
        <v>1072</v>
      </c>
      <c r="O11" s="41"/>
      <c r="P11" s="202" t="s">
        <v>1073</v>
      </c>
      <c r="T11" s="58"/>
      <c r="V11" s="53" t="s">
        <v>1074</v>
      </c>
      <c r="X11" s="431" t="s">
        <v>1075</v>
      </c>
      <c r="Y11" s="432" t="s">
        <v>1076</v>
      </c>
      <c r="Z11" s="164"/>
    </row>
    <row r="12">
      <c r="B12" s="30"/>
      <c r="D12" s="30"/>
      <c r="F12" s="30"/>
      <c r="G12" s="24"/>
      <c r="H12" s="30"/>
      <c r="I12" s="24"/>
      <c r="J12" s="19"/>
      <c r="L12" s="20"/>
      <c r="N12" s="403"/>
      <c r="O12" s="61"/>
      <c r="P12" s="380" t="s">
        <v>1077</v>
      </c>
      <c r="T12" s="58"/>
      <c r="V12" s="53" t="s">
        <v>1078</v>
      </c>
      <c r="X12" s="431" t="s">
        <v>1079</v>
      </c>
      <c r="Y12" s="432" t="s">
        <v>1080</v>
      </c>
      <c r="Z12" s="433" t="s">
        <v>1081</v>
      </c>
    </row>
    <row r="13">
      <c r="A13" s="24"/>
      <c r="B13" s="40"/>
      <c r="C13" s="24"/>
      <c r="D13" s="40"/>
      <c r="E13" s="41"/>
      <c r="F13" s="40"/>
      <c r="G13" s="41"/>
      <c r="H13" s="40"/>
      <c r="I13" s="41"/>
      <c r="J13" s="63"/>
      <c r="K13" s="64"/>
      <c r="L13" s="46"/>
      <c r="N13" s="364"/>
      <c r="O13" s="41"/>
      <c r="P13" s="364"/>
      <c r="T13" s="36"/>
      <c r="U13" s="61"/>
      <c r="V13" s="62" t="s">
        <v>1082</v>
      </c>
      <c r="X13" s="431" t="s">
        <v>1083</v>
      </c>
      <c r="Y13" s="437"/>
      <c r="Z13" s="164"/>
    </row>
    <row r="14">
      <c r="A14" s="18" t="s">
        <v>48</v>
      </c>
      <c r="B14" s="24"/>
      <c r="C14" s="24"/>
      <c r="D14" s="24"/>
      <c r="E14" s="24"/>
      <c r="F14" s="24"/>
      <c r="G14" s="24"/>
      <c r="H14" s="24"/>
      <c r="I14" s="24"/>
      <c r="N14" s="438" t="s">
        <v>1084</v>
      </c>
      <c r="O14" s="360" t="s">
        <v>11</v>
      </c>
      <c r="P14" s="439" t="s">
        <v>1085</v>
      </c>
      <c r="X14" s="431" t="s">
        <v>231</v>
      </c>
      <c r="Y14" s="432" t="s">
        <v>1086</v>
      </c>
      <c r="Z14" s="433" t="s">
        <v>1087</v>
      </c>
    </row>
    <row r="15">
      <c r="A15" s="18"/>
      <c r="B15" s="18"/>
      <c r="C15" s="72"/>
      <c r="D15" s="18"/>
      <c r="E15" s="18"/>
      <c r="F15" s="24"/>
      <c r="G15" s="18"/>
      <c r="H15" s="73" t="s">
        <v>49</v>
      </c>
      <c r="I15" s="74"/>
      <c r="N15" s="383"/>
      <c r="O15" s="41"/>
      <c r="P15" s="383"/>
      <c r="T15" s="33" t="s">
        <v>1088</v>
      </c>
      <c r="U15" s="34" t="s">
        <v>11</v>
      </c>
      <c r="V15" s="35" t="s">
        <v>106</v>
      </c>
      <c r="X15" s="431" t="s">
        <v>1089</v>
      </c>
      <c r="Y15" s="437"/>
      <c r="Z15" s="164"/>
    </row>
    <row r="16">
      <c r="A16" s="440" t="s">
        <v>1090</v>
      </c>
      <c r="B16" s="24"/>
      <c r="C16" s="72"/>
      <c r="D16" s="18"/>
      <c r="E16" s="18"/>
      <c r="F16" s="18"/>
      <c r="G16" s="18"/>
      <c r="H16" s="140" t="s">
        <v>142</v>
      </c>
      <c r="I16" s="76"/>
      <c r="N16" s="368" t="s">
        <v>1091</v>
      </c>
      <c r="O16" s="34" t="s">
        <v>11</v>
      </c>
      <c r="P16" s="369" t="s">
        <v>1092</v>
      </c>
      <c r="T16" s="378" t="s">
        <v>1093</v>
      </c>
      <c r="U16" s="61"/>
      <c r="V16" s="62" t="s">
        <v>1094</v>
      </c>
      <c r="X16" s="436"/>
      <c r="Y16" s="432" t="s">
        <v>1095</v>
      </c>
      <c r="Z16" s="164"/>
    </row>
    <row r="17">
      <c r="A17" s="440" t="s">
        <v>1096</v>
      </c>
      <c r="B17" s="18"/>
      <c r="C17" s="72"/>
      <c r="D17" s="18"/>
      <c r="E17" s="18"/>
      <c r="F17" s="18"/>
      <c r="G17" s="18"/>
      <c r="H17" s="141" t="s">
        <v>53</v>
      </c>
      <c r="I17" s="78"/>
      <c r="L17" s="79"/>
      <c r="N17" s="375"/>
      <c r="P17" s="202" t="s">
        <v>1097</v>
      </c>
      <c r="X17" s="431" t="s">
        <v>1098</v>
      </c>
      <c r="Y17" s="432" t="s">
        <v>217</v>
      </c>
      <c r="Z17" s="164"/>
    </row>
    <row r="18">
      <c r="A18" s="80"/>
      <c r="B18" s="81"/>
      <c r="C18" s="82"/>
      <c r="D18" s="24"/>
      <c r="E18" s="24"/>
      <c r="F18" s="18"/>
      <c r="G18" s="18"/>
      <c r="H18" s="24"/>
      <c r="I18" s="24"/>
      <c r="L18" s="79"/>
      <c r="N18" s="403"/>
      <c r="O18" s="435"/>
      <c r="P18" s="380" t="s">
        <v>1099</v>
      </c>
      <c r="Q18" s="83"/>
      <c r="T18" s="33" t="s">
        <v>1100</v>
      </c>
      <c r="U18" s="34" t="s">
        <v>11</v>
      </c>
      <c r="V18" s="35" t="s">
        <v>1101</v>
      </c>
      <c r="X18" s="431" t="s">
        <v>1102</v>
      </c>
      <c r="Y18" s="432" t="s">
        <v>228</v>
      </c>
      <c r="Z18" s="164"/>
    </row>
    <row r="19">
      <c r="I19" s="441" t="s">
        <v>149</v>
      </c>
      <c r="J19" s="412" t="s">
        <v>150</v>
      </c>
      <c r="K19" s="442" t="s">
        <v>151</v>
      </c>
      <c r="L19" s="442" t="s">
        <v>152</v>
      </c>
      <c r="N19" s="364"/>
      <c r="O19" s="41"/>
      <c r="P19" s="364"/>
      <c r="Q19" s="83"/>
      <c r="T19" s="51" t="s">
        <v>826</v>
      </c>
      <c r="V19" s="53" t="s">
        <v>1103</v>
      </c>
      <c r="X19" s="431" t="s">
        <v>1104</v>
      </c>
      <c r="Y19" s="432" t="s">
        <v>1105</v>
      </c>
      <c r="Z19" s="164"/>
    </row>
    <row r="20">
      <c r="A20" s="154" t="s">
        <v>1106</v>
      </c>
      <c r="B20" s="157"/>
      <c r="C20" s="443" t="s">
        <v>1107</v>
      </c>
      <c r="D20" s="157"/>
      <c r="E20" s="158" t="s">
        <v>1108</v>
      </c>
      <c r="F20" s="157"/>
      <c r="G20" s="158" t="s">
        <v>1109</v>
      </c>
      <c r="I20" s="444">
        <v>1.0</v>
      </c>
      <c r="J20" s="79" t="s">
        <v>2</v>
      </c>
      <c r="K20" s="150">
        <v>41.0</v>
      </c>
      <c r="L20" s="150" t="s">
        <v>157</v>
      </c>
      <c r="N20" s="438" t="s">
        <v>1110</v>
      </c>
      <c r="O20" s="360" t="s">
        <v>11</v>
      </c>
      <c r="P20" s="439" t="s">
        <v>1111</v>
      </c>
      <c r="Q20" s="83"/>
      <c r="T20" s="36"/>
      <c r="U20" s="61"/>
      <c r="V20" s="62" t="s">
        <v>1112</v>
      </c>
      <c r="X20" s="431" t="s">
        <v>241</v>
      </c>
      <c r="Y20" s="432" t="s">
        <v>1113</v>
      </c>
      <c r="Z20" s="164"/>
    </row>
    <row r="21">
      <c r="A21" s="384" t="s">
        <v>1114</v>
      </c>
      <c r="B21" s="44"/>
      <c r="C21" s="385" t="s">
        <v>1</v>
      </c>
      <c r="D21" s="157"/>
      <c r="E21" s="385" t="s">
        <v>59</v>
      </c>
      <c r="F21" s="157"/>
      <c r="G21" s="385" t="s">
        <v>59</v>
      </c>
      <c r="I21" s="444">
        <v>2.0</v>
      </c>
      <c r="J21" s="79" t="s">
        <v>2</v>
      </c>
      <c r="K21" s="150">
        <v>32.0</v>
      </c>
      <c r="L21" s="150" t="s">
        <v>157</v>
      </c>
      <c r="N21" s="383"/>
      <c r="P21" s="364"/>
      <c r="X21" s="431" t="s">
        <v>1115</v>
      </c>
      <c r="Y21" s="432" t="s">
        <v>1116</v>
      </c>
      <c r="Z21" s="164"/>
    </row>
    <row r="22">
      <c r="A22" s="384" t="s">
        <v>1117</v>
      </c>
      <c r="B22" s="44"/>
      <c r="C22" s="385" t="s">
        <v>3</v>
      </c>
      <c r="D22" s="386"/>
      <c r="E22" s="385" t="s">
        <v>59</v>
      </c>
      <c r="F22" s="386"/>
      <c r="G22" s="385" t="s">
        <v>1</v>
      </c>
      <c r="I22" s="444">
        <v>3.0</v>
      </c>
      <c r="J22" s="79" t="s">
        <v>2</v>
      </c>
      <c r="K22" s="150">
        <v>93.0</v>
      </c>
      <c r="L22" s="150" t="s">
        <v>157</v>
      </c>
      <c r="N22" s="438" t="s">
        <v>1118</v>
      </c>
      <c r="O22" s="360" t="s">
        <v>11</v>
      </c>
      <c r="P22" s="439" t="s">
        <v>1119</v>
      </c>
      <c r="Q22" s="83"/>
      <c r="T22" s="398" t="s">
        <v>1120</v>
      </c>
      <c r="U22" s="34" t="s">
        <v>11</v>
      </c>
      <c r="V22" s="35" t="s">
        <v>1121</v>
      </c>
      <c r="X22" s="431" t="s">
        <v>1122</v>
      </c>
      <c r="Y22" s="437"/>
      <c r="Z22" s="164"/>
    </row>
    <row r="23">
      <c r="A23" s="384" t="s">
        <v>1123</v>
      </c>
      <c r="B23" s="44"/>
      <c r="C23" s="385" t="s">
        <v>59</v>
      </c>
      <c r="D23" s="386"/>
      <c r="E23" s="385" t="s">
        <v>2</v>
      </c>
      <c r="F23" s="386"/>
      <c r="G23" s="385" t="s">
        <v>3</v>
      </c>
      <c r="I23" s="444">
        <v>4.0</v>
      </c>
      <c r="J23" s="79" t="s">
        <v>78</v>
      </c>
      <c r="K23" s="150">
        <v>225.0</v>
      </c>
      <c r="L23" s="150" t="s">
        <v>157</v>
      </c>
      <c r="N23" s="364"/>
      <c r="O23" s="41"/>
      <c r="P23" s="364"/>
      <c r="T23" s="445" t="s">
        <v>1124</v>
      </c>
      <c r="U23" s="61"/>
      <c r="V23" s="446" t="s">
        <v>1125</v>
      </c>
      <c r="X23" s="431" t="s">
        <v>848</v>
      </c>
      <c r="Y23" s="432" t="s">
        <v>1126</v>
      </c>
      <c r="Z23" s="164"/>
    </row>
    <row r="24">
      <c r="A24" s="447" t="s">
        <v>1127</v>
      </c>
      <c r="B24" s="44"/>
      <c r="C24" s="385" t="s">
        <v>78</v>
      </c>
      <c r="D24" s="386"/>
      <c r="E24" s="385" t="s">
        <v>227</v>
      </c>
      <c r="F24" s="386"/>
      <c r="G24" s="385" t="s">
        <v>22</v>
      </c>
      <c r="I24" s="444">
        <v>5.0</v>
      </c>
      <c r="J24" s="79" t="s">
        <v>157</v>
      </c>
      <c r="K24" s="150">
        <v>80.0</v>
      </c>
      <c r="L24" s="150" t="s">
        <v>78</v>
      </c>
      <c r="N24" s="368" t="s">
        <v>1128</v>
      </c>
      <c r="O24" s="34" t="s">
        <v>11</v>
      </c>
      <c r="P24" s="369" t="s">
        <v>1129</v>
      </c>
      <c r="X24" s="436"/>
      <c r="Y24" s="432" t="s">
        <v>1130</v>
      </c>
      <c r="Z24" s="164"/>
    </row>
    <row r="25">
      <c r="A25" s="387" t="s">
        <v>1131</v>
      </c>
      <c r="B25" s="388"/>
      <c r="C25" s="389" t="s">
        <v>26</v>
      </c>
      <c r="D25" s="390"/>
      <c r="E25" s="389" t="s">
        <v>59</v>
      </c>
      <c r="F25" s="386"/>
      <c r="G25" s="389" t="s">
        <v>26</v>
      </c>
      <c r="I25" s="444">
        <v>6.0</v>
      </c>
      <c r="J25" s="79" t="s">
        <v>78</v>
      </c>
      <c r="K25" s="150">
        <v>222.0</v>
      </c>
      <c r="L25" s="150" t="s">
        <v>157</v>
      </c>
      <c r="N25" s="204" t="s">
        <v>1132</v>
      </c>
      <c r="O25" s="435"/>
      <c r="P25" s="406" t="s">
        <v>1133</v>
      </c>
      <c r="T25" s="33" t="s">
        <v>1134</v>
      </c>
      <c r="U25" s="34" t="s">
        <v>11</v>
      </c>
      <c r="V25" s="35" t="s">
        <v>1135</v>
      </c>
      <c r="X25" s="431" t="s">
        <v>1136</v>
      </c>
      <c r="Y25" s="432" t="s">
        <v>1137</v>
      </c>
      <c r="Z25" s="164"/>
    </row>
    <row r="26">
      <c r="A26" s="391" t="s">
        <v>176</v>
      </c>
      <c r="B26" s="392"/>
      <c r="C26" s="393" t="s">
        <v>2</v>
      </c>
      <c r="D26" s="394"/>
      <c r="E26" s="393" t="s">
        <v>84</v>
      </c>
      <c r="F26" s="386"/>
      <c r="G26" s="393" t="s">
        <v>73</v>
      </c>
      <c r="I26" s="444">
        <v>7.0</v>
      </c>
      <c r="J26" s="79" t="s">
        <v>157</v>
      </c>
      <c r="K26" s="150">
        <v>157.0</v>
      </c>
      <c r="L26" s="150" t="s">
        <v>3</v>
      </c>
      <c r="N26" s="364"/>
      <c r="P26" s="364"/>
      <c r="T26" s="51" t="s">
        <v>1138</v>
      </c>
      <c r="V26" s="53" t="s">
        <v>1139</v>
      </c>
      <c r="X26" s="431" t="s">
        <v>1140</v>
      </c>
      <c r="Y26" s="432" t="s">
        <v>1141</v>
      </c>
      <c r="Z26" s="164"/>
    </row>
    <row r="27">
      <c r="A27" s="395" t="s">
        <v>1142</v>
      </c>
      <c r="B27" s="44"/>
      <c r="C27" s="385" t="s">
        <v>227</v>
      </c>
      <c r="D27" s="386"/>
      <c r="E27" s="385" t="s">
        <v>3</v>
      </c>
      <c r="F27" s="386"/>
      <c r="G27" s="385" t="s">
        <v>2</v>
      </c>
      <c r="I27" s="444">
        <v>8.0</v>
      </c>
      <c r="J27" s="79" t="s">
        <v>78</v>
      </c>
      <c r="K27" s="150">
        <v>157.0</v>
      </c>
      <c r="L27" s="150" t="s">
        <v>157</v>
      </c>
      <c r="N27" s="448" t="s">
        <v>1143</v>
      </c>
      <c r="O27" s="24"/>
      <c r="P27" s="449" t="s">
        <v>1144</v>
      </c>
      <c r="Q27" s="24"/>
      <c r="R27" s="450" t="s">
        <v>1145</v>
      </c>
      <c r="T27" s="126" t="s">
        <v>1146</v>
      </c>
      <c r="U27" s="61"/>
      <c r="V27" s="38"/>
      <c r="X27" s="451" t="s">
        <v>908</v>
      </c>
      <c r="Y27" s="452" t="s">
        <v>1147</v>
      </c>
      <c r="Z27" s="38"/>
    </row>
    <row r="28">
      <c r="A28" s="395" t="s">
        <v>1148</v>
      </c>
      <c r="B28" s="44"/>
      <c r="C28" s="385" t="s">
        <v>59</v>
      </c>
      <c r="D28" s="386"/>
      <c r="E28" s="385" t="s">
        <v>1</v>
      </c>
      <c r="F28" s="386"/>
      <c r="G28" s="385" t="s">
        <v>227</v>
      </c>
      <c r="I28" s="444">
        <v>9.0</v>
      </c>
      <c r="J28" s="79" t="s">
        <v>157</v>
      </c>
      <c r="K28" s="150">
        <v>107.0</v>
      </c>
      <c r="L28" s="150" t="s">
        <v>78</v>
      </c>
      <c r="N28" s="453" t="s">
        <v>1149</v>
      </c>
      <c r="O28" s="454"/>
      <c r="P28" s="455" t="s">
        <v>1150</v>
      </c>
      <c r="Q28" s="456"/>
      <c r="R28" s="457" t="s">
        <v>1151</v>
      </c>
    </row>
    <row r="29">
      <c r="A29" s="395" t="s">
        <v>1152</v>
      </c>
      <c r="B29" s="44"/>
      <c r="C29" s="385" t="s">
        <v>22</v>
      </c>
      <c r="D29" s="386"/>
      <c r="E29" s="385" t="s">
        <v>73</v>
      </c>
      <c r="F29" s="386"/>
      <c r="G29" s="385" t="s">
        <v>78</v>
      </c>
      <c r="I29" s="444">
        <v>10.0</v>
      </c>
      <c r="J29" s="79" t="s">
        <v>157</v>
      </c>
      <c r="K29" s="150">
        <v>254.0</v>
      </c>
      <c r="L29" s="150" t="s">
        <v>2</v>
      </c>
      <c r="N29" s="364"/>
      <c r="O29" s="41"/>
      <c r="P29" s="364"/>
      <c r="R29" s="458" t="s">
        <v>1153</v>
      </c>
      <c r="T29" s="459" t="s">
        <v>1154</v>
      </c>
      <c r="U29" s="360"/>
      <c r="V29" s="460" t="s">
        <v>1155</v>
      </c>
      <c r="W29" s="360"/>
      <c r="X29" s="461" t="s">
        <v>1156</v>
      </c>
      <c r="Y29" s="360"/>
      <c r="Z29" s="462" t="s">
        <v>1157</v>
      </c>
    </row>
    <row r="30">
      <c r="A30" s="463" t="s">
        <v>774</v>
      </c>
      <c r="B30" s="295"/>
      <c r="C30" s="464" t="s">
        <v>227</v>
      </c>
      <c r="D30" s="465"/>
      <c r="E30" s="464" t="s">
        <v>26</v>
      </c>
      <c r="F30" s="465"/>
      <c r="G30" s="464" t="s">
        <v>157</v>
      </c>
      <c r="I30" s="444">
        <v>11.0</v>
      </c>
      <c r="J30" s="79" t="s">
        <v>78</v>
      </c>
      <c r="K30" s="150">
        <v>122.0</v>
      </c>
      <c r="L30" s="150" t="s">
        <v>157</v>
      </c>
      <c r="N30" s="383"/>
      <c r="P30" s="383"/>
      <c r="T30" s="466" t="s">
        <v>1158</v>
      </c>
      <c r="U30" s="467"/>
      <c r="V30" s="468" t="s">
        <v>1159</v>
      </c>
      <c r="W30" s="467"/>
      <c r="X30" s="469" t="s">
        <v>1160</v>
      </c>
      <c r="Y30" s="467"/>
      <c r="Z30" s="470" t="s">
        <v>1161</v>
      </c>
    </row>
    <row r="31">
      <c r="A31" s="471" t="s">
        <v>1162</v>
      </c>
      <c r="B31" s="44"/>
      <c r="C31" s="472" t="s">
        <v>227</v>
      </c>
      <c r="D31" s="347"/>
      <c r="E31" s="347"/>
      <c r="F31" s="347"/>
      <c r="G31" s="347"/>
      <c r="I31" s="444">
        <v>12.0</v>
      </c>
      <c r="J31" s="79" t="s">
        <v>157</v>
      </c>
      <c r="K31" s="150">
        <v>397.0</v>
      </c>
      <c r="L31" s="150" t="s">
        <v>2</v>
      </c>
      <c r="N31" s="368" t="s">
        <v>1163</v>
      </c>
      <c r="O31" s="34" t="s">
        <v>11</v>
      </c>
      <c r="P31" s="369" t="s">
        <v>1164</v>
      </c>
      <c r="T31" s="473" t="s">
        <v>1165</v>
      </c>
      <c r="U31" s="467"/>
      <c r="V31" s="474" t="s">
        <v>1166</v>
      </c>
      <c r="W31" s="467"/>
      <c r="X31" s="469" t="s">
        <v>1167</v>
      </c>
      <c r="Y31" s="467"/>
      <c r="Z31" s="475" t="s">
        <v>1168</v>
      </c>
    </row>
    <row r="32">
      <c r="I32" s="444">
        <v>13.0</v>
      </c>
      <c r="J32" s="79" t="s">
        <v>157</v>
      </c>
      <c r="K32" s="150">
        <v>326.0</v>
      </c>
      <c r="L32" s="150" t="s">
        <v>554</v>
      </c>
      <c r="N32" s="198" t="s">
        <v>1169</v>
      </c>
      <c r="P32" s="476"/>
      <c r="T32" s="473" t="s">
        <v>1170</v>
      </c>
      <c r="U32" s="467"/>
      <c r="V32" s="477" t="s">
        <v>1171</v>
      </c>
      <c r="W32" s="467"/>
      <c r="X32" s="478" t="s">
        <v>1172</v>
      </c>
      <c r="Y32" s="61"/>
      <c r="Z32" s="38"/>
    </row>
    <row r="33">
      <c r="I33" s="444">
        <v>14.0</v>
      </c>
      <c r="J33" s="79" t="s">
        <v>157</v>
      </c>
      <c r="K33" s="150">
        <v>507.0</v>
      </c>
      <c r="L33" s="150" t="s">
        <v>59</v>
      </c>
      <c r="N33" s="204" t="s">
        <v>1173</v>
      </c>
      <c r="O33" s="61"/>
      <c r="P33" s="479"/>
      <c r="T33" s="466" t="s">
        <v>1174</v>
      </c>
      <c r="Z33" s="164"/>
    </row>
    <row r="34">
      <c r="I34" s="444">
        <v>15.0</v>
      </c>
      <c r="J34" s="79" t="s">
        <v>157</v>
      </c>
      <c r="K34" s="150">
        <v>271.0</v>
      </c>
      <c r="L34" s="150" t="s">
        <v>2</v>
      </c>
      <c r="N34" s="383"/>
      <c r="P34" s="364"/>
      <c r="T34" s="480" t="s">
        <v>1175</v>
      </c>
      <c r="Z34" s="164"/>
    </row>
    <row r="35">
      <c r="I35" s="444">
        <v>16.0</v>
      </c>
      <c r="J35" s="79" t="s">
        <v>157</v>
      </c>
      <c r="K35" s="150">
        <v>459.0</v>
      </c>
      <c r="L35" s="150" t="s">
        <v>158</v>
      </c>
      <c r="N35" s="368" t="s">
        <v>1176</v>
      </c>
      <c r="O35" s="34" t="s">
        <v>11</v>
      </c>
      <c r="P35" s="369" t="s">
        <v>1177</v>
      </c>
      <c r="T35" s="480" t="s">
        <v>1178</v>
      </c>
      <c r="Z35" s="164"/>
    </row>
    <row r="36">
      <c r="I36" s="481">
        <v>17.0</v>
      </c>
      <c r="J36" s="181" t="s">
        <v>157</v>
      </c>
      <c r="K36" s="182">
        <v>534.0</v>
      </c>
      <c r="L36" s="182" t="s">
        <v>2</v>
      </c>
      <c r="N36" s="375"/>
      <c r="O36" s="41"/>
      <c r="P36" s="202" t="s">
        <v>1179</v>
      </c>
      <c r="T36" s="482" t="s">
        <v>1180</v>
      </c>
      <c r="Z36" s="164"/>
    </row>
    <row r="37">
      <c r="A37" s="65"/>
      <c r="B37" s="65"/>
      <c r="C37" s="65"/>
      <c r="D37" s="65"/>
      <c r="E37" s="65"/>
      <c r="F37" s="65"/>
      <c r="G37" s="65"/>
      <c r="H37" s="65"/>
      <c r="I37" s="65"/>
      <c r="J37" s="65"/>
      <c r="K37" s="65"/>
      <c r="L37" s="65"/>
      <c r="N37" s="371"/>
      <c r="O37" s="61"/>
      <c r="P37" s="380" t="s">
        <v>1181</v>
      </c>
      <c r="T37" s="466" t="s">
        <v>1182</v>
      </c>
      <c r="Z37" s="164"/>
    </row>
    <row r="38">
      <c r="N38" s="364"/>
      <c r="P38" s="364"/>
      <c r="T38" s="483" t="s">
        <v>1183</v>
      </c>
      <c r="U38" s="61"/>
      <c r="V38" s="61"/>
      <c r="W38" s="61"/>
      <c r="X38" s="61"/>
      <c r="Y38" s="61"/>
      <c r="Z38" s="38"/>
    </row>
    <row r="39">
      <c r="A39" s="184" t="s">
        <v>189</v>
      </c>
      <c r="I39" s="185" t="s">
        <v>190</v>
      </c>
      <c r="J39" s="186"/>
      <c r="K39" s="185" t="s">
        <v>191</v>
      </c>
      <c r="L39" s="186"/>
      <c r="N39" s="368" t="s">
        <v>1184</v>
      </c>
      <c r="O39" s="34" t="s">
        <v>11</v>
      </c>
      <c r="P39" s="369" t="s">
        <v>1185</v>
      </c>
    </row>
    <row r="40">
      <c r="A40" s="188" t="s">
        <v>196</v>
      </c>
      <c r="B40" s="189" t="s">
        <v>197</v>
      </c>
      <c r="C40" s="190" t="s">
        <v>198</v>
      </c>
      <c r="I40" s="51" t="s">
        <v>158</v>
      </c>
      <c r="J40" s="191">
        <f t="shared" ref="J40:J49" si="1">COUNTIF($J$20:$J$37, I40)</f>
        <v>0</v>
      </c>
      <c r="K40" s="51" t="s">
        <v>158</v>
      </c>
      <c r="L40" s="191">
        <f t="shared" ref="L40:L49" si="2">COUNTIF($L$20:$L$37,K40)</f>
        <v>1</v>
      </c>
      <c r="N40" s="198" t="s">
        <v>1186</v>
      </c>
      <c r="P40" s="476"/>
      <c r="T40" s="33" t="s">
        <v>1187</v>
      </c>
      <c r="U40" s="34" t="s">
        <v>11</v>
      </c>
      <c r="V40" s="35" t="s">
        <v>1188</v>
      </c>
    </row>
    <row r="41">
      <c r="A41" s="188" t="s">
        <v>200</v>
      </c>
      <c r="B41" s="189" t="s">
        <v>201</v>
      </c>
      <c r="C41" s="79" t="s">
        <v>202</v>
      </c>
      <c r="I41" s="51" t="s">
        <v>157</v>
      </c>
      <c r="J41" s="191">
        <f t="shared" si="1"/>
        <v>10</v>
      </c>
      <c r="K41" s="51" t="s">
        <v>157</v>
      </c>
      <c r="L41" s="191">
        <f t="shared" si="2"/>
        <v>7</v>
      </c>
      <c r="N41" s="204" t="s">
        <v>1189</v>
      </c>
      <c r="O41" s="61"/>
      <c r="P41" s="479"/>
      <c r="T41" s="378" t="s">
        <v>1190</v>
      </c>
      <c r="U41" s="61"/>
      <c r="V41" s="38"/>
    </row>
    <row r="42">
      <c r="A42" s="188" t="s">
        <v>203</v>
      </c>
      <c r="B42" s="189" t="s">
        <v>204</v>
      </c>
      <c r="C42" s="193" t="s">
        <v>205</v>
      </c>
      <c r="I42" s="51" t="s">
        <v>59</v>
      </c>
      <c r="J42" s="191">
        <f t="shared" si="1"/>
        <v>0</v>
      </c>
      <c r="K42" s="51" t="s">
        <v>59</v>
      </c>
      <c r="L42" s="191">
        <f t="shared" si="2"/>
        <v>1</v>
      </c>
      <c r="N42" s="364"/>
      <c r="O42" s="41"/>
      <c r="P42" s="364"/>
    </row>
    <row r="43">
      <c r="A43" s="188" t="s">
        <v>206</v>
      </c>
      <c r="B43" s="189" t="s">
        <v>207</v>
      </c>
      <c r="C43" s="193" t="s">
        <v>795</v>
      </c>
      <c r="I43" s="51" t="s">
        <v>3</v>
      </c>
      <c r="J43" s="191">
        <f t="shared" si="1"/>
        <v>0</v>
      </c>
      <c r="K43" s="51" t="s">
        <v>3</v>
      </c>
      <c r="L43" s="191">
        <f t="shared" si="2"/>
        <v>1</v>
      </c>
      <c r="N43" s="368" t="s">
        <v>1191</v>
      </c>
      <c r="O43" s="34" t="s">
        <v>11</v>
      </c>
      <c r="P43" s="369" t="s">
        <v>1192</v>
      </c>
      <c r="T43" s="128" t="s">
        <v>1193</v>
      </c>
      <c r="U43" s="7"/>
      <c r="V43" s="8"/>
    </row>
    <row r="44">
      <c r="I44" s="51" t="s">
        <v>2</v>
      </c>
      <c r="J44" s="191">
        <f t="shared" si="1"/>
        <v>3</v>
      </c>
      <c r="K44" s="51" t="s">
        <v>2</v>
      </c>
      <c r="L44" s="191">
        <f t="shared" si="2"/>
        <v>4</v>
      </c>
      <c r="N44" s="204" t="s">
        <v>1194</v>
      </c>
      <c r="O44" s="61"/>
      <c r="P44" s="363"/>
      <c r="T44" s="129" t="s">
        <v>1195</v>
      </c>
      <c r="U44" s="15"/>
      <c r="V44" s="2"/>
    </row>
    <row r="45">
      <c r="A45" s="188" t="s">
        <v>210</v>
      </c>
      <c r="B45" s="41"/>
      <c r="C45" s="79" t="s">
        <v>211</v>
      </c>
      <c r="D45" s="41"/>
      <c r="E45" s="41"/>
      <c r="I45" s="51" t="s">
        <v>78</v>
      </c>
      <c r="J45" s="191">
        <f t="shared" si="1"/>
        <v>4</v>
      </c>
      <c r="K45" s="51" t="s">
        <v>78</v>
      </c>
      <c r="L45" s="191">
        <f t="shared" si="2"/>
        <v>2</v>
      </c>
      <c r="N45" s="383"/>
      <c r="P45" s="383"/>
    </row>
    <row r="46">
      <c r="A46" s="52">
        <v>44899.0</v>
      </c>
      <c r="B46" s="41"/>
      <c r="C46" s="79" t="s">
        <v>1196</v>
      </c>
      <c r="D46" s="41"/>
      <c r="E46" s="41"/>
      <c r="I46" s="51" t="s">
        <v>26</v>
      </c>
      <c r="J46" s="191">
        <f t="shared" si="1"/>
        <v>0</v>
      </c>
      <c r="K46" s="51" t="s">
        <v>26</v>
      </c>
      <c r="L46" s="191">
        <f t="shared" si="2"/>
        <v>0</v>
      </c>
      <c r="N46" s="368" t="s">
        <v>1197</v>
      </c>
      <c r="O46" s="34" t="s">
        <v>11</v>
      </c>
      <c r="P46" s="369" t="s">
        <v>1198</v>
      </c>
      <c r="T46" s="398" t="s">
        <v>1199</v>
      </c>
      <c r="U46" s="34" t="s">
        <v>11</v>
      </c>
      <c r="V46" s="35" t="s">
        <v>1200</v>
      </c>
    </row>
    <row r="47">
      <c r="A47" s="52">
        <v>44922.0</v>
      </c>
      <c r="C47" s="79" t="s">
        <v>1201</v>
      </c>
      <c r="I47" s="51" t="s">
        <v>22</v>
      </c>
      <c r="J47" s="191">
        <f t="shared" si="1"/>
        <v>0</v>
      </c>
      <c r="K47" s="51" t="s">
        <v>22</v>
      </c>
      <c r="L47" s="191">
        <f t="shared" si="2"/>
        <v>0</v>
      </c>
      <c r="N47" s="198" t="s">
        <v>1202</v>
      </c>
      <c r="P47" s="202" t="s">
        <v>1203</v>
      </c>
      <c r="T47" s="58"/>
      <c r="V47" s="53" t="s">
        <v>1204</v>
      </c>
    </row>
    <row r="48">
      <c r="A48" s="52">
        <v>44931.0</v>
      </c>
      <c r="C48" s="79" t="s">
        <v>1205</v>
      </c>
      <c r="I48" s="51" t="s">
        <v>1061</v>
      </c>
      <c r="J48" s="191">
        <f t="shared" si="1"/>
        <v>0</v>
      </c>
      <c r="K48" s="51" t="s">
        <v>1061</v>
      </c>
      <c r="L48" s="191">
        <f t="shared" si="2"/>
        <v>0</v>
      </c>
      <c r="N48" s="198" t="s">
        <v>1206</v>
      </c>
      <c r="P48" s="202" t="s">
        <v>1207</v>
      </c>
      <c r="T48" s="36"/>
      <c r="U48" s="61"/>
      <c r="V48" s="62" t="s">
        <v>1208</v>
      </c>
    </row>
    <row r="49">
      <c r="A49" s="188" t="s">
        <v>1209</v>
      </c>
      <c r="C49" s="79" t="s">
        <v>1210</v>
      </c>
      <c r="I49" s="126" t="s">
        <v>1</v>
      </c>
      <c r="J49" s="407">
        <f t="shared" si="1"/>
        <v>0</v>
      </c>
      <c r="K49" s="126" t="s">
        <v>1</v>
      </c>
      <c r="L49" s="407">
        <f t="shared" si="2"/>
        <v>0</v>
      </c>
      <c r="N49" s="204" t="s">
        <v>1211</v>
      </c>
      <c r="O49" s="61"/>
      <c r="P49" s="380" t="s">
        <v>1212</v>
      </c>
    </row>
    <row r="50">
      <c r="A50" s="65"/>
      <c r="B50" s="65"/>
      <c r="C50" s="65"/>
      <c r="D50" s="65"/>
      <c r="E50" s="65"/>
      <c r="F50" s="65"/>
      <c r="G50" s="65"/>
      <c r="H50" s="65"/>
      <c r="I50" s="65"/>
      <c r="J50" s="65"/>
      <c r="K50" s="65"/>
      <c r="L50" s="65"/>
      <c r="N50" s="383"/>
      <c r="P50" s="383"/>
      <c r="T50" s="33" t="s">
        <v>1213</v>
      </c>
      <c r="U50" s="34" t="s">
        <v>11</v>
      </c>
      <c r="V50" s="35" t="s">
        <v>1214</v>
      </c>
    </row>
    <row r="51">
      <c r="N51" s="368" t="s">
        <v>1215</v>
      </c>
      <c r="O51" s="34" t="s">
        <v>11</v>
      </c>
      <c r="P51" s="369" t="s">
        <v>1216</v>
      </c>
      <c r="T51" s="58"/>
      <c r="V51" s="53" t="s">
        <v>1217</v>
      </c>
    </row>
    <row r="52">
      <c r="A52" s="87" t="s">
        <v>54</v>
      </c>
      <c r="B52" s="88"/>
      <c r="C52" s="87" t="s">
        <v>1218</v>
      </c>
      <c r="D52" s="88"/>
      <c r="E52" s="87" t="s">
        <v>1219</v>
      </c>
      <c r="F52" s="88"/>
      <c r="G52" s="89" t="s">
        <v>1220</v>
      </c>
      <c r="H52" s="89"/>
      <c r="I52" s="90" t="s">
        <v>1221</v>
      </c>
      <c r="N52" s="403"/>
      <c r="O52" s="484"/>
      <c r="P52" s="380" t="s">
        <v>1222</v>
      </c>
      <c r="T52" s="36"/>
      <c r="U52" s="61"/>
      <c r="V52" s="62" t="s">
        <v>1223</v>
      </c>
    </row>
    <row r="53">
      <c r="A53" s="91" t="s">
        <v>59</v>
      </c>
      <c r="C53" s="92" t="s">
        <v>1116</v>
      </c>
      <c r="D53" s="93"/>
      <c r="E53" s="92" t="s">
        <v>1116</v>
      </c>
      <c r="F53" s="94"/>
      <c r="G53" s="92" t="s">
        <v>1116</v>
      </c>
      <c r="H53" s="94"/>
      <c r="I53" s="92" t="s">
        <v>1116</v>
      </c>
      <c r="N53" s="383"/>
      <c r="P53" s="383"/>
    </row>
    <row r="54">
      <c r="A54" s="95"/>
      <c r="C54" s="96" t="s">
        <v>1019</v>
      </c>
      <c r="D54" s="97"/>
      <c r="E54" s="96" t="s">
        <v>1019</v>
      </c>
      <c r="F54" s="97"/>
      <c r="G54" s="96" t="s">
        <v>1019</v>
      </c>
      <c r="H54" s="181"/>
      <c r="I54" s="96" t="s">
        <v>1019</v>
      </c>
      <c r="N54" s="438" t="s">
        <v>1224</v>
      </c>
      <c r="O54" s="360" t="s">
        <v>11</v>
      </c>
      <c r="P54" s="439" t="s">
        <v>1225</v>
      </c>
      <c r="T54" s="33" t="s">
        <v>1226</v>
      </c>
      <c r="U54" s="34" t="s">
        <v>11</v>
      </c>
      <c r="V54" s="35" t="s">
        <v>1227</v>
      </c>
    </row>
    <row r="55">
      <c r="A55" s="91" t="s">
        <v>63</v>
      </c>
      <c r="C55" s="92" t="s">
        <v>1075</v>
      </c>
      <c r="D55" s="94"/>
      <c r="E55" s="92" t="s">
        <v>1228</v>
      </c>
      <c r="F55" s="94"/>
      <c r="G55" s="92" t="s">
        <v>1228</v>
      </c>
      <c r="H55" s="94"/>
      <c r="I55" s="92" t="s">
        <v>1228</v>
      </c>
      <c r="N55" s="383"/>
      <c r="P55" s="383"/>
      <c r="T55" s="51" t="s">
        <v>1229</v>
      </c>
      <c r="V55" s="53" t="s">
        <v>1230</v>
      </c>
    </row>
    <row r="56">
      <c r="A56" s="95"/>
      <c r="C56" s="96" t="s">
        <v>1231</v>
      </c>
      <c r="D56" s="97"/>
      <c r="E56" s="96" t="s">
        <v>65</v>
      </c>
      <c r="F56" s="97"/>
      <c r="G56" s="96" t="s">
        <v>65</v>
      </c>
      <c r="H56" s="97"/>
      <c r="I56" s="96" t="s">
        <v>65</v>
      </c>
      <c r="N56" s="368" t="s">
        <v>1232</v>
      </c>
      <c r="O56" s="34" t="s">
        <v>11</v>
      </c>
      <c r="P56" s="369" t="s">
        <v>1233</v>
      </c>
      <c r="T56" s="51" t="s">
        <v>1234</v>
      </c>
      <c r="V56" s="377" t="s">
        <v>1235</v>
      </c>
    </row>
    <row r="57">
      <c r="A57" s="91" t="s">
        <v>2</v>
      </c>
      <c r="C57" s="92" t="s">
        <v>908</v>
      </c>
      <c r="D57" s="94"/>
      <c r="E57" s="92" t="s">
        <v>908</v>
      </c>
      <c r="F57" s="94"/>
      <c r="G57" s="92" t="s">
        <v>908</v>
      </c>
      <c r="H57" s="94"/>
      <c r="I57" s="300"/>
      <c r="N57" s="403"/>
      <c r="O57" s="61"/>
      <c r="P57" s="380" t="s">
        <v>1236</v>
      </c>
      <c r="T57" s="126" t="s">
        <v>1237</v>
      </c>
      <c r="U57" s="61"/>
      <c r="V57" s="38"/>
    </row>
    <row r="58">
      <c r="A58" s="95"/>
      <c r="C58" s="96" t="s">
        <v>947</v>
      </c>
      <c r="D58" s="97"/>
      <c r="E58" s="96" t="s">
        <v>947</v>
      </c>
      <c r="F58" s="97"/>
      <c r="G58" s="96" t="s">
        <v>947</v>
      </c>
      <c r="H58" s="97"/>
      <c r="I58" s="342"/>
      <c r="N58" s="383"/>
      <c r="P58" s="383"/>
    </row>
    <row r="59">
      <c r="A59" s="91" t="s">
        <v>3</v>
      </c>
      <c r="C59" s="92" t="s">
        <v>1070</v>
      </c>
      <c r="D59" s="94"/>
      <c r="E59" s="92" t="s">
        <v>1238</v>
      </c>
      <c r="F59" s="94"/>
      <c r="G59" s="92" t="s">
        <v>1080</v>
      </c>
      <c r="H59" s="94"/>
      <c r="I59" s="300"/>
      <c r="N59" s="368" t="s">
        <v>1239</v>
      </c>
      <c r="O59" s="34" t="s">
        <v>11</v>
      </c>
      <c r="P59" s="369" t="s">
        <v>1240</v>
      </c>
    </row>
    <row r="60">
      <c r="A60" s="95"/>
      <c r="C60" s="96" t="s">
        <v>1241</v>
      </c>
      <c r="D60" s="97"/>
      <c r="E60" s="96" t="s">
        <v>1241</v>
      </c>
      <c r="F60" s="97"/>
      <c r="G60" s="96" t="s">
        <v>235</v>
      </c>
      <c r="H60" s="97"/>
      <c r="I60" s="342"/>
      <c r="N60" s="198" t="s">
        <v>1242</v>
      </c>
      <c r="P60" s="202" t="s">
        <v>1243</v>
      </c>
      <c r="X60" s="485"/>
    </row>
    <row r="61">
      <c r="A61" s="104" t="s">
        <v>73</v>
      </c>
      <c r="C61" s="92" t="s">
        <v>1244</v>
      </c>
      <c r="D61" s="94"/>
      <c r="E61" s="92" t="s">
        <v>1244</v>
      </c>
      <c r="F61" s="94"/>
      <c r="G61" s="92" t="s">
        <v>1244</v>
      </c>
      <c r="H61" s="94"/>
      <c r="I61" s="92" t="s">
        <v>1245</v>
      </c>
      <c r="N61" s="198" t="s">
        <v>171</v>
      </c>
      <c r="P61" s="486"/>
      <c r="X61" s="485"/>
    </row>
    <row r="62">
      <c r="A62" s="105"/>
      <c r="C62" s="96" t="s">
        <v>1246</v>
      </c>
      <c r="D62" s="97"/>
      <c r="E62" s="96" t="s">
        <v>1246</v>
      </c>
      <c r="F62" s="97"/>
      <c r="G62" s="96" t="s">
        <v>1246</v>
      </c>
      <c r="H62" s="97"/>
      <c r="I62" s="92" t="s">
        <v>1247</v>
      </c>
      <c r="N62" s="487" t="s">
        <v>1248</v>
      </c>
      <c r="O62" s="61"/>
      <c r="P62" s="363"/>
      <c r="X62" s="485"/>
    </row>
    <row r="63">
      <c r="A63" s="91" t="s">
        <v>22</v>
      </c>
      <c r="C63" s="92" t="s">
        <v>1249</v>
      </c>
      <c r="D63" s="94"/>
      <c r="E63" s="92" t="s">
        <v>1250</v>
      </c>
      <c r="F63" s="94"/>
      <c r="G63" s="92" t="s">
        <v>1250</v>
      </c>
      <c r="H63" s="94"/>
      <c r="I63" s="300"/>
      <c r="N63" s="383"/>
      <c r="P63" s="383"/>
      <c r="X63" s="485"/>
    </row>
    <row r="64">
      <c r="A64" s="95"/>
      <c r="C64" s="96" t="s">
        <v>833</v>
      </c>
      <c r="D64" s="97"/>
      <c r="E64" s="96" t="s">
        <v>833</v>
      </c>
      <c r="F64" s="97"/>
      <c r="G64" s="96" t="s">
        <v>833</v>
      </c>
      <c r="H64" s="97"/>
      <c r="I64" s="342"/>
      <c r="N64" s="383"/>
      <c r="P64" s="383"/>
      <c r="X64" s="485"/>
    </row>
    <row r="65">
      <c r="A65" s="91" t="s">
        <v>78</v>
      </c>
      <c r="C65" s="92" t="s">
        <v>835</v>
      </c>
      <c r="D65" s="94"/>
      <c r="E65" s="92" t="s">
        <v>835</v>
      </c>
      <c r="F65" s="94"/>
      <c r="G65" s="92" t="s">
        <v>835</v>
      </c>
      <c r="H65" s="94"/>
      <c r="I65" s="300"/>
      <c r="N65" s="383"/>
      <c r="P65" s="383"/>
      <c r="X65" s="485"/>
    </row>
    <row r="66">
      <c r="A66" s="95"/>
      <c r="C66" s="96" t="s">
        <v>838</v>
      </c>
      <c r="D66" s="97"/>
      <c r="E66" s="96" t="s">
        <v>838</v>
      </c>
      <c r="F66" s="97"/>
      <c r="G66" s="96" t="s">
        <v>838</v>
      </c>
      <c r="H66" s="97"/>
      <c r="I66" s="342"/>
      <c r="N66" s="383"/>
      <c r="P66" s="383"/>
      <c r="X66" s="485"/>
    </row>
    <row r="67">
      <c r="A67" s="91" t="s">
        <v>1061</v>
      </c>
      <c r="C67" s="92" t="s">
        <v>1251</v>
      </c>
      <c r="D67" s="94"/>
      <c r="E67" s="92" t="s">
        <v>1251</v>
      </c>
      <c r="F67" s="94"/>
      <c r="G67" s="92" t="s">
        <v>848</v>
      </c>
      <c r="H67" s="94"/>
      <c r="I67" s="300"/>
      <c r="N67" s="383"/>
      <c r="P67" s="383"/>
      <c r="X67" s="485"/>
    </row>
    <row r="68">
      <c r="A68" s="95"/>
      <c r="C68" s="96" t="s">
        <v>220</v>
      </c>
      <c r="D68" s="97"/>
      <c r="E68" s="96" t="s">
        <v>220</v>
      </c>
      <c r="F68" s="97"/>
      <c r="G68" s="96" t="s">
        <v>1122</v>
      </c>
      <c r="H68" s="97"/>
      <c r="I68" s="342"/>
      <c r="N68" s="383"/>
      <c r="P68" s="383"/>
      <c r="X68" s="485"/>
    </row>
    <row r="69">
      <c r="A69" s="91" t="s">
        <v>84</v>
      </c>
      <c r="C69" s="92" t="s">
        <v>1252</v>
      </c>
      <c r="D69" s="94"/>
      <c r="E69" s="92" t="s">
        <v>1252</v>
      </c>
      <c r="F69" s="94"/>
      <c r="G69" s="92" t="s">
        <v>846</v>
      </c>
      <c r="H69" s="94"/>
      <c r="I69" s="92" t="s">
        <v>846</v>
      </c>
      <c r="N69" s="383"/>
      <c r="P69" s="383"/>
      <c r="X69" s="485"/>
    </row>
    <row r="70">
      <c r="A70" s="95"/>
      <c r="C70" s="96" t="s">
        <v>1253</v>
      </c>
      <c r="D70" s="97"/>
      <c r="E70" s="96" t="s">
        <v>1254</v>
      </c>
      <c r="F70" s="97"/>
      <c r="G70" s="96" t="s">
        <v>1059</v>
      </c>
      <c r="H70" s="97"/>
      <c r="I70" s="96" t="s">
        <v>1059</v>
      </c>
      <c r="N70" s="383"/>
      <c r="P70" s="383"/>
      <c r="X70" s="485"/>
    </row>
    <row r="71">
      <c r="A71" s="91" t="s">
        <v>26</v>
      </c>
      <c r="C71" s="92" t="s">
        <v>238</v>
      </c>
      <c r="D71" s="94"/>
      <c r="E71" s="92" t="s">
        <v>238</v>
      </c>
      <c r="F71" s="94"/>
      <c r="G71" s="92" t="s">
        <v>238</v>
      </c>
      <c r="H71" s="94"/>
      <c r="I71" s="300"/>
      <c r="N71" s="383"/>
      <c r="P71" s="383"/>
      <c r="X71" s="485"/>
    </row>
    <row r="72">
      <c r="A72" s="95"/>
      <c r="B72" s="97"/>
      <c r="C72" s="96" t="s">
        <v>939</v>
      </c>
      <c r="D72" s="97"/>
      <c r="E72" s="96" t="s">
        <v>939</v>
      </c>
      <c r="F72" s="97"/>
      <c r="G72" s="96" t="s">
        <v>939</v>
      </c>
      <c r="H72" s="97"/>
      <c r="I72" s="342"/>
      <c r="N72" s="383"/>
      <c r="P72" s="383"/>
      <c r="X72" s="485"/>
    </row>
    <row r="73">
      <c r="A73" s="61"/>
      <c r="B73" s="61"/>
      <c r="C73" s="61"/>
      <c r="D73" s="61"/>
      <c r="E73" s="61"/>
      <c r="F73" s="61"/>
      <c r="G73" s="61"/>
      <c r="H73" s="61"/>
      <c r="I73" s="61"/>
      <c r="J73" s="61"/>
      <c r="K73" s="61"/>
      <c r="L73" s="61"/>
      <c r="N73" s="383"/>
      <c r="P73" s="383"/>
      <c r="X73" s="485"/>
    </row>
    <row r="74">
      <c r="N74" s="383"/>
      <c r="P74" s="383"/>
      <c r="X74" s="485"/>
    </row>
    <row r="75">
      <c r="A75" s="207" t="s">
        <v>1255</v>
      </c>
      <c r="N75" s="383"/>
      <c r="P75" s="383"/>
      <c r="X75" s="485"/>
    </row>
    <row r="76">
      <c r="A76" s="210" t="s">
        <v>279</v>
      </c>
      <c r="B76" s="43"/>
      <c r="C76" s="44"/>
      <c r="D76" s="210" t="s">
        <v>280</v>
      </c>
      <c r="E76" s="43"/>
      <c r="F76" s="43"/>
      <c r="G76" s="44"/>
      <c r="H76" s="210" t="s">
        <v>281</v>
      </c>
      <c r="I76" s="43"/>
      <c r="J76" s="43"/>
      <c r="K76" s="44"/>
      <c r="N76" s="383"/>
      <c r="P76" s="383"/>
      <c r="X76" s="485"/>
    </row>
    <row r="77">
      <c r="A77" s="214" t="s">
        <v>1256</v>
      </c>
      <c r="B77" s="43"/>
      <c r="C77" s="44"/>
      <c r="D77" s="214" t="s">
        <v>1257</v>
      </c>
      <c r="E77" s="43"/>
      <c r="F77" s="43"/>
      <c r="G77" s="44"/>
      <c r="H77" s="214" t="s">
        <v>1258</v>
      </c>
      <c r="I77" s="43"/>
      <c r="J77" s="43"/>
      <c r="K77" s="44"/>
      <c r="N77" s="383"/>
      <c r="P77" s="383"/>
      <c r="X77" s="485"/>
    </row>
    <row r="78">
      <c r="A78" s="214" t="s">
        <v>1259</v>
      </c>
      <c r="B78" s="43"/>
      <c r="C78" s="44"/>
      <c r="D78" s="214" t="s">
        <v>1260</v>
      </c>
      <c r="E78" s="43"/>
      <c r="F78" s="43"/>
      <c r="G78" s="44"/>
      <c r="H78" s="214" t="s">
        <v>1261</v>
      </c>
      <c r="I78" s="43"/>
      <c r="J78" s="43"/>
      <c r="K78" s="44"/>
      <c r="N78" s="383"/>
      <c r="P78" s="383"/>
      <c r="X78" s="485"/>
    </row>
    <row r="79">
      <c r="A79" s="214" t="s">
        <v>1262</v>
      </c>
      <c r="B79" s="43"/>
      <c r="C79" s="44"/>
      <c r="D79" s="214" t="s">
        <v>1263</v>
      </c>
      <c r="E79" s="43"/>
      <c r="F79" s="43"/>
      <c r="G79" s="44"/>
      <c r="H79" s="214" t="s">
        <v>1264</v>
      </c>
      <c r="I79" s="43"/>
      <c r="J79" s="43"/>
      <c r="K79" s="44"/>
      <c r="N79" s="383"/>
      <c r="P79" s="383"/>
      <c r="X79" s="485"/>
    </row>
    <row r="80">
      <c r="A80" s="214" t="s">
        <v>1265</v>
      </c>
      <c r="B80" s="43"/>
      <c r="C80" s="44"/>
      <c r="D80" s="214" t="s">
        <v>1266</v>
      </c>
      <c r="E80" s="43"/>
      <c r="F80" s="43"/>
      <c r="G80" s="44"/>
      <c r="H80" s="214" t="s">
        <v>1267</v>
      </c>
      <c r="I80" s="43"/>
      <c r="J80" s="43"/>
      <c r="K80" s="44"/>
      <c r="N80" s="383"/>
      <c r="P80" s="383"/>
      <c r="X80" s="485"/>
    </row>
    <row r="81">
      <c r="A81" s="214" t="s">
        <v>1268</v>
      </c>
      <c r="B81" s="43"/>
      <c r="C81" s="44"/>
      <c r="D81" s="214" t="s">
        <v>1269</v>
      </c>
      <c r="E81" s="43"/>
      <c r="F81" s="43"/>
      <c r="G81" s="44"/>
      <c r="H81" s="214" t="s">
        <v>1270</v>
      </c>
      <c r="I81" s="43"/>
      <c r="J81" s="43"/>
      <c r="K81" s="44"/>
      <c r="N81" s="383"/>
      <c r="P81" s="383"/>
      <c r="X81" s="485"/>
    </row>
    <row r="82">
      <c r="A82" s="214" t="s">
        <v>1271</v>
      </c>
      <c r="B82" s="43"/>
      <c r="C82" s="44"/>
      <c r="D82" s="214" t="s">
        <v>1272</v>
      </c>
      <c r="E82" s="43"/>
      <c r="F82" s="43"/>
      <c r="G82" s="44"/>
      <c r="H82" s="214" t="s">
        <v>1273</v>
      </c>
      <c r="I82" s="43"/>
      <c r="J82" s="43"/>
      <c r="K82" s="44"/>
      <c r="N82" s="383"/>
      <c r="P82" s="383"/>
      <c r="X82" s="485"/>
    </row>
    <row r="83">
      <c r="A83" s="214" t="s">
        <v>1274</v>
      </c>
      <c r="B83" s="43"/>
      <c r="C83" s="44"/>
      <c r="D83" s="214" t="s">
        <v>1275</v>
      </c>
      <c r="E83" s="43"/>
      <c r="F83" s="43"/>
      <c r="G83" s="44"/>
      <c r="H83" s="214" t="s">
        <v>1276</v>
      </c>
      <c r="I83" s="43"/>
      <c r="J83" s="43"/>
      <c r="K83" s="44"/>
      <c r="N83" s="383"/>
      <c r="P83" s="383"/>
      <c r="X83" s="485"/>
    </row>
    <row r="84">
      <c r="A84" s="214" t="s">
        <v>1277</v>
      </c>
      <c r="B84" s="43"/>
      <c r="C84" s="44"/>
      <c r="D84" s="214" t="s">
        <v>1278</v>
      </c>
      <c r="E84" s="43"/>
      <c r="F84" s="43"/>
      <c r="G84" s="44"/>
      <c r="H84" s="214" t="s">
        <v>1279</v>
      </c>
      <c r="I84" s="43"/>
      <c r="J84" s="43"/>
      <c r="K84" s="44"/>
      <c r="N84" s="383"/>
      <c r="P84" s="383"/>
      <c r="X84" s="485"/>
    </row>
    <row r="85">
      <c r="A85" s="214" t="s">
        <v>1280</v>
      </c>
      <c r="B85" s="43"/>
      <c r="C85" s="44"/>
      <c r="D85" s="214" t="s">
        <v>1281</v>
      </c>
      <c r="E85" s="43"/>
      <c r="F85" s="43"/>
      <c r="G85" s="44"/>
      <c r="H85" s="214" t="s">
        <v>1282</v>
      </c>
      <c r="I85" s="43"/>
      <c r="J85" s="43"/>
      <c r="K85" s="44"/>
      <c r="N85" s="383"/>
      <c r="P85" s="383"/>
      <c r="X85" s="485"/>
    </row>
    <row r="86">
      <c r="A86" s="214" t="s">
        <v>1283</v>
      </c>
      <c r="B86" s="43"/>
      <c r="C86" s="44"/>
      <c r="D86" s="214" t="s">
        <v>1284</v>
      </c>
      <c r="E86" s="43"/>
      <c r="F86" s="43"/>
      <c r="G86" s="44"/>
      <c r="H86" s="214" t="s">
        <v>1285</v>
      </c>
      <c r="I86" s="43"/>
      <c r="J86" s="43"/>
      <c r="K86" s="44"/>
      <c r="N86" s="383"/>
      <c r="P86" s="383"/>
      <c r="X86" s="485"/>
    </row>
    <row r="87">
      <c r="A87" s="488" t="s">
        <v>1286</v>
      </c>
      <c r="B87" s="43"/>
      <c r="C87" s="44"/>
      <c r="N87" s="383"/>
      <c r="P87" s="383"/>
      <c r="X87" s="485"/>
    </row>
    <row r="88">
      <c r="E88" s="489"/>
      <c r="N88" s="383"/>
      <c r="P88" s="383"/>
      <c r="X88" s="485"/>
    </row>
    <row r="89">
      <c r="A89" s="210" t="s">
        <v>332</v>
      </c>
      <c r="B89" s="43"/>
      <c r="C89" s="43"/>
      <c r="D89" s="44"/>
      <c r="E89" s="210" t="s">
        <v>333</v>
      </c>
      <c r="F89" s="43"/>
      <c r="G89" s="43"/>
      <c r="H89" s="44"/>
      <c r="I89" s="210" t="s">
        <v>334</v>
      </c>
      <c r="J89" s="43"/>
      <c r="K89" s="43"/>
      <c r="L89" s="44"/>
      <c r="N89" s="383"/>
      <c r="P89" s="383"/>
      <c r="X89" s="485"/>
    </row>
    <row r="90">
      <c r="A90" s="214" t="s">
        <v>1287</v>
      </c>
      <c r="B90" s="43"/>
      <c r="C90" s="43"/>
      <c r="D90" s="44"/>
      <c r="E90" s="214" t="s">
        <v>1288</v>
      </c>
      <c r="F90" s="43"/>
      <c r="G90" s="43"/>
      <c r="H90" s="44"/>
      <c r="I90" s="214" t="s">
        <v>1289</v>
      </c>
      <c r="J90" s="43"/>
      <c r="K90" s="43"/>
      <c r="L90" s="44"/>
      <c r="N90" s="383"/>
      <c r="P90" s="383"/>
      <c r="X90" s="485"/>
    </row>
    <row r="91">
      <c r="A91" s="214" t="s">
        <v>1290</v>
      </c>
      <c r="B91" s="43"/>
      <c r="C91" s="43"/>
      <c r="D91" s="44"/>
      <c r="E91" s="214" t="s">
        <v>1291</v>
      </c>
      <c r="F91" s="43"/>
      <c r="G91" s="43"/>
      <c r="H91" s="44"/>
      <c r="I91" s="214" t="s">
        <v>1292</v>
      </c>
      <c r="J91" s="43"/>
      <c r="K91" s="43"/>
      <c r="L91" s="44"/>
      <c r="N91" s="383"/>
      <c r="P91" s="383"/>
      <c r="X91" s="485"/>
    </row>
    <row r="92">
      <c r="A92" s="214" t="s">
        <v>1293</v>
      </c>
      <c r="B92" s="43"/>
      <c r="C92" s="43"/>
      <c r="D92" s="44"/>
      <c r="E92" s="214" t="s">
        <v>1294</v>
      </c>
      <c r="F92" s="43"/>
      <c r="G92" s="43"/>
      <c r="H92" s="44"/>
      <c r="I92" s="214" t="s">
        <v>1295</v>
      </c>
      <c r="J92" s="43"/>
      <c r="K92" s="43"/>
      <c r="L92" s="44"/>
      <c r="N92" s="383"/>
      <c r="P92" s="383"/>
      <c r="X92" s="485"/>
    </row>
    <row r="93">
      <c r="A93" s="214" t="s">
        <v>1296</v>
      </c>
      <c r="B93" s="43"/>
      <c r="C93" s="43"/>
      <c r="D93" s="44"/>
      <c r="E93" s="214" t="s">
        <v>1297</v>
      </c>
      <c r="F93" s="43"/>
      <c r="G93" s="43"/>
      <c r="H93" s="44"/>
      <c r="I93" s="214" t="s">
        <v>1298</v>
      </c>
      <c r="J93" s="43"/>
      <c r="K93" s="43"/>
      <c r="L93" s="44"/>
      <c r="N93" s="383"/>
      <c r="P93" s="383"/>
      <c r="X93" s="485"/>
    </row>
    <row r="94">
      <c r="A94" s="214" t="s">
        <v>1299</v>
      </c>
      <c r="B94" s="43"/>
      <c r="C94" s="43"/>
      <c r="D94" s="44"/>
      <c r="E94" s="214" t="s">
        <v>1300</v>
      </c>
      <c r="F94" s="43"/>
      <c r="G94" s="43"/>
      <c r="H94" s="44"/>
      <c r="I94" s="214" t="s">
        <v>1300</v>
      </c>
      <c r="J94" s="43"/>
      <c r="K94" s="43"/>
      <c r="L94" s="44"/>
      <c r="N94" s="383"/>
      <c r="P94" s="383"/>
      <c r="X94" s="485"/>
    </row>
    <row r="95">
      <c r="A95" s="214" t="s">
        <v>1301</v>
      </c>
      <c r="B95" s="43"/>
      <c r="C95" s="43"/>
      <c r="D95" s="44"/>
      <c r="E95" s="214" t="s">
        <v>1302</v>
      </c>
      <c r="F95" s="43"/>
      <c r="G95" s="43"/>
      <c r="H95" s="44"/>
      <c r="I95" s="214" t="s">
        <v>1302</v>
      </c>
      <c r="J95" s="43"/>
      <c r="K95" s="43"/>
      <c r="L95" s="44"/>
      <c r="N95" s="383"/>
      <c r="P95" s="383"/>
      <c r="X95" s="485"/>
    </row>
    <row r="96">
      <c r="A96" s="214" t="s">
        <v>1276</v>
      </c>
      <c r="B96" s="43"/>
      <c r="C96" s="43"/>
      <c r="D96" s="44"/>
      <c r="E96" s="214" t="s">
        <v>1276</v>
      </c>
      <c r="F96" s="43"/>
      <c r="G96" s="43"/>
      <c r="H96" s="44"/>
      <c r="I96" s="214" t="s">
        <v>1276</v>
      </c>
      <c r="J96" s="43"/>
      <c r="K96" s="43"/>
      <c r="L96" s="44"/>
      <c r="N96" s="383"/>
      <c r="P96" s="383"/>
      <c r="X96" s="485"/>
    </row>
    <row r="97">
      <c r="A97" s="214" t="s">
        <v>1303</v>
      </c>
      <c r="B97" s="43"/>
      <c r="C97" s="43"/>
      <c r="D97" s="44"/>
      <c r="E97" s="214" t="s">
        <v>1304</v>
      </c>
      <c r="F97" s="43"/>
      <c r="G97" s="43"/>
      <c r="H97" s="44"/>
      <c r="I97" s="214" t="s">
        <v>1305</v>
      </c>
      <c r="J97" s="43"/>
      <c r="K97" s="43"/>
      <c r="L97" s="44"/>
      <c r="N97" s="383"/>
      <c r="P97" s="383"/>
      <c r="X97" s="485"/>
    </row>
    <row r="98">
      <c r="A98" s="214" t="s">
        <v>1306</v>
      </c>
      <c r="B98" s="43"/>
      <c r="C98" s="43"/>
      <c r="D98" s="44"/>
      <c r="E98" s="214" t="s">
        <v>1307</v>
      </c>
      <c r="F98" s="43"/>
      <c r="G98" s="43"/>
      <c r="H98" s="44"/>
      <c r="I98" s="214" t="s">
        <v>1307</v>
      </c>
      <c r="J98" s="43"/>
      <c r="K98" s="43"/>
      <c r="L98" s="44"/>
      <c r="N98" s="383"/>
      <c r="P98" s="383"/>
      <c r="X98" s="485"/>
    </row>
    <row r="99">
      <c r="A99" s="214" t="s">
        <v>1308</v>
      </c>
      <c r="B99" s="43"/>
      <c r="C99" s="43"/>
      <c r="D99" s="44"/>
      <c r="E99" s="214" t="s">
        <v>902</v>
      </c>
      <c r="F99" s="43"/>
      <c r="G99" s="43"/>
      <c r="H99" s="44"/>
      <c r="I99" s="214" t="s">
        <v>902</v>
      </c>
      <c r="J99" s="43"/>
      <c r="K99" s="43"/>
      <c r="L99" s="44"/>
      <c r="N99" s="383"/>
      <c r="P99" s="383"/>
      <c r="X99" s="485"/>
    </row>
    <row r="100">
      <c r="N100" s="383"/>
      <c r="P100" s="383"/>
      <c r="X100" s="485"/>
    </row>
    <row r="101">
      <c r="A101" s="210" t="s">
        <v>335</v>
      </c>
      <c r="B101" s="43"/>
      <c r="C101" s="43"/>
      <c r="D101" s="44"/>
      <c r="E101" s="418" t="s">
        <v>334</v>
      </c>
      <c r="F101" s="43"/>
      <c r="G101" s="43"/>
      <c r="H101" s="44"/>
      <c r="N101" s="383"/>
      <c r="P101" s="383"/>
      <c r="X101" s="485"/>
    </row>
    <row r="102">
      <c r="A102" s="214" t="s">
        <v>1309</v>
      </c>
      <c r="B102" s="43"/>
      <c r="C102" s="43"/>
      <c r="D102" s="44"/>
      <c r="E102" s="490" t="s">
        <v>1310</v>
      </c>
      <c r="F102" s="139"/>
      <c r="G102" s="139"/>
      <c r="H102" s="222"/>
      <c r="N102" s="383"/>
      <c r="P102" s="383"/>
      <c r="X102" s="485"/>
    </row>
    <row r="103">
      <c r="A103" s="214" t="s">
        <v>1311</v>
      </c>
      <c r="B103" s="43"/>
      <c r="C103" s="43"/>
      <c r="D103" s="44"/>
      <c r="E103" s="490" t="s">
        <v>1312</v>
      </c>
      <c r="F103" s="139"/>
      <c r="G103" s="139"/>
      <c r="H103" s="222"/>
      <c r="N103" s="383"/>
      <c r="P103" s="383"/>
      <c r="X103" s="485"/>
    </row>
    <row r="104">
      <c r="A104" s="214" t="s">
        <v>1295</v>
      </c>
      <c r="B104" s="43"/>
      <c r="C104" s="43"/>
      <c r="D104" s="44"/>
      <c r="E104" s="491" t="s">
        <v>1295</v>
      </c>
      <c r="F104" s="139"/>
      <c r="G104" s="139"/>
      <c r="H104" s="222"/>
      <c r="N104" s="383"/>
      <c r="P104" s="383"/>
      <c r="X104" s="485"/>
    </row>
    <row r="105">
      <c r="A105" s="214" t="s">
        <v>1313</v>
      </c>
      <c r="B105" s="43"/>
      <c r="C105" s="43"/>
      <c r="D105" s="44"/>
      <c r="E105" s="491" t="s">
        <v>1313</v>
      </c>
      <c r="F105" s="139"/>
      <c r="G105" s="139"/>
      <c r="H105" s="222"/>
      <c r="N105" s="383"/>
      <c r="P105" s="383"/>
      <c r="X105" s="485"/>
    </row>
    <row r="106">
      <c r="A106" s="214" t="s">
        <v>1300</v>
      </c>
      <c r="B106" s="43"/>
      <c r="C106" s="43"/>
      <c r="D106" s="44"/>
      <c r="E106" s="491" t="s">
        <v>1300</v>
      </c>
      <c r="F106" s="139"/>
      <c r="G106" s="139"/>
      <c r="H106" s="222"/>
      <c r="N106" s="383"/>
      <c r="P106" s="383"/>
      <c r="X106" s="485"/>
    </row>
    <row r="107">
      <c r="A107" s="214" t="s">
        <v>1302</v>
      </c>
      <c r="B107" s="43"/>
      <c r="C107" s="43"/>
      <c r="D107" s="44"/>
      <c r="E107" s="491" t="s">
        <v>1302</v>
      </c>
      <c r="F107" s="139"/>
      <c r="G107" s="139"/>
      <c r="H107" s="222"/>
      <c r="N107" s="383"/>
      <c r="P107" s="383"/>
      <c r="X107" s="485"/>
    </row>
    <row r="108">
      <c r="A108" s="214" t="s">
        <v>1276</v>
      </c>
      <c r="B108" s="43"/>
      <c r="C108" s="43"/>
      <c r="D108" s="44"/>
      <c r="E108" s="491" t="s">
        <v>1276</v>
      </c>
      <c r="F108" s="139"/>
      <c r="G108" s="139"/>
      <c r="H108" s="222"/>
      <c r="N108" s="383"/>
      <c r="P108" s="383"/>
      <c r="X108" s="485"/>
    </row>
    <row r="109">
      <c r="A109" s="214" t="s">
        <v>1314</v>
      </c>
      <c r="B109" s="43"/>
      <c r="C109" s="43"/>
      <c r="D109" s="44"/>
      <c r="E109" s="491" t="s">
        <v>1315</v>
      </c>
      <c r="F109" s="139"/>
      <c r="G109" s="139"/>
      <c r="H109" s="222"/>
      <c r="N109" s="383"/>
      <c r="P109" s="383"/>
      <c r="X109" s="485"/>
    </row>
    <row r="110">
      <c r="A110" s="214" t="s">
        <v>1307</v>
      </c>
      <c r="B110" s="43"/>
      <c r="C110" s="43"/>
      <c r="D110" s="44"/>
      <c r="E110" s="491" t="s">
        <v>1307</v>
      </c>
      <c r="F110" s="139"/>
      <c r="G110" s="139"/>
      <c r="H110" s="222"/>
      <c r="N110" s="383"/>
      <c r="P110" s="383"/>
      <c r="X110" s="485"/>
    </row>
    <row r="111">
      <c r="A111" s="214" t="s">
        <v>902</v>
      </c>
      <c r="B111" s="43"/>
      <c r="C111" s="43"/>
      <c r="D111" s="44"/>
      <c r="E111" s="491" t="s">
        <v>902</v>
      </c>
      <c r="F111" s="139"/>
      <c r="G111" s="139"/>
      <c r="H111" s="222"/>
      <c r="N111" s="383"/>
      <c r="P111" s="383"/>
      <c r="X111" s="485"/>
    </row>
    <row r="112">
      <c r="N112" s="383"/>
      <c r="P112" s="383"/>
      <c r="X112" s="485"/>
    </row>
    <row r="113">
      <c r="N113" s="383"/>
      <c r="P113" s="383"/>
      <c r="X113" s="485"/>
    </row>
    <row r="114">
      <c r="N114" s="383"/>
      <c r="P114" s="383"/>
      <c r="X114" s="485"/>
    </row>
    <row r="115">
      <c r="N115" s="383"/>
      <c r="P115" s="383"/>
      <c r="X115" s="485"/>
    </row>
    <row r="116">
      <c r="N116" s="383"/>
      <c r="P116" s="383"/>
      <c r="X116" s="485"/>
    </row>
    <row r="117">
      <c r="N117" s="383"/>
      <c r="P117" s="383"/>
      <c r="X117" s="485"/>
    </row>
    <row r="118">
      <c r="N118" s="383"/>
      <c r="P118" s="383"/>
      <c r="X118" s="485"/>
    </row>
    <row r="119">
      <c r="N119" s="383"/>
      <c r="P119" s="383"/>
      <c r="X119" s="485"/>
    </row>
    <row r="120">
      <c r="N120" s="383"/>
      <c r="P120" s="383"/>
      <c r="X120" s="485"/>
    </row>
    <row r="121">
      <c r="N121" s="383"/>
      <c r="P121" s="383"/>
      <c r="X121" s="485"/>
    </row>
    <row r="122">
      <c r="N122" s="383"/>
      <c r="P122" s="383"/>
      <c r="X122" s="485"/>
    </row>
    <row r="123">
      <c r="N123" s="383"/>
      <c r="P123" s="383"/>
      <c r="X123" s="485"/>
    </row>
    <row r="124">
      <c r="N124" s="383"/>
      <c r="P124" s="383"/>
      <c r="X124" s="485"/>
    </row>
    <row r="125">
      <c r="N125" s="383"/>
      <c r="P125" s="383"/>
      <c r="X125" s="485"/>
    </row>
    <row r="126">
      <c r="N126" s="383"/>
      <c r="P126" s="383"/>
      <c r="X126" s="485"/>
    </row>
    <row r="127">
      <c r="N127" s="383"/>
      <c r="P127" s="383"/>
      <c r="X127" s="485"/>
    </row>
    <row r="128">
      <c r="N128" s="383"/>
      <c r="P128" s="383"/>
      <c r="X128" s="485"/>
    </row>
    <row r="129">
      <c r="N129" s="383"/>
      <c r="P129" s="383"/>
      <c r="X129" s="485"/>
    </row>
    <row r="130">
      <c r="N130" s="383"/>
      <c r="P130" s="383"/>
      <c r="X130" s="485"/>
    </row>
    <row r="131">
      <c r="N131" s="383"/>
      <c r="P131" s="383"/>
      <c r="X131" s="485"/>
    </row>
    <row r="132">
      <c r="N132" s="383"/>
      <c r="P132" s="383"/>
      <c r="X132" s="485"/>
    </row>
    <row r="133">
      <c r="N133" s="383"/>
      <c r="P133" s="383"/>
      <c r="X133" s="485"/>
    </row>
    <row r="134">
      <c r="N134" s="383"/>
      <c r="P134" s="383"/>
      <c r="X134" s="485"/>
    </row>
    <row r="135">
      <c r="N135" s="383"/>
      <c r="P135" s="383"/>
      <c r="X135" s="485"/>
    </row>
    <row r="136">
      <c r="N136" s="383"/>
      <c r="P136" s="383"/>
      <c r="X136" s="485"/>
    </row>
    <row r="137">
      <c r="N137" s="383"/>
      <c r="P137" s="383"/>
      <c r="X137" s="485"/>
    </row>
    <row r="138">
      <c r="N138" s="383"/>
      <c r="P138" s="383"/>
      <c r="X138" s="485"/>
    </row>
    <row r="139">
      <c r="N139" s="383"/>
      <c r="P139" s="383"/>
      <c r="X139" s="485"/>
    </row>
    <row r="140">
      <c r="N140" s="383"/>
      <c r="P140" s="383"/>
      <c r="X140" s="485"/>
    </row>
    <row r="141">
      <c r="N141" s="383"/>
      <c r="P141" s="383"/>
      <c r="X141" s="485"/>
    </row>
    <row r="142">
      <c r="N142" s="383"/>
      <c r="P142" s="383"/>
      <c r="X142" s="485"/>
    </row>
    <row r="143">
      <c r="N143" s="383"/>
      <c r="P143" s="383"/>
      <c r="X143" s="485"/>
    </row>
    <row r="144">
      <c r="N144" s="383"/>
      <c r="P144" s="383"/>
      <c r="X144" s="485"/>
    </row>
    <row r="145">
      <c r="N145" s="383"/>
      <c r="P145" s="383"/>
      <c r="X145" s="485"/>
    </row>
    <row r="146">
      <c r="N146" s="383"/>
      <c r="P146" s="383"/>
      <c r="X146" s="485"/>
    </row>
    <row r="147">
      <c r="N147" s="383"/>
      <c r="P147" s="383"/>
      <c r="X147" s="485"/>
    </row>
    <row r="148">
      <c r="N148" s="383"/>
      <c r="P148" s="383"/>
      <c r="X148" s="485"/>
    </row>
    <row r="149">
      <c r="N149" s="383"/>
      <c r="P149" s="383"/>
      <c r="X149" s="485"/>
    </row>
    <row r="150">
      <c r="N150" s="383"/>
      <c r="P150" s="383"/>
      <c r="X150" s="485"/>
    </row>
    <row r="151">
      <c r="N151" s="383"/>
      <c r="P151" s="383"/>
      <c r="X151" s="485"/>
    </row>
    <row r="152">
      <c r="N152" s="383"/>
      <c r="P152" s="383"/>
      <c r="X152" s="485"/>
    </row>
    <row r="153">
      <c r="N153" s="383"/>
      <c r="P153" s="383"/>
      <c r="X153" s="485"/>
    </row>
    <row r="154">
      <c r="N154" s="383"/>
      <c r="P154" s="383"/>
      <c r="X154" s="485"/>
    </row>
    <row r="155">
      <c r="N155" s="383"/>
      <c r="P155" s="383"/>
      <c r="X155" s="485"/>
    </row>
    <row r="156">
      <c r="N156" s="383"/>
      <c r="P156" s="383"/>
      <c r="X156" s="485"/>
    </row>
    <row r="157">
      <c r="N157" s="383"/>
      <c r="P157" s="383"/>
      <c r="X157" s="485"/>
    </row>
    <row r="158">
      <c r="N158" s="383"/>
      <c r="P158" s="383"/>
      <c r="X158" s="485"/>
    </row>
    <row r="159">
      <c r="N159" s="383"/>
      <c r="P159" s="383"/>
      <c r="X159" s="485"/>
    </row>
    <row r="160">
      <c r="N160" s="383"/>
      <c r="P160" s="383"/>
      <c r="X160" s="485"/>
    </row>
    <row r="161">
      <c r="N161" s="383"/>
      <c r="P161" s="383"/>
      <c r="X161" s="485"/>
    </row>
    <row r="162">
      <c r="N162" s="383"/>
      <c r="P162" s="383"/>
      <c r="X162" s="485"/>
    </row>
    <row r="163">
      <c r="N163" s="383"/>
      <c r="P163" s="383"/>
      <c r="X163" s="485"/>
    </row>
    <row r="164">
      <c r="N164" s="383"/>
      <c r="P164" s="383"/>
      <c r="X164" s="485"/>
    </row>
    <row r="165">
      <c r="N165" s="383"/>
      <c r="P165" s="383"/>
      <c r="X165" s="485"/>
    </row>
    <row r="166">
      <c r="N166" s="383"/>
      <c r="P166" s="383"/>
      <c r="X166" s="485"/>
    </row>
    <row r="167">
      <c r="N167" s="383"/>
      <c r="P167" s="383"/>
      <c r="X167" s="485"/>
    </row>
    <row r="168">
      <c r="N168" s="383"/>
      <c r="P168" s="383"/>
      <c r="X168" s="485"/>
    </row>
    <row r="169">
      <c r="N169" s="383"/>
      <c r="P169" s="383"/>
      <c r="X169" s="485"/>
    </row>
    <row r="170">
      <c r="N170" s="383"/>
      <c r="P170" s="383"/>
      <c r="X170" s="485"/>
    </row>
    <row r="171">
      <c r="N171" s="383"/>
      <c r="P171" s="383"/>
      <c r="X171" s="485"/>
    </row>
    <row r="172">
      <c r="N172" s="383"/>
      <c r="P172" s="383"/>
      <c r="X172" s="485"/>
    </row>
    <row r="173">
      <c r="N173" s="383"/>
      <c r="P173" s="383"/>
      <c r="X173" s="485"/>
    </row>
    <row r="174">
      <c r="N174" s="383"/>
      <c r="P174" s="383"/>
      <c r="X174" s="485"/>
    </row>
    <row r="175">
      <c r="N175" s="383"/>
      <c r="P175" s="383"/>
      <c r="X175" s="485"/>
    </row>
    <row r="176">
      <c r="N176" s="383"/>
      <c r="P176" s="383"/>
      <c r="X176" s="485"/>
    </row>
    <row r="177">
      <c r="N177" s="383"/>
      <c r="P177" s="383"/>
      <c r="X177" s="485"/>
    </row>
    <row r="178">
      <c r="N178" s="383"/>
      <c r="P178" s="383"/>
      <c r="X178" s="485"/>
    </row>
    <row r="179">
      <c r="N179" s="383"/>
      <c r="P179" s="383"/>
      <c r="X179" s="485"/>
    </row>
    <row r="180">
      <c r="N180" s="383"/>
      <c r="P180" s="383"/>
      <c r="X180" s="485"/>
    </row>
    <row r="181">
      <c r="N181" s="383"/>
      <c r="P181" s="383"/>
      <c r="X181" s="485"/>
    </row>
    <row r="182">
      <c r="N182" s="383"/>
      <c r="P182" s="383"/>
      <c r="X182" s="485"/>
    </row>
    <row r="183">
      <c r="N183" s="383"/>
      <c r="P183" s="383"/>
      <c r="X183" s="485"/>
    </row>
    <row r="184">
      <c r="N184" s="383"/>
      <c r="P184" s="383"/>
      <c r="X184" s="485"/>
    </row>
    <row r="185">
      <c r="N185" s="383"/>
      <c r="P185" s="383"/>
      <c r="X185" s="485"/>
    </row>
    <row r="186">
      <c r="N186" s="383"/>
      <c r="P186" s="383"/>
      <c r="X186" s="485"/>
    </row>
    <row r="187">
      <c r="N187" s="383"/>
      <c r="P187" s="383"/>
      <c r="X187" s="485"/>
    </row>
    <row r="188">
      <c r="N188" s="383"/>
      <c r="P188" s="383"/>
      <c r="X188" s="485"/>
    </row>
    <row r="189">
      <c r="N189" s="383"/>
      <c r="P189" s="383"/>
      <c r="X189" s="485"/>
    </row>
    <row r="190">
      <c r="N190" s="383"/>
      <c r="P190" s="383"/>
      <c r="X190" s="485"/>
    </row>
    <row r="191">
      <c r="N191" s="383"/>
      <c r="P191" s="383"/>
      <c r="X191" s="485"/>
    </row>
    <row r="192">
      <c r="N192" s="383"/>
      <c r="P192" s="383"/>
      <c r="X192" s="485"/>
    </row>
    <row r="193">
      <c r="N193" s="383"/>
      <c r="P193" s="383"/>
      <c r="X193" s="485"/>
    </row>
    <row r="194">
      <c r="N194" s="383"/>
      <c r="P194" s="383"/>
      <c r="X194" s="485"/>
    </row>
    <row r="195">
      <c r="N195" s="383"/>
      <c r="P195" s="383"/>
      <c r="X195" s="485"/>
    </row>
    <row r="196">
      <c r="N196" s="383"/>
      <c r="P196" s="383"/>
      <c r="X196" s="485"/>
    </row>
    <row r="197">
      <c r="N197" s="383"/>
      <c r="P197" s="383"/>
      <c r="X197" s="485"/>
    </row>
    <row r="198">
      <c r="N198" s="383"/>
      <c r="P198" s="383"/>
      <c r="X198" s="485"/>
    </row>
    <row r="199">
      <c r="N199" s="383"/>
      <c r="P199" s="383"/>
      <c r="X199" s="485"/>
    </row>
    <row r="200">
      <c r="N200" s="383"/>
      <c r="P200" s="383"/>
      <c r="X200" s="485"/>
    </row>
    <row r="201">
      <c r="N201" s="383"/>
      <c r="P201" s="383"/>
      <c r="X201" s="485"/>
    </row>
    <row r="202">
      <c r="N202" s="383"/>
      <c r="P202" s="383"/>
      <c r="X202" s="485"/>
    </row>
    <row r="203">
      <c r="N203" s="383"/>
      <c r="P203" s="383"/>
      <c r="X203" s="485"/>
    </row>
    <row r="204">
      <c r="N204" s="383"/>
      <c r="P204" s="383"/>
      <c r="X204" s="485"/>
    </row>
    <row r="205">
      <c r="N205" s="383"/>
      <c r="P205" s="383"/>
      <c r="X205" s="485"/>
    </row>
    <row r="206">
      <c r="N206" s="383"/>
      <c r="P206" s="383"/>
      <c r="X206" s="485"/>
    </row>
    <row r="207">
      <c r="N207" s="383"/>
      <c r="P207" s="383"/>
      <c r="X207" s="485"/>
    </row>
    <row r="208">
      <c r="N208" s="383"/>
      <c r="P208" s="383"/>
      <c r="X208" s="485"/>
    </row>
    <row r="209">
      <c r="N209" s="383"/>
      <c r="P209" s="383"/>
      <c r="X209" s="485"/>
    </row>
    <row r="210">
      <c r="N210" s="383"/>
      <c r="P210" s="383"/>
      <c r="X210" s="485"/>
    </row>
    <row r="211">
      <c r="N211" s="383"/>
      <c r="P211" s="383"/>
      <c r="X211" s="485"/>
    </row>
    <row r="212">
      <c r="N212" s="383"/>
      <c r="P212" s="383"/>
      <c r="X212" s="485"/>
    </row>
    <row r="213">
      <c r="N213" s="383"/>
      <c r="P213" s="383"/>
      <c r="X213" s="485"/>
    </row>
    <row r="214">
      <c r="N214" s="383"/>
      <c r="P214" s="383"/>
      <c r="X214" s="485"/>
    </row>
    <row r="215">
      <c r="N215" s="383"/>
      <c r="P215" s="383"/>
      <c r="X215" s="485"/>
    </row>
    <row r="216">
      <c r="N216" s="383"/>
      <c r="P216" s="383"/>
      <c r="X216" s="485"/>
    </row>
    <row r="217">
      <c r="N217" s="383"/>
      <c r="P217" s="383"/>
      <c r="X217" s="485"/>
    </row>
    <row r="218">
      <c r="N218" s="383"/>
      <c r="P218" s="383"/>
      <c r="X218" s="485"/>
    </row>
    <row r="219">
      <c r="N219" s="383"/>
      <c r="P219" s="383"/>
      <c r="X219" s="485"/>
    </row>
    <row r="220">
      <c r="N220" s="383"/>
      <c r="P220" s="383"/>
      <c r="X220" s="485"/>
    </row>
    <row r="221">
      <c r="N221" s="383"/>
      <c r="P221" s="383"/>
      <c r="X221" s="485"/>
    </row>
    <row r="222">
      <c r="N222" s="383"/>
      <c r="P222" s="383"/>
      <c r="X222" s="485"/>
    </row>
    <row r="223">
      <c r="N223" s="383"/>
      <c r="P223" s="383"/>
      <c r="X223" s="485"/>
    </row>
    <row r="224">
      <c r="N224" s="383"/>
      <c r="P224" s="383"/>
      <c r="X224" s="485"/>
    </row>
    <row r="225">
      <c r="N225" s="383"/>
      <c r="P225" s="383"/>
      <c r="X225" s="485"/>
    </row>
    <row r="226">
      <c r="N226" s="383"/>
      <c r="P226" s="383"/>
      <c r="X226" s="485"/>
    </row>
    <row r="227">
      <c r="N227" s="383"/>
      <c r="P227" s="383"/>
      <c r="X227" s="485"/>
    </row>
    <row r="228">
      <c r="N228" s="383"/>
      <c r="P228" s="383"/>
      <c r="X228" s="485"/>
    </row>
    <row r="229">
      <c r="N229" s="383"/>
      <c r="P229" s="383"/>
      <c r="X229" s="485"/>
    </row>
    <row r="230">
      <c r="N230" s="383"/>
      <c r="P230" s="383"/>
      <c r="X230" s="485"/>
    </row>
    <row r="231">
      <c r="N231" s="383"/>
      <c r="P231" s="383"/>
      <c r="X231" s="485"/>
    </row>
    <row r="232">
      <c r="N232" s="383"/>
      <c r="P232" s="383"/>
      <c r="X232" s="485"/>
    </row>
    <row r="233">
      <c r="N233" s="383"/>
      <c r="P233" s="383"/>
      <c r="X233" s="485"/>
    </row>
    <row r="234">
      <c r="N234" s="383"/>
      <c r="P234" s="383"/>
      <c r="X234" s="485"/>
    </row>
    <row r="235">
      <c r="N235" s="383"/>
      <c r="P235" s="383"/>
      <c r="X235" s="485"/>
    </row>
    <row r="236">
      <c r="N236" s="383"/>
      <c r="P236" s="383"/>
      <c r="X236" s="485"/>
    </row>
    <row r="237">
      <c r="N237" s="383"/>
      <c r="P237" s="383"/>
      <c r="X237" s="485"/>
    </row>
    <row r="238">
      <c r="N238" s="383"/>
      <c r="P238" s="383"/>
      <c r="X238" s="485"/>
    </row>
    <row r="239">
      <c r="N239" s="383"/>
      <c r="P239" s="383"/>
      <c r="X239" s="485"/>
    </row>
    <row r="240">
      <c r="N240" s="383"/>
      <c r="P240" s="383"/>
      <c r="X240" s="485"/>
    </row>
    <row r="241">
      <c r="N241" s="383"/>
      <c r="P241" s="383"/>
      <c r="X241" s="485"/>
    </row>
    <row r="242">
      <c r="N242" s="383"/>
      <c r="P242" s="383"/>
      <c r="X242" s="485"/>
    </row>
    <row r="243">
      <c r="N243" s="383"/>
      <c r="P243" s="383"/>
      <c r="X243" s="485"/>
    </row>
    <row r="244">
      <c r="N244" s="383"/>
      <c r="P244" s="383"/>
      <c r="X244" s="485"/>
    </row>
    <row r="245">
      <c r="N245" s="383"/>
      <c r="P245" s="383"/>
      <c r="X245" s="485"/>
    </row>
    <row r="246">
      <c r="N246" s="383"/>
      <c r="P246" s="383"/>
      <c r="X246" s="485"/>
    </row>
    <row r="247">
      <c r="N247" s="383"/>
      <c r="P247" s="383"/>
      <c r="X247" s="485"/>
    </row>
    <row r="248">
      <c r="N248" s="383"/>
      <c r="P248" s="383"/>
      <c r="X248" s="485"/>
    </row>
    <row r="249">
      <c r="N249" s="383"/>
      <c r="P249" s="383"/>
      <c r="X249" s="485"/>
    </row>
    <row r="250">
      <c r="N250" s="383"/>
      <c r="P250" s="383"/>
      <c r="X250" s="485"/>
    </row>
    <row r="251">
      <c r="N251" s="383"/>
      <c r="P251" s="383"/>
      <c r="X251" s="485"/>
    </row>
    <row r="252">
      <c r="N252" s="383"/>
      <c r="P252" s="383"/>
      <c r="X252" s="485"/>
    </row>
    <row r="253">
      <c r="N253" s="383"/>
      <c r="P253" s="383"/>
      <c r="X253" s="485"/>
    </row>
    <row r="254">
      <c r="N254" s="383"/>
      <c r="P254" s="383"/>
      <c r="X254" s="485"/>
    </row>
    <row r="255">
      <c r="N255" s="383"/>
      <c r="P255" s="383"/>
      <c r="X255" s="485"/>
    </row>
    <row r="256">
      <c r="N256" s="383"/>
      <c r="P256" s="383"/>
      <c r="X256" s="485"/>
    </row>
    <row r="257">
      <c r="N257" s="383"/>
      <c r="P257" s="383"/>
      <c r="X257" s="485"/>
    </row>
    <row r="258">
      <c r="N258" s="383"/>
      <c r="P258" s="383"/>
      <c r="X258" s="485"/>
    </row>
    <row r="259">
      <c r="N259" s="383"/>
      <c r="P259" s="383"/>
      <c r="X259" s="485"/>
    </row>
    <row r="260">
      <c r="N260" s="383"/>
      <c r="P260" s="383"/>
      <c r="X260" s="485"/>
    </row>
    <row r="261">
      <c r="N261" s="383"/>
      <c r="P261" s="383"/>
      <c r="X261" s="485"/>
    </row>
    <row r="262">
      <c r="N262" s="383"/>
      <c r="P262" s="383"/>
      <c r="X262" s="485"/>
    </row>
    <row r="263">
      <c r="N263" s="383"/>
      <c r="P263" s="383"/>
      <c r="X263" s="485"/>
    </row>
    <row r="264">
      <c r="N264" s="383"/>
      <c r="P264" s="383"/>
      <c r="X264" s="485"/>
    </row>
    <row r="265">
      <c r="N265" s="383"/>
      <c r="P265" s="383"/>
      <c r="X265" s="485"/>
    </row>
    <row r="266">
      <c r="N266" s="383"/>
      <c r="P266" s="383"/>
      <c r="X266" s="485"/>
    </row>
    <row r="267">
      <c r="N267" s="383"/>
      <c r="P267" s="383"/>
      <c r="X267" s="485"/>
    </row>
    <row r="268">
      <c r="N268" s="383"/>
      <c r="P268" s="383"/>
      <c r="X268" s="485"/>
    </row>
    <row r="269">
      <c r="N269" s="383"/>
      <c r="P269" s="383"/>
      <c r="X269" s="485"/>
    </row>
    <row r="270">
      <c r="N270" s="383"/>
      <c r="P270" s="383"/>
      <c r="X270" s="485"/>
    </row>
    <row r="271">
      <c r="N271" s="383"/>
      <c r="P271" s="383"/>
      <c r="X271" s="485"/>
    </row>
    <row r="272">
      <c r="N272" s="383"/>
      <c r="P272" s="383"/>
      <c r="X272" s="485"/>
    </row>
    <row r="273">
      <c r="N273" s="383"/>
      <c r="P273" s="383"/>
      <c r="X273" s="485"/>
    </row>
    <row r="274">
      <c r="N274" s="383"/>
      <c r="P274" s="383"/>
      <c r="X274" s="485"/>
    </row>
    <row r="275">
      <c r="N275" s="383"/>
      <c r="P275" s="383"/>
      <c r="X275" s="485"/>
    </row>
    <row r="276">
      <c r="N276" s="383"/>
      <c r="P276" s="383"/>
      <c r="X276" s="485"/>
    </row>
    <row r="277">
      <c r="N277" s="383"/>
      <c r="P277" s="383"/>
      <c r="X277" s="485"/>
    </row>
    <row r="278">
      <c r="N278" s="383"/>
      <c r="P278" s="383"/>
      <c r="X278" s="485"/>
    </row>
    <row r="279">
      <c r="N279" s="383"/>
      <c r="P279" s="383"/>
      <c r="X279" s="485"/>
    </row>
    <row r="280">
      <c r="N280" s="383"/>
      <c r="P280" s="383"/>
      <c r="X280" s="485"/>
    </row>
    <row r="281">
      <c r="N281" s="383"/>
      <c r="P281" s="383"/>
      <c r="X281" s="485"/>
    </row>
    <row r="282">
      <c r="N282" s="383"/>
      <c r="P282" s="383"/>
      <c r="X282" s="485"/>
    </row>
    <row r="283">
      <c r="N283" s="383"/>
      <c r="P283" s="383"/>
      <c r="X283" s="485"/>
    </row>
    <row r="284">
      <c r="N284" s="383"/>
      <c r="P284" s="383"/>
      <c r="X284" s="485"/>
    </row>
    <row r="285">
      <c r="N285" s="383"/>
      <c r="P285" s="383"/>
      <c r="X285" s="485"/>
    </row>
    <row r="286">
      <c r="N286" s="383"/>
      <c r="P286" s="383"/>
      <c r="X286" s="485"/>
    </row>
    <row r="287">
      <c r="N287" s="383"/>
      <c r="P287" s="383"/>
      <c r="X287" s="485"/>
    </row>
    <row r="288">
      <c r="N288" s="383"/>
      <c r="P288" s="383"/>
      <c r="X288" s="485"/>
    </row>
    <row r="289">
      <c r="N289" s="383"/>
      <c r="P289" s="383"/>
      <c r="X289" s="485"/>
    </row>
    <row r="290">
      <c r="N290" s="383"/>
      <c r="P290" s="383"/>
      <c r="X290" s="485"/>
    </row>
    <row r="291">
      <c r="N291" s="383"/>
      <c r="P291" s="383"/>
      <c r="X291" s="485"/>
    </row>
    <row r="292">
      <c r="N292" s="383"/>
      <c r="P292" s="383"/>
      <c r="X292" s="485"/>
    </row>
    <row r="293">
      <c r="N293" s="383"/>
      <c r="P293" s="383"/>
      <c r="X293" s="485"/>
    </row>
    <row r="294">
      <c r="N294" s="383"/>
      <c r="P294" s="383"/>
      <c r="X294" s="485"/>
    </row>
    <row r="295">
      <c r="N295" s="383"/>
      <c r="P295" s="383"/>
      <c r="X295" s="485"/>
    </row>
    <row r="296">
      <c r="N296" s="383"/>
      <c r="P296" s="383"/>
      <c r="X296" s="485"/>
    </row>
    <row r="297">
      <c r="N297" s="383"/>
      <c r="P297" s="383"/>
      <c r="X297" s="485"/>
    </row>
    <row r="298">
      <c r="N298" s="383"/>
      <c r="P298" s="383"/>
      <c r="X298" s="485"/>
    </row>
    <row r="299">
      <c r="N299" s="383"/>
      <c r="P299" s="383"/>
      <c r="X299" s="485"/>
    </row>
    <row r="300">
      <c r="N300" s="383"/>
      <c r="P300" s="383"/>
      <c r="X300" s="485"/>
    </row>
    <row r="301">
      <c r="N301" s="383"/>
      <c r="P301" s="383"/>
      <c r="X301" s="485"/>
    </row>
    <row r="302">
      <c r="N302" s="383"/>
      <c r="P302" s="383"/>
      <c r="X302" s="485"/>
    </row>
    <row r="303">
      <c r="N303" s="383"/>
      <c r="P303" s="383"/>
      <c r="X303" s="485"/>
    </row>
    <row r="304">
      <c r="N304" s="383"/>
      <c r="P304" s="383"/>
      <c r="X304" s="485"/>
    </row>
    <row r="305">
      <c r="N305" s="383"/>
      <c r="P305" s="383"/>
      <c r="X305" s="485"/>
    </row>
    <row r="306">
      <c r="N306" s="383"/>
      <c r="P306" s="383"/>
      <c r="X306" s="485"/>
    </row>
    <row r="307">
      <c r="N307" s="383"/>
      <c r="P307" s="383"/>
      <c r="X307" s="485"/>
    </row>
    <row r="308">
      <c r="N308" s="383"/>
      <c r="P308" s="383"/>
      <c r="X308" s="485"/>
    </row>
    <row r="309">
      <c r="N309" s="383"/>
      <c r="P309" s="383"/>
      <c r="X309" s="485"/>
    </row>
    <row r="310">
      <c r="N310" s="383"/>
      <c r="P310" s="383"/>
      <c r="X310" s="485"/>
    </row>
    <row r="311">
      <c r="N311" s="383"/>
      <c r="P311" s="383"/>
      <c r="X311" s="485"/>
    </row>
    <row r="312">
      <c r="N312" s="383"/>
      <c r="P312" s="383"/>
      <c r="X312" s="485"/>
    </row>
    <row r="313">
      <c r="N313" s="383"/>
      <c r="P313" s="383"/>
      <c r="X313" s="485"/>
    </row>
    <row r="314">
      <c r="N314" s="383"/>
      <c r="P314" s="383"/>
      <c r="X314" s="485"/>
    </row>
    <row r="315">
      <c r="N315" s="383"/>
      <c r="P315" s="383"/>
      <c r="X315" s="485"/>
    </row>
    <row r="316">
      <c r="N316" s="383"/>
      <c r="P316" s="383"/>
      <c r="X316" s="485"/>
    </row>
    <row r="317">
      <c r="N317" s="383"/>
      <c r="P317" s="383"/>
      <c r="X317" s="485"/>
    </row>
    <row r="318">
      <c r="N318" s="383"/>
      <c r="P318" s="383"/>
      <c r="X318" s="485"/>
    </row>
    <row r="319">
      <c r="N319" s="383"/>
      <c r="P319" s="383"/>
      <c r="X319" s="485"/>
    </row>
    <row r="320">
      <c r="N320" s="383"/>
      <c r="P320" s="383"/>
      <c r="X320" s="485"/>
    </row>
    <row r="321">
      <c r="N321" s="383"/>
      <c r="P321" s="383"/>
      <c r="X321" s="485"/>
    </row>
    <row r="322">
      <c r="N322" s="383"/>
      <c r="P322" s="383"/>
      <c r="X322" s="485"/>
    </row>
    <row r="323">
      <c r="N323" s="383"/>
      <c r="P323" s="383"/>
      <c r="X323" s="485"/>
    </row>
    <row r="324">
      <c r="N324" s="383"/>
      <c r="P324" s="383"/>
      <c r="X324" s="485"/>
    </row>
    <row r="325">
      <c r="N325" s="383"/>
      <c r="P325" s="383"/>
      <c r="X325" s="485"/>
    </row>
    <row r="326">
      <c r="N326" s="383"/>
      <c r="P326" s="383"/>
      <c r="X326" s="485"/>
    </row>
    <row r="327">
      <c r="N327" s="383"/>
      <c r="P327" s="383"/>
      <c r="X327" s="485"/>
    </row>
    <row r="328">
      <c r="N328" s="383"/>
      <c r="P328" s="383"/>
      <c r="X328" s="485"/>
    </row>
    <row r="329">
      <c r="N329" s="383"/>
      <c r="P329" s="383"/>
      <c r="X329" s="485"/>
    </row>
    <row r="330">
      <c r="N330" s="383"/>
      <c r="P330" s="383"/>
      <c r="X330" s="485"/>
    </row>
    <row r="331">
      <c r="N331" s="383"/>
      <c r="P331" s="383"/>
      <c r="X331" s="485"/>
    </row>
    <row r="332">
      <c r="N332" s="383"/>
      <c r="P332" s="383"/>
      <c r="X332" s="485"/>
    </row>
    <row r="333">
      <c r="N333" s="383"/>
      <c r="P333" s="383"/>
      <c r="X333" s="485"/>
    </row>
    <row r="334">
      <c r="N334" s="383"/>
      <c r="P334" s="383"/>
      <c r="X334" s="485"/>
    </row>
    <row r="335">
      <c r="N335" s="383"/>
      <c r="P335" s="383"/>
      <c r="X335" s="485"/>
    </row>
    <row r="336">
      <c r="N336" s="383"/>
      <c r="P336" s="383"/>
      <c r="X336" s="485"/>
    </row>
    <row r="337">
      <c r="N337" s="383"/>
      <c r="P337" s="383"/>
      <c r="X337" s="485"/>
    </row>
    <row r="338">
      <c r="N338" s="383"/>
      <c r="P338" s="383"/>
      <c r="X338" s="485"/>
    </row>
    <row r="339">
      <c r="N339" s="383"/>
      <c r="P339" s="383"/>
      <c r="X339" s="485"/>
    </row>
    <row r="340">
      <c r="N340" s="383"/>
      <c r="P340" s="383"/>
      <c r="X340" s="485"/>
    </row>
    <row r="341">
      <c r="N341" s="383"/>
      <c r="P341" s="383"/>
      <c r="X341" s="485"/>
    </row>
    <row r="342">
      <c r="N342" s="383"/>
      <c r="P342" s="383"/>
      <c r="X342" s="485"/>
    </row>
    <row r="343">
      <c r="N343" s="383"/>
      <c r="P343" s="383"/>
      <c r="X343" s="485"/>
    </row>
    <row r="344">
      <c r="N344" s="383"/>
      <c r="P344" s="383"/>
      <c r="X344" s="485"/>
    </row>
    <row r="345">
      <c r="N345" s="383"/>
      <c r="P345" s="383"/>
      <c r="X345" s="485"/>
    </row>
    <row r="346">
      <c r="N346" s="383"/>
      <c r="P346" s="383"/>
      <c r="X346" s="485"/>
    </row>
    <row r="347">
      <c r="N347" s="383"/>
      <c r="P347" s="383"/>
      <c r="X347" s="485"/>
    </row>
    <row r="348">
      <c r="N348" s="383"/>
      <c r="P348" s="383"/>
      <c r="X348" s="485"/>
    </row>
    <row r="349">
      <c r="N349" s="383"/>
      <c r="P349" s="383"/>
      <c r="X349" s="485"/>
    </row>
    <row r="350">
      <c r="N350" s="383"/>
      <c r="P350" s="383"/>
      <c r="X350" s="485"/>
    </row>
    <row r="351">
      <c r="N351" s="383"/>
      <c r="P351" s="383"/>
      <c r="X351" s="485"/>
    </row>
    <row r="352">
      <c r="N352" s="383"/>
      <c r="P352" s="383"/>
      <c r="X352" s="485"/>
    </row>
    <row r="353">
      <c r="N353" s="383"/>
      <c r="P353" s="383"/>
      <c r="X353" s="485"/>
    </row>
    <row r="354">
      <c r="N354" s="383"/>
      <c r="P354" s="383"/>
      <c r="X354" s="485"/>
    </row>
    <row r="355">
      <c r="N355" s="383"/>
      <c r="P355" s="383"/>
      <c r="X355" s="485"/>
    </row>
    <row r="356">
      <c r="N356" s="383"/>
      <c r="P356" s="383"/>
      <c r="X356" s="485"/>
    </row>
    <row r="357">
      <c r="N357" s="383"/>
      <c r="P357" s="383"/>
      <c r="X357" s="485"/>
    </row>
    <row r="358">
      <c r="N358" s="383"/>
      <c r="P358" s="383"/>
      <c r="X358" s="485"/>
    </row>
    <row r="359">
      <c r="N359" s="383"/>
      <c r="P359" s="383"/>
      <c r="X359" s="485"/>
    </row>
    <row r="360">
      <c r="N360" s="383"/>
      <c r="P360" s="383"/>
      <c r="X360" s="485"/>
    </row>
    <row r="361">
      <c r="N361" s="383"/>
      <c r="P361" s="383"/>
      <c r="X361" s="485"/>
    </row>
    <row r="362">
      <c r="N362" s="383"/>
      <c r="P362" s="383"/>
      <c r="X362" s="485"/>
    </row>
    <row r="363">
      <c r="N363" s="383"/>
      <c r="P363" s="383"/>
      <c r="X363" s="485"/>
    </row>
    <row r="364">
      <c r="N364" s="383"/>
      <c r="P364" s="383"/>
      <c r="X364" s="485"/>
    </row>
    <row r="365">
      <c r="N365" s="383"/>
      <c r="P365" s="383"/>
      <c r="X365" s="485"/>
    </row>
    <row r="366">
      <c r="N366" s="383"/>
      <c r="P366" s="383"/>
      <c r="X366" s="485"/>
    </row>
    <row r="367">
      <c r="N367" s="383"/>
      <c r="P367" s="383"/>
      <c r="X367" s="485"/>
    </row>
    <row r="368">
      <c r="N368" s="383"/>
      <c r="P368" s="383"/>
      <c r="X368" s="485"/>
    </row>
    <row r="369">
      <c r="N369" s="383"/>
      <c r="P369" s="383"/>
      <c r="X369" s="485"/>
    </row>
    <row r="370">
      <c r="N370" s="383"/>
      <c r="P370" s="383"/>
      <c r="X370" s="485"/>
    </row>
    <row r="371">
      <c r="N371" s="383"/>
      <c r="P371" s="383"/>
      <c r="X371" s="485"/>
    </row>
    <row r="372">
      <c r="N372" s="383"/>
      <c r="P372" s="383"/>
      <c r="X372" s="485"/>
    </row>
    <row r="373">
      <c r="N373" s="383"/>
      <c r="P373" s="383"/>
      <c r="X373" s="485"/>
    </row>
    <row r="374">
      <c r="N374" s="383"/>
      <c r="P374" s="383"/>
      <c r="X374" s="485"/>
    </row>
    <row r="375">
      <c r="N375" s="383"/>
      <c r="P375" s="383"/>
      <c r="X375" s="485"/>
    </row>
    <row r="376">
      <c r="N376" s="383"/>
      <c r="P376" s="383"/>
      <c r="X376" s="485"/>
    </row>
    <row r="377">
      <c r="N377" s="383"/>
      <c r="P377" s="383"/>
      <c r="X377" s="485"/>
    </row>
    <row r="378">
      <c r="N378" s="383"/>
      <c r="P378" s="383"/>
      <c r="X378" s="485"/>
    </row>
    <row r="379">
      <c r="N379" s="383"/>
      <c r="P379" s="383"/>
      <c r="X379" s="485"/>
    </row>
    <row r="380">
      <c r="N380" s="383"/>
      <c r="P380" s="383"/>
      <c r="X380" s="485"/>
    </row>
    <row r="381">
      <c r="N381" s="383"/>
      <c r="P381" s="383"/>
      <c r="X381" s="485"/>
    </row>
    <row r="382">
      <c r="N382" s="383"/>
      <c r="P382" s="383"/>
      <c r="X382" s="485"/>
    </row>
    <row r="383">
      <c r="N383" s="383"/>
      <c r="P383" s="383"/>
      <c r="X383" s="485"/>
    </row>
    <row r="384">
      <c r="N384" s="383"/>
      <c r="P384" s="383"/>
      <c r="X384" s="485"/>
    </row>
    <row r="385">
      <c r="N385" s="383"/>
      <c r="P385" s="383"/>
      <c r="X385" s="485"/>
    </row>
    <row r="386">
      <c r="N386" s="383"/>
      <c r="P386" s="383"/>
      <c r="X386" s="485"/>
    </row>
    <row r="387">
      <c r="N387" s="383"/>
      <c r="P387" s="383"/>
      <c r="X387" s="485"/>
    </row>
    <row r="388">
      <c r="N388" s="383"/>
      <c r="P388" s="383"/>
      <c r="X388" s="485"/>
    </row>
    <row r="389">
      <c r="N389" s="383"/>
      <c r="P389" s="383"/>
      <c r="X389" s="485"/>
    </row>
    <row r="390">
      <c r="N390" s="383"/>
      <c r="P390" s="383"/>
      <c r="X390" s="485"/>
    </row>
    <row r="391">
      <c r="N391" s="383"/>
      <c r="P391" s="383"/>
      <c r="X391" s="485"/>
    </row>
    <row r="392">
      <c r="N392" s="383"/>
      <c r="P392" s="383"/>
      <c r="X392" s="485"/>
    </row>
    <row r="393">
      <c r="N393" s="383"/>
      <c r="P393" s="383"/>
      <c r="X393" s="485"/>
    </row>
    <row r="394">
      <c r="N394" s="383"/>
      <c r="P394" s="383"/>
      <c r="X394" s="485"/>
    </row>
    <row r="395">
      <c r="N395" s="383"/>
      <c r="P395" s="383"/>
      <c r="X395" s="485"/>
    </row>
    <row r="396">
      <c r="N396" s="383"/>
      <c r="P396" s="383"/>
      <c r="X396" s="485"/>
    </row>
    <row r="397">
      <c r="N397" s="383"/>
      <c r="P397" s="383"/>
      <c r="X397" s="485"/>
    </row>
    <row r="398">
      <c r="N398" s="383"/>
      <c r="P398" s="383"/>
      <c r="X398" s="485"/>
    </row>
    <row r="399">
      <c r="N399" s="383"/>
      <c r="P399" s="383"/>
      <c r="X399" s="485"/>
    </row>
    <row r="400">
      <c r="N400" s="383"/>
      <c r="P400" s="383"/>
      <c r="X400" s="485"/>
    </row>
    <row r="401">
      <c r="N401" s="383"/>
      <c r="P401" s="383"/>
      <c r="X401" s="485"/>
    </row>
    <row r="402">
      <c r="N402" s="383"/>
      <c r="P402" s="383"/>
      <c r="X402" s="485"/>
    </row>
    <row r="403">
      <c r="N403" s="383"/>
      <c r="P403" s="383"/>
      <c r="X403" s="485"/>
    </row>
    <row r="404">
      <c r="N404" s="383"/>
      <c r="P404" s="383"/>
      <c r="X404" s="485"/>
    </row>
    <row r="405">
      <c r="N405" s="383"/>
      <c r="P405" s="383"/>
      <c r="X405" s="485"/>
    </row>
    <row r="406">
      <c r="N406" s="383"/>
      <c r="P406" s="383"/>
      <c r="X406" s="485"/>
    </row>
    <row r="407">
      <c r="N407" s="383"/>
      <c r="P407" s="383"/>
      <c r="X407" s="485"/>
    </row>
    <row r="408">
      <c r="N408" s="383"/>
      <c r="P408" s="383"/>
      <c r="X408" s="485"/>
    </row>
    <row r="409">
      <c r="N409" s="383"/>
      <c r="P409" s="383"/>
      <c r="X409" s="485"/>
    </row>
    <row r="410">
      <c r="N410" s="383"/>
      <c r="P410" s="383"/>
      <c r="X410" s="485"/>
    </row>
    <row r="411">
      <c r="N411" s="383"/>
      <c r="P411" s="383"/>
      <c r="X411" s="485"/>
    </row>
    <row r="412">
      <c r="N412" s="383"/>
      <c r="P412" s="383"/>
      <c r="X412" s="485"/>
    </row>
    <row r="413">
      <c r="N413" s="383"/>
      <c r="P413" s="383"/>
      <c r="X413" s="485"/>
    </row>
    <row r="414">
      <c r="N414" s="383"/>
      <c r="P414" s="383"/>
      <c r="X414" s="485"/>
    </row>
    <row r="415">
      <c r="N415" s="383"/>
      <c r="P415" s="383"/>
      <c r="X415" s="485"/>
    </row>
    <row r="416">
      <c r="N416" s="383"/>
      <c r="P416" s="383"/>
      <c r="X416" s="485"/>
    </row>
    <row r="417">
      <c r="N417" s="383"/>
      <c r="P417" s="383"/>
      <c r="X417" s="485"/>
    </row>
    <row r="418">
      <c r="N418" s="383"/>
      <c r="P418" s="383"/>
      <c r="X418" s="485"/>
    </row>
    <row r="419">
      <c r="N419" s="383"/>
      <c r="P419" s="383"/>
      <c r="X419" s="485"/>
    </row>
    <row r="420">
      <c r="N420" s="383"/>
      <c r="P420" s="383"/>
      <c r="X420" s="485"/>
    </row>
    <row r="421">
      <c r="N421" s="383"/>
      <c r="P421" s="383"/>
      <c r="X421" s="485"/>
    </row>
    <row r="422">
      <c r="N422" s="383"/>
      <c r="P422" s="383"/>
      <c r="X422" s="485"/>
    </row>
    <row r="423">
      <c r="N423" s="383"/>
      <c r="P423" s="383"/>
      <c r="X423" s="485"/>
    </row>
    <row r="424">
      <c r="N424" s="383"/>
      <c r="P424" s="383"/>
      <c r="X424" s="485"/>
    </row>
    <row r="425">
      <c r="N425" s="383"/>
      <c r="P425" s="383"/>
      <c r="X425" s="485"/>
    </row>
    <row r="426">
      <c r="N426" s="383"/>
      <c r="P426" s="383"/>
      <c r="X426" s="485"/>
    </row>
    <row r="427">
      <c r="N427" s="383"/>
      <c r="P427" s="383"/>
      <c r="X427" s="485"/>
    </row>
    <row r="428">
      <c r="N428" s="383"/>
      <c r="P428" s="383"/>
      <c r="X428" s="485"/>
    </row>
    <row r="429">
      <c r="N429" s="383"/>
      <c r="P429" s="383"/>
      <c r="X429" s="485"/>
    </row>
    <row r="430">
      <c r="N430" s="383"/>
      <c r="P430" s="383"/>
      <c r="X430" s="485"/>
    </row>
    <row r="431">
      <c r="N431" s="383"/>
      <c r="P431" s="383"/>
      <c r="X431" s="485"/>
    </row>
    <row r="432">
      <c r="N432" s="383"/>
      <c r="P432" s="383"/>
      <c r="X432" s="485"/>
    </row>
    <row r="433">
      <c r="N433" s="383"/>
      <c r="P433" s="383"/>
      <c r="X433" s="485"/>
    </row>
    <row r="434">
      <c r="N434" s="383"/>
      <c r="P434" s="383"/>
      <c r="X434" s="485"/>
    </row>
    <row r="435">
      <c r="N435" s="383"/>
      <c r="P435" s="383"/>
      <c r="X435" s="485"/>
    </row>
    <row r="436">
      <c r="N436" s="383"/>
      <c r="P436" s="383"/>
      <c r="X436" s="485"/>
    </row>
    <row r="437">
      <c r="N437" s="383"/>
      <c r="P437" s="383"/>
      <c r="X437" s="485"/>
    </row>
    <row r="438">
      <c r="N438" s="383"/>
      <c r="P438" s="383"/>
      <c r="X438" s="485"/>
    </row>
    <row r="439">
      <c r="N439" s="383"/>
      <c r="P439" s="383"/>
      <c r="X439" s="485"/>
    </row>
    <row r="440">
      <c r="N440" s="383"/>
      <c r="P440" s="383"/>
      <c r="X440" s="485"/>
    </row>
    <row r="441">
      <c r="N441" s="383"/>
      <c r="P441" s="383"/>
      <c r="X441" s="485"/>
    </row>
    <row r="442">
      <c r="N442" s="383"/>
      <c r="P442" s="383"/>
      <c r="X442" s="485"/>
    </row>
    <row r="443">
      <c r="N443" s="383"/>
      <c r="P443" s="383"/>
      <c r="X443" s="485"/>
    </row>
    <row r="444">
      <c r="N444" s="383"/>
      <c r="P444" s="383"/>
      <c r="X444" s="485"/>
    </row>
    <row r="445">
      <c r="N445" s="383"/>
      <c r="P445" s="383"/>
      <c r="X445" s="485"/>
    </row>
    <row r="446">
      <c r="N446" s="383"/>
      <c r="P446" s="383"/>
      <c r="X446" s="485"/>
    </row>
    <row r="447">
      <c r="N447" s="383"/>
      <c r="P447" s="383"/>
      <c r="X447" s="485"/>
    </row>
    <row r="448">
      <c r="N448" s="383"/>
      <c r="P448" s="383"/>
      <c r="X448" s="485"/>
    </row>
    <row r="449">
      <c r="N449" s="383"/>
      <c r="P449" s="383"/>
      <c r="X449" s="485"/>
    </row>
    <row r="450">
      <c r="N450" s="383"/>
      <c r="P450" s="383"/>
      <c r="X450" s="485"/>
    </row>
    <row r="451">
      <c r="N451" s="383"/>
      <c r="P451" s="383"/>
      <c r="X451" s="485"/>
    </row>
    <row r="452">
      <c r="N452" s="383"/>
      <c r="P452" s="383"/>
      <c r="X452" s="485"/>
    </row>
    <row r="453">
      <c r="N453" s="383"/>
      <c r="P453" s="383"/>
      <c r="X453" s="485"/>
    </row>
    <row r="454">
      <c r="N454" s="383"/>
      <c r="P454" s="383"/>
      <c r="X454" s="485"/>
    </row>
    <row r="455">
      <c r="N455" s="383"/>
      <c r="P455" s="383"/>
      <c r="X455" s="485"/>
    </row>
    <row r="456">
      <c r="N456" s="383"/>
      <c r="P456" s="383"/>
      <c r="X456" s="485"/>
    </row>
    <row r="457">
      <c r="N457" s="383"/>
      <c r="P457" s="383"/>
      <c r="X457" s="485"/>
    </row>
    <row r="458">
      <c r="N458" s="383"/>
      <c r="P458" s="383"/>
      <c r="X458" s="485"/>
    </row>
    <row r="459">
      <c r="N459" s="383"/>
      <c r="P459" s="383"/>
      <c r="X459" s="485"/>
    </row>
    <row r="460">
      <c r="N460" s="383"/>
      <c r="P460" s="383"/>
      <c r="X460" s="485"/>
    </row>
    <row r="461">
      <c r="N461" s="383"/>
      <c r="P461" s="383"/>
      <c r="X461" s="485"/>
    </row>
    <row r="462">
      <c r="N462" s="383"/>
      <c r="P462" s="383"/>
      <c r="X462" s="485"/>
    </row>
    <row r="463">
      <c r="N463" s="383"/>
      <c r="P463" s="383"/>
      <c r="X463" s="485"/>
    </row>
    <row r="464">
      <c r="N464" s="383"/>
      <c r="P464" s="383"/>
      <c r="X464" s="485"/>
    </row>
    <row r="465">
      <c r="N465" s="383"/>
      <c r="P465" s="383"/>
      <c r="X465" s="485"/>
    </row>
    <row r="466">
      <c r="N466" s="383"/>
      <c r="P466" s="383"/>
      <c r="X466" s="485"/>
    </row>
    <row r="467">
      <c r="N467" s="383"/>
      <c r="P467" s="383"/>
      <c r="X467" s="485"/>
    </row>
    <row r="468">
      <c r="N468" s="383"/>
      <c r="P468" s="383"/>
      <c r="X468" s="485"/>
    </row>
    <row r="469">
      <c r="N469" s="383"/>
      <c r="P469" s="383"/>
      <c r="X469" s="485"/>
    </row>
    <row r="470">
      <c r="N470" s="383"/>
      <c r="P470" s="383"/>
      <c r="X470" s="485"/>
    </row>
    <row r="471">
      <c r="N471" s="383"/>
      <c r="P471" s="383"/>
      <c r="X471" s="485"/>
    </row>
    <row r="472">
      <c r="N472" s="383"/>
      <c r="P472" s="383"/>
      <c r="X472" s="485"/>
    </row>
    <row r="473">
      <c r="N473" s="383"/>
      <c r="P473" s="383"/>
      <c r="X473" s="485"/>
    </row>
    <row r="474">
      <c r="N474" s="383"/>
      <c r="P474" s="383"/>
      <c r="X474" s="485"/>
    </row>
    <row r="475">
      <c r="N475" s="383"/>
      <c r="P475" s="383"/>
      <c r="X475" s="485"/>
    </row>
    <row r="476">
      <c r="N476" s="383"/>
      <c r="P476" s="383"/>
      <c r="X476" s="485"/>
    </row>
    <row r="477">
      <c r="N477" s="383"/>
      <c r="P477" s="383"/>
      <c r="X477" s="485"/>
    </row>
    <row r="478">
      <c r="N478" s="383"/>
      <c r="P478" s="383"/>
      <c r="X478" s="485"/>
    </row>
    <row r="479">
      <c r="N479" s="383"/>
      <c r="P479" s="383"/>
      <c r="X479" s="485"/>
    </row>
    <row r="480">
      <c r="N480" s="383"/>
      <c r="P480" s="383"/>
      <c r="X480" s="485"/>
    </row>
    <row r="481">
      <c r="N481" s="383"/>
      <c r="P481" s="383"/>
      <c r="X481" s="485"/>
    </row>
    <row r="482">
      <c r="N482" s="383"/>
      <c r="P482" s="383"/>
      <c r="X482" s="485"/>
    </row>
    <row r="483">
      <c r="N483" s="383"/>
      <c r="P483" s="383"/>
      <c r="X483" s="485"/>
    </row>
    <row r="484">
      <c r="N484" s="383"/>
      <c r="P484" s="383"/>
      <c r="X484" s="485"/>
    </row>
    <row r="485">
      <c r="N485" s="383"/>
      <c r="P485" s="383"/>
      <c r="X485" s="485"/>
    </row>
    <row r="486">
      <c r="N486" s="383"/>
      <c r="P486" s="383"/>
      <c r="X486" s="485"/>
    </row>
    <row r="487">
      <c r="N487" s="383"/>
      <c r="P487" s="383"/>
      <c r="X487" s="485"/>
    </row>
    <row r="488">
      <c r="N488" s="383"/>
      <c r="P488" s="383"/>
      <c r="X488" s="485"/>
    </row>
    <row r="489">
      <c r="N489" s="383"/>
      <c r="P489" s="383"/>
      <c r="X489" s="485"/>
    </row>
    <row r="490">
      <c r="N490" s="383"/>
      <c r="P490" s="383"/>
      <c r="X490" s="485"/>
    </row>
    <row r="491">
      <c r="N491" s="383"/>
      <c r="P491" s="383"/>
      <c r="X491" s="485"/>
    </row>
    <row r="492">
      <c r="N492" s="383"/>
      <c r="P492" s="383"/>
      <c r="X492" s="485"/>
    </row>
    <row r="493">
      <c r="N493" s="383"/>
      <c r="P493" s="383"/>
      <c r="X493" s="485"/>
    </row>
    <row r="494">
      <c r="N494" s="383"/>
      <c r="P494" s="383"/>
      <c r="X494" s="485"/>
    </row>
    <row r="495">
      <c r="N495" s="383"/>
      <c r="P495" s="383"/>
      <c r="X495" s="485"/>
    </row>
    <row r="496">
      <c r="N496" s="383"/>
      <c r="P496" s="383"/>
      <c r="X496" s="485"/>
    </row>
    <row r="497">
      <c r="N497" s="383"/>
      <c r="P497" s="383"/>
      <c r="X497" s="485"/>
    </row>
    <row r="498">
      <c r="N498" s="383"/>
      <c r="P498" s="383"/>
      <c r="X498" s="485"/>
    </row>
    <row r="499">
      <c r="N499" s="383"/>
      <c r="P499" s="383"/>
      <c r="X499" s="485"/>
    </row>
    <row r="500">
      <c r="N500" s="383"/>
      <c r="P500" s="383"/>
      <c r="X500" s="485"/>
    </row>
    <row r="501">
      <c r="N501" s="383"/>
      <c r="P501" s="383"/>
      <c r="X501" s="485"/>
    </row>
    <row r="502">
      <c r="N502" s="383"/>
      <c r="P502" s="383"/>
      <c r="X502" s="485"/>
    </row>
    <row r="503">
      <c r="N503" s="383"/>
      <c r="P503" s="383"/>
      <c r="X503" s="485"/>
    </row>
    <row r="504">
      <c r="N504" s="383"/>
      <c r="P504" s="383"/>
      <c r="X504" s="485"/>
    </row>
    <row r="505">
      <c r="N505" s="383"/>
      <c r="P505" s="383"/>
      <c r="X505" s="485"/>
    </row>
    <row r="506">
      <c r="N506" s="383"/>
      <c r="P506" s="383"/>
      <c r="X506" s="485"/>
    </row>
    <row r="507">
      <c r="N507" s="383"/>
      <c r="P507" s="383"/>
      <c r="X507" s="485"/>
    </row>
    <row r="508">
      <c r="N508" s="383"/>
      <c r="P508" s="383"/>
      <c r="X508" s="485"/>
    </row>
    <row r="509">
      <c r="N509" s="383"/>
      <c r="P509" s="383"/>
      <c r="X509" s="485"/>
    </row>
    <row r="510">
      <c r="N510" s="383"/>
      <c r="P510" s="383"/>
      <c r="X510" s="485"/>
    </row>
    <row r="511">
      <c r="N511" s="383"/>
      <c r="P511" s="383"/>
      <c r="X511" s="485"/>
    </row>
    <row r="512">
      <c r="N512" s="383"/>
      <c r="P512" s="383"/>
      <c r="X512" s="485"/>
    </row>
    <row r="513">
      <c r="N513" s="383"/>
      <c r="P513" s="383"/>
      <c r="X513" s="485"/>
    </row>
    <row r="514">
      <c r="N514" s="383"/>
      <c r="P514" s="383"/>
      <c r="X514" s="485"/>
    </row>
    <row r="515">
      <c r="N515" s="383"/>
      <c r="P515" s="383"/>
      <c r="X515" s="485"/>
    </row>
    <row r="516">
      <c r="N516" s="383"/>
      <c r="P516" s="383"/>
      <c r="X516" s="485"/>
    </row>
    <row r="517">
      <c r="N517" s="383"/>
      <c r="P517" s="383"/>
      <c r="X517" s="485"/>
    </row>
    <row r="518">
      <c r="N518" s="383"/>
      <c r="P518" s="383"/>
      <c r="X518" s="485"/>
    </row>
    <row r="519">
      <c r="N519" s="383"/>
      <c r="P519" s="383"/>
      <c r="X519" s="485"/>
    </row>
    <row r="520">
      <c r="N520" s="383"/>
      <c r="P520" s="383"/>
      <c r="X520" s="485"/>
    </row>
    <row r="521">
      <c r="N521" s="383"/>
      <c r="P521" s="383"/>
      <c r="X521" s="485"/>
    </row>
    <row r="522">
      <c r="N522" s="383"/>
      <c r="P522" s="383"/>
      <c r="X522" s="485"/>
    </row>
    <row r="523">
      <c r="N523" s="383"/>
      <c r="P523" s="383"/>
      <c r="X523" s="485"/>
    </row>
    <row r="524">
      <c r="N524" s="383"/>
      <c r="P524" s="383"/>
      <c r="X524" s="485"/>
    </row>
    <row r="525">
      <c r="N525" s="383"/>
      <c r="P525" s="383"/>
      <c r="X525" s="485"/>
    </row>
    <row r="526">
      <c r="N526" s="383"/>
      <c r="P526" s="383"/>
      <c r="X526" s="485"/>
    </row>
    <row r="527">
      <c r="N527" s="383"/>
      <c r="P527" s="383"/>
      <c r="X527" s="485"/>
    </row>
    <row r="528">
      <c r="N528" s="383"/>
      <c r="P528" s="383"/>
      <c r="X528" s="485"/>
    </row>
    <row r="529">
      <c r="N529" s="383"/>
      <c r="P529" s="383"/>
      <c r="X529" s="485"/>
    </row>
    <row r="530">
      <c r="N530" s="383"/>
      <c r="P530" s="383"/>
      <c r="X530" s="485"/>
    </row>
    <row r="531">
      <c r="N531" s="383"/>
      <c r="P531" s="383"/>
      <c r="X531" s="485"/>
    </row>
    <row r="532">
      <c r="N532" s="383"/>
      <c r="P532" s="383"/>
      <c r="X532" s="485"/>
    </row>
    <row r="533">
      <c r="N533" s="383"/>
      <c r="P533" s="383"/>
      <c r="X533" s="485"/>
    </row>
    <row r="534">
      <c r="N534" s="383"/>
      <c r="P534" s="383"/>
      <c r="X534" s="485"/>
    </row>
    <row r="535">
      <c r="N535" s="383"/>
      <c r="P535" s="383"/>
      <c r="X535" s="485"/>
    </row>
    <row r="536">
      <c r="N536" s="383"/>
      <c r="P536" s="383"/>
      <c r="X536" s="485"/>
    </row>
    <row r="537">
      <c r="N537" s="383"/>
      <c r="P537" s="383"/>
      <c r="X537" s="485"/>
    </row>
    <row r="538">
      <c r="N538" s="383"/>
      <c r="P538" s="383"/>
      <c r="X538" s="485"/>
    </row>
    <row r="539">
      <c r="N539" s="383"/>
      <c r="P539" s="383"/>
      <c r="X539" s="485"/>
    </row>
    <row r="540">
      <c r="N540" s="383"/>
      <c r="P540" s="383"/>
      <c r="X540" s="485"/>
    </row>
    <row r="541">
      <c r="N541" s="383"/>
      <c r="P541" s="383"/>
      <c r="X541" s="485"/>
    </row>
    <row r="542">
      <c r="N542" s="383"/>
      <c r="P542" s="383"/>
      <c r="X542" s="485"/>
    </row>
    <row r="543">
      <c r="N543" s="383"/>
      <c r="P543" s="383"/>
      <c r="X543" s="485"/>
    </row>
    <row r="544">
      <c r="N544" s="383"/>
      <c r="P544" s="383"/>
      <c r="X544" s="485"/>
    </row>
    <row r="545">
      <c r="N545" s="383"/>
      <c r="P545" s="383"/>
      <c r="X545" s="485"/>
    </row>
    <row r="546">
      <c r="N546" s="383"/>
      <c r="P546" s="383"/>
      <c r="X546" s="485"/>
    </row>
    <row r="547">
      <c r="N547" s="383"/>
      <c r="P547" s="383"/>
      <c r="X547" s="485"/>
    </row>
    <row r="548">
      <c r="N548" s="383"/>
      <c r="P548" s="383"/>
      <c r="X548" s="485"/>
    </row>
    <row r="549">
      <c r="N549" s="383"/>
      <c r="P549" s="383"/>
      <c r="X549" s="485"/>
    </row>
    <row r="550">
      <c r="N550" s="383"/>
      <c r="P550" s="383"/>
      <c r="X550" s="485"/>
    </row>
    <row r="551">
      <c r="N551" s="383"/>
      <c r="P551" s="383"/>
      <c r="X551" s="485"/>
    </row>
    <row r="552">
      <c r="N552" s="383"/>
      <c r="P552" s="383"/>
      <c r="X552" s="485"/>
    </row>
    <row r="553">
      <c r="N553" s="383"/>
      <c r="P553" s="383"/>
      <c r="X553" s="485"/>
    </row>
    <row r="554">
      <c r="N554" s="383"/>
      <c r="P554" s="383"/>
      <c r="X554" s="485"/>
    </row>
    <row r="555">
      <c r="N555" s="383"/>
      <c r="P555" s="383"/>
      <c r="X555" s="485"/>
    </row>
    <row r="556">
      <c r="N556" s="383"/>
      <c r="P556" s="383"/>
      <c r="X556" s="485"/>
    </row>
    <row r="557">
      <c r="N557" s="383"/>
      <c r="P557" s="383"/>
      <c r="X557" s="485"/>
    </row>
    <row r="558">
      <c r="N558" s="383"/>
      <c r="P558" s="383"/>
      <c r="X558" s="485"/>
    </row>
    <row r="559">
      <c r="N559" s="383"/>
      <c r="P559" s="383"/>
      <c r="X559" s="485"/>
    </row>
    <row r="560">
      <c r="N560" s="383"/>
      <c r="P560" s="383"/>
      <c r="X560" s="485"/>
    </row>
    <row r="561">
      <c r="N561" s="383"/>
      <c r="P561" s="383"/>
      <c r="X561" s="485"/>
    </row>
    <row r="562">
      <c r="N562" s="383"/>
      <c r="P562" s="383"/>
      <c r="X562" s="485"/>
    </row>
    <row r="563">
      <c r="N563" s="383"/>
      <c r="P563" s="383"/>
      <c r="X563" s="485"/>
    </row>
    <row r="564">
      <c r="N564" s="383"/>
      <c r="P564" s="383"/>
      <c r="X564" s="485"/>
    </row>
    <row r="565">
      <c r="N565" s="383"/>
      <c r="P565" s="383"/>
      <c r="X565" s="485"/>
    </row>
    <row r="566">
      <c r="N566" s="383"/>
      <c r="P566" s="383"/>
      <c r="X566" s="485"/>
    </row>
    <row r="567">
      <c r="N567" s="383"/>
      <c r="P567" s="383"/>
      <c r="X567" s="485"/>
    </row>
    <row r="568">
      <c r="N568" s="383"/>
      <c r="P568" s="383"/>
      <c r="X568" s="485"/>
    </row>
    <row r="569">
      <c r="N569" s="383"/>
      <c r="P569" s="383"/>
      <c r="X569" s="485"/>
    </row>
    <row r="570">
      <c r="N570" s="383"/>
      <c r="P570" s="383"/>
      <c r="X570" s="485"/>
    </row>
    <row r="571">
      <c r="N571" s="383"/>
      <c r="P571" s="383"/>
      <c r="X571" s="485"/>
    </row>
    <row r="572">
      <c r="N572" s="383"/>
      <c r="P572" s="383"/>
      <c r="X572" s="485"/>
    </row>
    <row r="573">
      <c r="N573" s="383"/>
      <c r="P573" s="383"/>
      <c r="X573" s="485"/>
    </row>
    <row r="574">
      <c r="N574" s="383"/>
      <c r="P574" s="383"/>
      <c r="X574" s="485"/>
    </row>
    <row r="575">
      <c r="N575" s="383"/>
      <c r="P575" s="383"/>
      <c r="X575" s="485"/>
    </row>
    <row r="576">
      <c r="N576" s="383"/>
      <c r="P576" s="383"/>
      <c r="X576" s="485"/>
    </row>
    <row r="577">
      <c r="N577" s="383"/>
      <c r="P577" s="383"/>
      <c r="X577" s="485"/>
    </row>
    <row r="578">
      <c r="N578" s="383"/>
      <c r="P578" s="383"/>
      <c r="X578" s="485"/>
    </row>
    <row r="579">
      <c r="N579" s="383"/>
      <c r="P579" s="383"/>
      <c r="X579" s="485"/>
    </row>
    <row r="580">
      <c r="N580" s="383"/>
      <c r="P580" s="383"/>
      <c r="X580" s="485"/>
    </row>
    <row r="581">
      <c r="N581" s="383"/>
      <c r="P581" s="383"/>
      <c r="X581" s="485"/>
    </row>
    <row r="582">
      <c r="N582" s="383"/>
      <c r="P582" s="383"/>
      <c r="X582" s="485"/>
    </row>
    <row r="583">
      <c r="N583" s="383"/>
      <c r="P583" s="383"/>
      <c r="X583" s="485"/>
    </row>
    <row r="584">
      <c r="N584" s="383"/>
      <c r="P584" s="383"/>
      <c r="X584" s="485"/>
    </row>
    <row r="585">
      <c r="N585" s="383"/>
      <c r="P585" s="383"/>
      <c r="X585" s="485"/>
    </row>
    <row r="586">
      <c r="N586" s="383"/>
      <c r="P586" s="383"/>
      <c r="X586" s="485"/>
    </row>
    <row r="587">
      <c r="N587" s="383"/>
      <c r="P587" s="383"/>
      <c r="X587" s="485"/>
    </row>
    <row r="588">
      <c r="N588" s="383"/>
      <c r="P588" s="383"/>
      <c r="X588" s="485"/>
    </row>
    <row r="589">
      <c r="N589" s="383"/>
      <c r="P589" s="383"/>
      <c r="X589" s="485"/>
    </row>
    <row r="590">
      <c r="N590" s="383"/>
      <c r="P590" s="383"/>
      <c r="X590" s="485"/>
    </row>
    <row r="591">
      <c r="N591" s="383"/>
      <c r="P591" s="383"/>
      <c r="X591" s="485"/>
    </row>
    <row r="592">
      <c r="N592" s="383"/>
      <c r="P592" s="383"/>
      <c r="X592" s="485"/>
    </row>
    <row r="593">
      <c r="N593" s="383"/>
      <c r="P593" s="383"/>
      <c r="X593" s="485"/>
    </row>
    <row r="594">
      <c r="N594" s="383"/>
      <c r="P594" s="383"/>
      <c r="X594" s="485"/>
    </row>
    <row r="595">
      <c r="N595" s="383"/>
      <c r="P595" s="383"/>
      <c r="X595" s="485"/>
    </row>
    <row r="596">
      <c r="N596" s="383"/>
      <c r="P596" s="383"/>
      <c r="X596" s="485"/>
    </row>
    <row r="597">
      <c r="N597" s="383"/>
      <c r="P597" s="383"/>
      <c r="X597" s="485"/>
    </row>
    <row r="598">
      <c r="N598" s="383"/>
      <c r="P598" s="383"/>
      <c r="X598" s="485"/>
    </row>
    <row r="599">
      <c r="N599" s="383"/>
      <c r="P599" s="383"/>
      <c r="X599" s="485"/>
    </row>
    <row r="600">
      <c r="N600" s="383"/>
      <c r="P600" s="383"/>
      <c r="X600" s="485"/>
    </row>
    <row r="601">
      <c r="N601" s="383"/>
      <c r="P601" s="383"/>
      <c r="X601" s="485"/>
    </row>
    <row r="602">
      <c r="N602" s="383"/>
      <c r="P602" s="383"/>
      <c r="X602" s="485"/>
    </row>
    <row r="603">
      <c r="N603" s="383"/>
      <c r="P603" s="383"/>
      <c r="X603" s="485"/>
    </row>
    <row r="604">
      <c r="N604" s="383"/>
      <c r="P604" s="383"/>
      <c r="X604" s="485"/>
    </row>
    <row r="605">
      <c r="N605" s="383"/>
      <c r="P605" s="383"/>
      <c r="X605" s="485"/>
    </row>
    <row r="606">
      <c r="N606" s="383"/>
      <c r="P606" s="383"/>
      <c r="X606" s="485"/>
    </row>
    <row r="607">
      <c r="N607" s="383"/>
      <c r="P607" s="383"/>
      <c r="X607" s="485"/>
    </row>
    <row r="608">
      <c r="N608" s="383"/>
      <c r="P608" s="383"/>
      <c r="X608" s="485"/>
    </row>
    <row r="609">
      <c r="N609" s="383"/>
      <c r="P609" s="383"/>
      <c r="X609" s="485"/>
    </row>
    <row r="610">
      <c r="N610" s="383"/>
      <c r="P610" s="383"/>
      <c r="X610" s="485"/>
    </row>
    <row r="611">
      <c r="N611" s="383"/>
      <c r="P611" s="383"/>
      <c r="X611" s="485"/>
    </row>
    <row r="612">
      <c r="N612" s="383"/>
      <c r="P612" s="383"/>
      <c r="X612" s="485"/>
    </row>
    <row r="613">
      <c r="N613" s="383"/>
      <c r="P613" s="383"/>
      <c r="X613" s="485"/>
    </row>
    <row r="614">
      <c r="N614" s="383"/>
      <c r="P614" s="383"/>
      <c r="X614" s="485"/>
    </row>
    <row r="615">
      <c r="N615" s="383"/>
      <c r="P615" s="383"/>
      <c r="X615" s="485"/>
    </row>
    <row r="616">
      <c r="N616" s="383"/>
      <c r="P616" s="383"/>
      <c r="X616" s="485"/>
    </row>
    <row r="617">
      <c r="N617" s="383"/>
      <c r="P617" s="383"/>
      <c r="X617" s="485"/>
    </row>
    <row r="618">
      <c r="N618" s="383"/>
      <c r="P618" s="383"/>
      <c r="X618" s="485"/>
    </row>
    <row r="619">
      <c r="N619" s="383"/>
      <c r="P619" s="383"/>
      <c r="X619" s="485"/>
    </row>
    <row r="620">
      <c r="N620" s="383"/>
      <c r="P620" s="383"/>
      <c r="X620" s="485"/>
    </row>
    <row r="621">
      <c r="N621" s="383"/>
      <c r="P621" s="383"/>
      <c r="X621" s="485"/>
    </row>
    <row r="622">
      <c r="N622" s="383"/>
      <c r="P622" s="383"/>
      <c r="X622" s="485"/>
    </row>
    <row r="623">
      <c r="N623" s="383"/>
      <c r="P623" s="383"/>
      <c r="X623" s="485"/>
    </row>
    <row r="624">
      <c r="N624" s="383"/>
      <c r="P624" s="383"/>
      <c r="X624" s="485"/>
    </row>
    <row r="625">
      <c r="N625" s="383"/>
      <c r="P625" s="383"/>
      <c r="X625" s="485"/>
    </row>
    <row r="626">
      <c r="N626" s="383"/>
      <c r="P626" s="383"/>
      <c r="X626" s="485"/>
    </row>
    <row r="627">
      <c r="N627" s="383"/>
      <c r="P627" s="383"/>
      <c r="X627" s="485"/>
    </row>
    <row r="628">
      <c r="N628" s="383"/>
      <c r="P628" s="383"/>
      <c r="X628" s="485"/>
    </row>
    <row r="629">
      <c r="N629" s="383"/>
      <c r="P629" s="383"/>
      <c r="X629" s="485"/>
    </row>
    <row r="630">
      <c r="N630" s="383"/>
      <c r="P630" s="383"/>
      <c r="X630" s="485"/>
    </row>
    <row r="631">
      <c r="N631" s="383"/>
      <c r="P631" s="383"/>
      <c r="X631" s="485"/>
    </row>
    <row r="632">
      <c r="N632" s="383"/>
      <c r="P632" s="383"/>
      <c r="X632" s="485"/>
    </row>
    <row r="633">
      <c r="N633" s="383"/>
      <c r="P633" s="383"/>
      <c r="X633" s="485"/>
    </row>
    <row r="634">
      <c r="N634" s="383"/>
      <c r="P634" s="383"/>
      <c r="X634" s="485"/>
    </row>
    <row r="635">
      <c r="N635" s="383"/>
      <c r="P635" s="383"/>
      <c r="X635" s="485"/>
    </row>
    <row r="636">
      <c r="N636" s="383"/>
      <c r="P636" s="383"/>
      <c r="X636" s="485"/>
    </row>
    <row r="637">
      <c r="N637" s="383"/>
      <c r="P637" s="383"/>
      <c r="X637" s="485"/>
    </row>
    <row r="638">
      <c r="N638" s="383"/>
      <c r="P638" s="383"/>
      <c r="X638" s="485"/>
    </row>
    <row r="639">
      <c r="N639" s="383"/>
      <c r="P639" s="383"/>
      <c r="X639" s="485"/>
    </row>
    <row r="640">
      <c r="N640" s="383"/>
      <c r="P640" s="383"/>
      <c r="X640" s="485"/>
    </row>
    <row r="641">
      <c r="N641" s="383"/>
      <c r="P641" s="383"/>
      <c r="X641" s="485"/>
    </row>
    <row r="642">
      <c r="N642" s="383"/>
      <c r="P642" s="383"/>
      <c r="X642" s="485"/>
    </row>
    <row r="643">
      <c r="N643" s="383"/>
      <c r="P643" s="383"/>
      <c r="X643" s="485"/>
    </row>
    <row r="644">
      <c r="N644" s="383"/>
      <c r="P644" s="383"/>
      <c r="X644" s="485"/>
    </row>
    <row r="645">
      <c r="N645" s="383"/>
      <c r="P645" s="383"/>
      <c r="X645" s="485"/>
    </row>
    <row r="646">
      <c r="N646" s="383"/>
      <c r="P646" s="383"/>
      <c r="X646" s="485"/>
    </row>
    <row r="647">
      <c r="N647" s="383"/>
      <c r="P647" s="383"/>
      <c r="X647" s="485"/>
    </row>
    <row r="648">
      <c r="N648" s="383"/>
      <c r="P648" s="383"/>
      <c r="X648" s="485"/>
    </row>
    <row r="649">
      <c r="N649" s="383"/>
      <c r="P649" s="383"/>
      <c r="X649" s="485"/>
    </row>
    <row r="650">
      <c r="N650" s="383"/>
      <c r="P650" s="383"/>
      <c r="X650" s="485"/>
    </row>
    <row r="651">
      <c r="N651" s="383"/>
      <c r="P651" s="383"/>
      <c r="X651" s="485"/>
    </row>
    <row r="652">
      <c r="N652" s="383"/>
      <c r="P652" s="383"/>
      <c r="X652" s="485"/>
    </row>
    <row r="653">
      <c r="N653" s="383"/>
      <c r="P653" s="383"/>
      <c r="X653" s="485"/>
    </row>
    <row r="654">
      <c r="N654" s="383"/>
      <c r="P654" s="383"/>
      <c r="X654" s="485"/>
    </row>
    <row r="655">
      <c r="N655" s="383"/>
      <c r="P655" s="383"/>
      <c r="X655" s="485"/>
    </row>
    <row r="656">
      <c r="N656" s="383"/>
      <c r="P656" s="383"/>
      <c r="X656" s="485"/>
    </row>
    <row r="657">
      <c r="N657" s="383"/>
      <c r="P657" s="383"/>
      <c r="X657" s="485"/>
    </row>
    <row r="658">
      <c r="N658" s="383"/>
      <c r="P658" s="383"/>
      <c r="X658" s="485"/>
    </row>
    <row r="659">
      <c r="N659" s="383"/>
      <c r="P659" s="383"/>
      <c r="X659" s="485"/>
    </row>
    <row r="660">
      <c r="N660" s="383"/>
      <c r="P660" s="383"/>
      <c r="X660" s="485"/>
    </row>
    <row r="661">
      <c r="N661" s="383"/>
      <c r="P661" s="383"/>
      <c r="X661" s="485"/>
    </row>
    <row r="662">
      <c r="N662" s="383"/>
      <c r="P662" s="383"/>
      <c r="X662" s="485"/>
    </row>
    <row r="663">
      <c r="N663" s="383"/>
      <c r="P663" s="383"/>
      <c r="X663" s="485"/>
    </row>
    <row r="664">
      <c r="N664" s="383"/>
      <c r="P664" s="383"/>
      <c r="X664" s="485"/>
    </row>
    <row r="665">
      <c r="N665" s="383"/>
      <c r="P665" s="383"/>
      <c r="X665" s="485"/>
    </row>
    <row r="666">
      <c r="N666" s="383"/>
      <c r="P666" s="383"/>
      <c r="X666" s="485"/>
    </row>
    <row r="667">
      <c r="N667" s="383"/>
      <c r="P667" s="383"/>
      <c r="X667" s="485"/>
    </row>
    <row r="668">
      <c r="N668" s="383"/>
      <c r="P668" s="383"/>
      <c r="X668" s="485"/>
    </row>
    <row r="669">
      <c r="N669" s="383"/>
      <c r="P669" s="383"/>
      <c r="X669" s="485"/>
    </row>
    <row r="670">
      <c r="N670" s="383"/>
      <c r="P670" s="383"/>
      <c r="X670" s="485"/>
    </row>
    <row r="671">
      <c r="N671" s="383"/>
      <c r="P671" s="383"/>
      <c r="X671" s="485"/>
    </row>
    <row r="672">
      <c r="N672" s="383"/>
      <c r="P672" s="383"/>
      <c r="X672" s="485"/>
    </row>
    <row r="673">
      <c r="N673" s="383"/>
      <c r="P673" s="383"/>
      <c r="X673" s="485"/>
    </row>
    <row r="674">
      <c r="N674" s="383"/>
      <c r="P674" s="383"/>
      <c r="X674" s="485"/>
    </row>
    <row r="675">
      <c r="N675" s="383"/>
      <c r="P675" s="383"/>
      <c r="X675" s="485"/>
    </row>
    <row r="676">
      <c r="N676" s="383"/>
      <c r="P676" s="383"/>
      <c r="X676" s="485"/>
    </row>
    <row r="677">
      <c r="N677" s="383"/>
      <c r="P677" s="383"/>
      <c r="X677" s="485"/>
    </row>
    <row r="678">
      <c r="N678" s="383"/>
      <c r="P678" s="383"/>
      <c r="X678" s="485"/>
    </row>
    <row r="679">
      <c r="N679" s="383"/>
      <c r="P679" s="383"/>
      <c r="X679" s="485"/>
    </row>
    <row r="680">
      <c r="N680" s="383"/>
      <c r="P680" s="383"/>
      <c r="X680" s="485"/>
    </row>
    <row r="681">
      <c r="N681" s="383"/>
      <c r="P681" s="383"/>
      <c r="X681" s="485"/>
    </row>
    <row r="682">
      <c r="N682" s="383"/>
      <c r="P682" s="383"/>
      <c r="X682" s="485"/>
    </row>
    <row r="683">
      <c r="N683" s="383"/>
      <c r="P683" s="383"/>
      <c r="X683" s="485"/>
    </row>
    <row r="684">
      <c r="N684" s="383"/>
      <c r="P684" s="383"/>
      <c r="X684" s="485"/>
    </row>
    <row r="685">
      <c r="N685" s="383"/>
      <c r="P685" s="383"/>
      <c r="X685" s="485"/>
    </row>
    <row r="686">
      <c r="N686" s="383"/>
      <c r="P686" s="383"/>
      <c r="X686" s="485"/>
    </row>
    <row r="687">
      <c r="N687" s="383"/>
      <c r="P687" s="383"/>
      <c r="X687" s="485"/>
    </row>
    <row r="688">
      <c r="N688" s="383"/>
      <c r="P688" s="383"/>
      <c r="X688" s="485"/>
    </row>
    <row r="689">
      <c r="N689" s="383"/>
      <c r="P689" s="383"/>
      <c r="X689" s="485"/>
    </row>
    <row r="690">
      <c r="N690" s="383"/>
      <c r="P690" s="383"/>
      <c r="X690" s="485"/>
    </row>
    <row r="691">
      <c r="N691" s="383"/>
      <c r="P691" s="383"/>
      <c r="X691" s="485"/>
    </row>
    <row r="692">
      <c r="N692" s="383"/>
      <c r="P692" s="383"/>
      <c r="X692" s="485"/>
    </row>
    <row r="693">
      <c r="N693" s="383"/>
      <c r="P693" s="383"/>
      <c r="X693" s="485"/>
    </row>
    <row r="694">
      <c r="N694" s="383"/>
      <c r="P694" s="383"/>
      <c r="X694" s="485"/>
    </row>
    <row r="695">
      <c r="N695" s="383"/>
      <c r="P695" s="383"/>
      <c r="X695" s="485"/>
    </row>
    <row r="696">
      <c r="N696" s="383"/>
      <c r="P696" s="383"/>
      <c r="X696" s="485"/>
    </row>
    <row r="697">
      <c r="N697" s="383"/>
      <c r="P697" s="383"/>
      <c r="X697" s="485"/>
    </row>
    <row r="698">
      <c r="N698" s="383"/>
      <c r="P698" s="383"/>
      <c r="X698" s="485"/>
    </row>
    <row r="699">
      <c r="N699" s="383"/>
      <c r="P699" s="383"/>
      <c r="X699" s="485"/>
    </row>
    <row r="700">
      <c r="N700" s="383"/>
      <c r="P700" s="383"/>
      <c r="X700" s="485"/>
    </row>
    <row r="701">
      <c r="N701" s="383"/>
      <c r="P701" s="383"/>
      <c r="X701" s="485"/>
    </row>
    <row r="702">
      <c r="N702" s="383"/>
      <c r="P702" s="383"/>
      <c r="X702" s="485"/>
    </row>
    <row r="703">
      <c r="N703" s="383"/>
      <c r="P703" s="383"/>
      <c r="X703" s="485"/>
    </row>
    <row r="704">
      <c r="N704" s="383"/>
      <c r="P704" s="383"/>
      <c r="X704" s="485"/>
    </row>
    <row r="705">
      <c r="N705" s="383"/>
      <c r="P705" s="383"/>
      <c r="X705" s="485"/>
    </row>
    <row r="706">
      <c r="N706" s="383"/>
      <c r="P706" s="383"/>
      <c r="X706" s="485"/>
    </row>
    <row r="707">
      <c r="N707" s="383"/>
      <c r="P707" s="383"/>
      <c r="X707" s="485"/>
    </row>
    <row r="708">
      <c r="N708" s="383"/>
      <c r="P708" s="383"/>
      <c r="X708" s="485"/>
    </row>
    <row r="709">
      <c r="N709" s="383"/>
      <c r="P709" s="383"/>
      <c r="X709" s="485"/>
    </row>
    <row r="710">
      <c r="N710" s="383"/>
      <c r="P710" s="383"/>
      <c r="X710" s="485"/>
    </row>
    <row r="711">
      <c r="N711" s="383"/>
      <c r="P711" s="383"/>
      <c r="X711" s="485"/>
    </row>
    <row r="712">
      <c r="N712" s="383"/>
      <c r="P712" s="383"/>
      <c r="X712" s="485"/>
    </row>
    <row r="713">
      <c r="N713" s="383"/>
      <c r="P713" s="383"/>
      <c r="X713" s="485"/>
    </row>
    <row r="714">
      <c r="N714" s="383"/>
      <c r="P714" s="383"/>
      <c r="X714" s="485"/>
    </row>
    <row r="715">
      <c r="N715" s="383"/>
      <c r="P715" s="383"/>
      <c r="X715" s="485"/>
    </row>
    <row r="716">
      <c r="N716" s="383"/>
      <c r="P716" s="383"/>
      <c r="X716" s="485"/>
    </row>
    <row r="717">
      <c r="N717" s="383"/>
      <c r="P717" s="383"/>
      <c r="X717" s="485"/>
    </row>
    <row r="718">
      <c r="N718" s="383"/>
      <c r="P718" s="383"/>
      <c r="X718" s="485"/>
    </row>
    <row r="719">
      <c r="N719" s="383"/>
      <c r="P719" s="383"/>
      <c r="X719" s="485"/>
    </row>
    <row r="720">
      <c r="N720" s="383"/>
      <c r="P720" s="383"/>
      <c r="X720" s="485"/>
    </row>
    <row r="721">
      <c r="N721" s="383"/>
      <c r="P721" s="383"/>
      <c r="X721" s="485"/>
    </row>
    <row r="722">
      <c r="N722" s="383"/>
      <c r="P722" s="383"/>
      <c r="X722" s="485"/>
    </row>
    <row r="723">
      <c r="N723" s="383"/>
      <c r="P723" s="383"/>
      <c r="X723" s="485"/>
    </row>
    <row r="724">
      <c r="N724" s="383"/>
      <c r="P724" s="383"/>
      <c r="X724" s="485"/>
    </row>
    <row r="725">
      <c r="N725" s="383"/>
      <c r="P725" s="383"/>
      <c r="X725" s="485"/>
    </row>
    <row r="726">
      <c r="N726" s="383"/>
      <c r="P726" s="383"/>
      <c r="X726" s="485"/>
    </row>
    <row r="727">
      <c r="N727" s="383"/>
      <c r="P727" s="383"/>
      <c r="X727" s="485"/>
    </row>
    <row r="728">
      <c r="N728" s="383"/>
      <c r="P728" s="383"/>
      <c r="X728" s="485"/>
    </row>
    <row r="729">
      <c r="N729" s="383"/>
      <c r="P729" s="383"/>
      <c r="X729" s="485"/>
    </row>
    <row r="730">
      <c r="N730" s="383"/>
      <c r="P730" s="383"/>
      <c r="X730" s="485"/>
    </row>
    <row r="731">
      <c r="N731" s="383"/>
      <c r="P731" s="383"/>
      <c r="X731" s="485"/>
    </row>
    <row r="732">
      <c r="N732" s="383"/>
      <c r="P732" s="383"/>
      <c r="X732" s="485"/>
    </row>
    <row r="733">
      <c r="N733" s="383"/>
      <c r="P733" s="383"/>
      <c r="X733" s="485"/>
    </row>
    <row r="734">
      <c r="N734" s="383"/>
      <c r="P734" s="383"/>
      <c r="X734" s="485"/>
    </row>
    <row r="735">
      <c r="N735" s="383"/>
      <c r="P735" s="383"/>
      <c r="X735" s="485"/>
    </row>
    <row r="736">
      <c r="N736" s="383"/>
      <c r="P736" s="383"/>
      <c r="X736" s="485"/>
    </row>
    <row r="737">
      <c r="N737" s="383"/>
      <c r="P737" s="383"/>
      <c r="X737" s="485"/>
    </row>
    <row r="738">
      <c r="N738" s="383"/>
      <c r="P738" s="383"/>
      <c r="X738" s="485"/>
    </row>
    <row r="739">
      <c r="N739" s="383"/>
      <c r="P739" s="383"/>
      <c r="X739" s="485"/>
    </row>
    <row r="740">
      <c r="N740" s="383"/>
      <c r="P740" s="383"/>
      <c r="X740" s="485"/>
    </row>
    <row r="741">
      <c r="N741" s="383"/>
      <c r="P741" s="383"/>
      <c r="X741" s="485"/>
    </row>
    <row r="742">
      <c r="N742" s="383"/>
      <c r="P742" s="383"/>
      <c r="X742" s="485"/>
    </row>
    <row r="743">
      <c r="N743" s="383"/>
      <c r="P743" s="383"/>
      <c r="X743" s="485"/>
    </row>
    <row r="744">
      <c r="N744" s="383"/>
      <c r="P744" s="383"/>
      <c r="X744" s="485"/>
    </row>
    <row r="745">
      <c r="N745" s="383"/>
      <c r="P745" s="383"/>
      <c r="X745" s="485"/>
    </row>
    <row r="746">
      <c r="N746" s="383"/>
      <c r="P746" s="383"/>
      <c r="X746" s="485"/>
    </row>
    <row r="747">
      <c r="N747" s="383"/>
      <c r="P747" s="383"/>
      <c r="X747" s="485"/>
    </row>
    <row r="748">
      <c r="N748" s="383"/>
      <c r="P748" s="383"/>
      <c r="X748" s="485"/>
    </row>
    <row r="749">
      <c r="N749" s="383"/>
      <c r="P749" s="383"/>
      <c r="X749" s="485"/>
    </row>
    <row r="750">
      <c r="N750" s="383"/>
      <c r="P750" s="383"/>
      <c r="X750" s="485"/>
    </row>
    <row r="751">
      <c r="N751" s="383"/>
      <c r="P751" s="383"/>
      <c r="X751" s="485"/>
    </row>
    <row r="752">
      <c r="N752" s="383"/>
      <c r="P752" s="383"/>
      <c r="X752" s="485"/>
    </row>
    <row r="753">
      <c r="N753" s="383"/>
      <c r="P753" s="383"/>
      <c r="X753" s="485"/>
    </row>
    <row r="754">
      <c r="N754" s="383"/>
      <c r="P754" s="383"/>
      <c r="X754" s="485"/>
    </row>
    <row r="755">
      <c r="N755" s="383"/>
      <c r="P755" s="383"/>
      <c r="X755" s="485"/>
    </row>
    <row r="756">
      <c r="N756" s="383"/>
      <c r="P756" s="383"/>
      <c r="X756" s="485"/>
    </row>
    <row r="757">
      <c r="N757" s="383"/>
      <c r="P757" s="383"/>
      <c r="X757" s="485"/>
    </row>
    <row r="758">
      <c r="N758" s="383"/>
      <c r="P758" s="383"/>
      <c r="X758" s="485"/>
    </row>
    <row r="759">
      <c r="N759" s="383"/>
      <c r="P759" s="383"/>
      <c r="X759" s="485"/>
    </row>
    <row r="760">
      <c r="N760" s="383"/>
      <c r="P760" s="383"/>
      <c r="X760" s="485"/>
    </row>
    <row r="761">
      <c r="N761" s="383"/>
      <c r="P761" s="383"/>
      <c r="X761" s="485"/>
    </row>
    <row r="762">
      <c r="N762" s="383"/>
      <c r="P762" s="383"/>
      <c r="X762" s="485"/>
    </row>
    <row r="763">
      <c r="N763" s="383"/>
      <c r="P763" s="383"/>
      <c r="X763" s="485"/>
    </row>
    <row r="764">
      <c r="N764" s="383"/>
      <c r="P764" s="383"/>
      <c r="X764" s="485"/>
    </row>
    <row r="765">
      <c r="N765" s="383"/>
      <c r="P765" s="383"/>
      <c r="X765" s="485"/>
    </row>
    <row r="766">
      <c r="N766" s="383"/>
      <c r="P766" s="383"/>
      <c r="X766" s="485"/>
    </row>
    <row r="767">
      <c r="N767" s="383"/>
      <c r="P767" s="383"/>
      <c r="X767" s="485"/>
    </row>
    <row r="768">
      <c r="N768" s="383"/>
      <c r="P768" s="383"/>
      <c r="X768" s="485"/>
    </row>
    <row r="769">
      <c r="N769" s="383"/>
      <c r="P769" s="383"/>
      <c r="X769" s="485"/>
    </row>
    <row r="770">
      <c r="N770" s="383"/>
      <c r="P770" s="383"/>
      <c r="X770" s="485"/>
    </row>
    <row r="771">
      <c r="N771" s="383"/>
      <c r="P771" s="383"/>
      <c r="X771" s="485"/>
    </row>
    <row r="772">
      <c r="N772" s="383"/>
      <c r="P772" s="383"/>
      <c r="X772" s="485"/>
    </row>
    <row r="773">
      <c r="N773" s="383"/>
      <c r="P773" s="383"/>
      <c r="X773" s="485"/>
    </row>
    <row r="774">
      <c r="N774" s="383"/>
      <c r="P774" s="383"/>
      <c r="X774" s="485"/>
    </row>
    <row r="775">
      <c r="N775" s="383"/>
      <c r="P775" s="383"/>
      <c r="X775" s="485"/>
    </row>
    <row r="776">
      <c r="N776" s="383"/>
      <c r="P776" s="383"/>
      <c r="X776" s="485"/>
    </row>
    <row r="777">
      <c r="N777" s="383"/>
      <c r="P777" s="383"/>
      <c r="X777" s="485"/>
    </row>
    <row r="778">
      <c r="N778" s="383"/>
      <c r="P778" s="383"/>
      <c r="X778" s="485"/>
    </row>
    <row r="779">
      <c r="N779" s="383"/>
      <c r="P779" s="383"/>
      <c r="X779" s="485"/>
    </row>
    <row r="780">
      <c r="N780" s="383"/>
      <c r="P780" s="383"/>
      <c r="X780" s="485"/>
    </row>
    <row r="781">
      <c r="N781" s="383"/>
      <c r="P781" s="383"/>
      <c r="X781" s="485"/>
    </row>
    <row r="782">
      <c r="N782" s="383"/>
      <c r="P782" s="383"/>
      <c r="X782" s="485"/>
    </row>
    <row r="783">
      <c r="N783" s="383"/>
      <c r="P783" s="383"/>
      <c r="X783" s="485"/>
    </row>
    <row r="784">
      <c r="N784" s="383"/>
      <c r="P784" s="383"/>
      <c r="X784" s="485"/>
    </row>
    <row r="785">
      <c r="N785" s="383"/>
      <c r="P785" s="383"/>
      <c r="X785" s="485"/>
    </row>
    <row r="786">
      <c r="N786" s="383"/>
      <c r="P786" s="383"/>
      <c r="X786" s="485"/>
    </row>
    <row r="787">
      <c r="N787" s="383"/>
      <c r="P787" s="383"/>
      <c r="X787" s="485"/>
    </row>
    <row r="788">
      <c r="N788" s="383"/>
      <c r="P788" s="383"/>
      <c r="X788" s="485"/>
    </row>
    <row r="789">
      <c r="N789" s="383"/>
      <c r="P789" s="383"/>
      <c r="X789" s="485"/>
    </row>
    <row r="790">
      <c r="N790" s="383"/>
      <c r="P790" s="383"/>
      <c r="X790" s="485"/>
    </row>
    <row r="791">
      <c r="N791" s="383"/>
      <c r="P791" s="383"/>
      <c r="X791" s="485"/>
    </row>
    <row r="792">
      <c r="N792" s="383"/>
      <c r="P792" s="383"/>
      <c r="X792" s="485"/>
    </row>
    <row r="793">
      <c r="N793" s="383"/>
      <c r="P793" s="383"/>
      <c r="X793" s="485"/>
    </row>
    <row r="794">
      <c r="N794" s="383"/>
      <c r="P794" s="383"/>
      <c r="X794" s="485"/>
    </row>
    <row r="795">
      <c r="N795" s="383"/>
      <c r="P795" s="383"/>
      <c r="X795" s="485"/>
    </row>
    <row r="796">
      <c r="N796" s="383"/>
      <c r="P796" s="383"/>
      <c r="X796" s="485"/>
    </row>
    <row r="797">
      <c r="N797" s="383"/>
      <c r="P797" s="383"/>
      <c r="X797" s="485"/>
    </row>
    <row r="798">
      <c r="N798" s="383"/>
      <c r="P798" s="383"/>
      <c r="X798" s="485"/>
    </row>
    <row r="799">
      <c r="N799" s="383"/>
      <c r="P799" s="383"/>
      <c r="X799" s="485"/>
    </row>
    <row r="800">
      <c r="N800" s="383"/>
      <c r="P800" s="383"/>
      <c r="X800" s="485"/>
    </row>
    <row r="801">
      <c r="N801" s="383"/>
      <c r="P801" s="383"/>
      <c r="X801" s="485"/>
    </row>
    <row r="802">
      <c r="N802" s="383"/>
      <c r="P802" s="383"/>
      <c r="X802" s="485"/>
    </row>
    <row r="803">
      <c r="N803" s="383"/>
      <c r="P803" s="383"/>
      <c r="X803" s="485"/>
    </row>
    <row r="804">
      <c r="N804" s="383"/>
      <c r="P804" s="383"/>
      <c r="X804" s="485"/>
    </row>
    <row r="805">
      <c r="N805" s="383"/>
      <c r="P805" s="383"/>
      <c r="X805" s="485"/>
    </row>
    <row r="806">
      <c r="N806" s="383"/>
      <c r="P806" s="383"/>
      <c r="X806" s="485"/>
    </row>
    <row r="807">
      <c r="N807" s="383"/>
      <c r="P807" s="383"/>
      <c r="X807" s="485"/>
    </row>
    <row r="808">
      <c r="N808" s="383"/>
      <c r="P808" s="383"/>
      <c r="X808" s="485"/>
    </row>
    <row r="809">
      <c r="N809" s="383"/>
      <c r="P809" s="383"/>
      <c r="X809" s="485"/>
    </row>
    <row r="810">
      <c r="N810" s="383"/>
      <c r="P810" s="383"/>
      <c r="X810" s="485"/>
    </row>
    <row r="811">
      <c r="N811" s="383"/>
      <c r="P811" s="383"/>
      <c r="X811" s="485"/>
    </row>
    <row r="812">
      <c r="N812" s="383"/>
      <c r="P812" s="383"/>
      <c r="X812" s="485"/>
    </row>
    <row r="813">
      <c r="N813" s="383"/>
      <c r="P813" s="383"/>
      <c r="X813" s="485"/>
    </row>
    <row r="814">
      <c r="N814" s="383"/>
      <c r="P814" s="383"/>
      <c r="X814" s="485"/>
    </row>
    <row r="815">
      <c r="N815" s="383"/>
      <c r="P815" s="383"/>
      <c r="X815" s="485"/>
    </row>
    <row r="816">
      <c r="N816" s="383"/>
      <c r="P816" s="383"/>
      <c r="X816" s="485"/>
    </row>
    <row r="817">
      <c r="N817" s="383"/>
      <c r="P817" s="383"/>
      <c r="X817" s="485"/>
    </row>
    <row r="818">
      <c r="N818" s="383"/>
      <c r="P818" s="383"/>
      <c r="X818" s="485"/>
    </row>
    <row r="819">
      <c r="N819" s="383"/>
      <c r="P819" s="383"/>
      <c r="X819" s="485"/>
    </row>
    <row r="820">
      <c r="N820" s="383"/>
      <c r="P820" s="383"/>
      <c r="X820" s="485"/>
    </row>
    <row r="821">
      <c r="N821" s="383"/>
      <c r="P821" s="383"/>
      <c r="X821" s="485"/>
    </row>
    <row r="822">
      <c r="N822" s="383"/>
      <c r="P822" s="383"/>
      <c r="X822" s="485"/>
    </row>
    <row r="823">
      <c r="N823" s="383"/>
      <c r="P823" s="383"/>
      <c r="X823" s="485"/>
    </row>
    <row r="824">
      <c r="N824" s="383"/>
      <c r="P824" s="383"/>
      <c r="X824" s="485"/>
    </row>
    <row r="825">
      <c r="N825" s="383"/>
      <c r="P825" s="383"/>
      <c r="X825" s="485"/>
    </row>
    <row r="826">
      <c r="N826" s="383"/>
      <c r="P826" s="383"/>
      <c r="X826" s="485"/>
    </row>
    <row r="827">
      <c r="N827" s="383"/>
      <c r="P827" s="383"/>
      <c r="X827" s="485"/>
    </row>
    <row r="828">
      <c r="N828" s="383"/>
      <c r="P828" s="383"/>
      <c r="X828" s="485"/>
    </row>
    <row r="829">
      <c r="N829" s="383"/>
      <c r="P829" s="383"/>
      <c r="X829" s="485"/>
    </row>
    <row r="830">
      <c r="N830" s="383"/>
      <c r="P830" s="383"/>
      <c r="X830" s="485"/>
    </row>
    <row r="831">
      <c r="N831" s="383"/>
      <c r="P831" s="383"/>
      <c r="X831" s="485"/>
    </row>
    <row r="832">
      <c r="N832" s="383"/>
      <c r="P832" s="383"/>
      <c r="X832" s="485"/>
    </row>
    <row r="833">
      <c r="N833" s="383"/>
      <c r="P833" s="383"/>
      <c r="X833" s="485"/>
    </row>
    <row r="834">
      <c r="N834" s="383"/>
      <c r="P834" s="383"/>
      <c r="X834" s="485"/>
    </row>
    <row r="835">
      <c r="N835" s="383"/>
      <c r="P835" s="383"/>
      <c r="X835" s="485"/>
    </row>
    <row r="836">
      <c r="N836" s="383"/>
      <c r="P836" s="383"/>
      <c r="X836" s="485"/>
    </row>
    <row r="837">
      <c r="N837" s="383"/>
      <c r="P837" s="383"/>
      <c r="X837" s="485"/>
    </row>
    <row r="838">
      <c r="N838" s="383"/>
      <c r="P838" s="383"/>
      <c r="X838" s="485"/>
    </row>
    <row r="839">
      <c r="N839" s="383"/>
      <c r="P839" s="383"/>
      <c r="X839" s="485"/>
    </row>
    <row r="840">
      <c r="N840" s="383"/>
      <c r="P840" s="383"/>
      <c r="X840" s="485"/>
    </row>
    <row r="841">
      <c r="N841" s="383"/>
      <c r="P841" s="383"/>
      <c r="X841" s="485"/>
    </row>
    <row r="842">
      <c r="N842" s="383"/>
      <c r="P842" s="383"/>
      <c r="X842" s="485"/>
    </row>
    <row r="843">
      <c r="N843" s="383"/>
      <c r="P843" s="383"/>
      <c r="X843" s="485"/>
    </row>
    <row r="844">
      <c r="N844" s="383"/>
      <c r="P844" s="383"/>
      <c r="X844" s="485"/>
    </row>
    <row r="845">
      <c r="N845" s="383"/>
      <c r="P845" s="383"/>
      <c r="X845" s="485"/>
    </row>
    <row r="846">
      <c r="N846" s="383"/>
      <c r="P846" s="383"/>
      <c r="X846" s="485"/>
    </row>
    <row r="847">
      <c r="N847" s="383"/>
      <c r="P847" s="383"/>
      <c r="X847" s="485"/>
    </row>
    <row r="848">
      <c r="N848" s="383"/>
      <c r="P848" s="383"/>
      <c r="X848" s="485"/>
    </row>
    <row r="849">
      <c r="N849" s="383"/>
      <c r="P849" s="383"/>
      <c r="X849" s="485"/>
    </row>
    <row r="850">
      <c r="N850" s="383"/>
      <c r="P850" s="383"/>
      <c r="X850" s="485"/>
    </row>
    <row r="851">
      <c r="N851" s="383"/>
      <c r="P851" s="383"/>
      <c r="X851" s="485"/>
    </row>
    <row r="852">
      <c r="N852" s="383"/>
      <c r="P852" s="383"/>
      <c r="X852" s="485"/>
    </row>
    <row r="853">
      <c r="N853" s="383"/>
      <c r="P853" s="383"/>
      <c r="X853" s="485"/>
    </row>
    <row r="854">
      <c r="N854" s="383"/>
      <c r="P854" s="383"/>
      <c r="X854" s="485"/>
    </row>
    <row r="855">
      <c r="N855" s="383"/>
      <c r="P855" s="383"/>
      <c r="X855" s="485"/>
    </row>
    <row r="856">
      <c r="N856" s="383"/>
      <c r="P856" s="383"/>
      <c r="X856" s="485"/>
    </row>
    <row r="857">
      <c r="N857" s="383"/>
      <c r="P857" s="383"/>
      <c r="X857" s="485"/>
    </row>
    <row r="858">
      <c r="N858" s="383"/>
      <c r="P858" s="383"/>
      <c r="X858" s="485"/>
    </row>
    <row r="859">
      <c r="N859" s="383"/>
      <c r="P859" s="383"/>
      <c r="X859" s="485"/>
    </row>
    <row r="860">
      <c r="N860" s="383"/>
      <c r="P860" s="383"/>
      <c r="X860" s="485"/>
    </row>
    <row r="861">
      <c r="N861" s="383"/>
      <c r="P861" s="383"/>
      <c r="X861" s="485"/>
    </row>
    <row r="862">
      <c r="N862" s="383"/>
      <c r="P862" s="383"/>
      <c r="X862" s="485"/>
    </row>
    <row r="863">
      <c r="N863" s="383"/>
      <c r="P863" s="383"/>
      <c r="X863" s="485"/>
    </row>
    <row r="864">
      <c r="N864" s="383"/>
      <c r="P864" s="383"/>
      <c r="X864" s="485"/>
    </row>
    <row r="865">
      <c r="N865" s="383"/>
      <c r="P865" s="383"/>
      <c r="X865" s="485"/>
    </row>
    <row r="866">
      <c r="N866" s="383"/>
      <c r="P866" s="383"/>
      <c r="X866" s="485"/>
    </row>
    <row r="867">
      <c r="N867" s="383"/>
      <c r="P867" s="383"/>
      <c r="X867" s="485"/>
    </row>
    <row r="868">
      <c r="N868" s="383"/>
      <c r="P868" s="383"/>
      <c r="X868" s="485"/>
    </row>
    <row r="869">
      <c r="N869" s="383"/>
      <c r="P869" s="383"/>
      <c r="X869" s="485"/>
    </row>
    <row r="870">
      <c r="N870" s="383"/>
      <c r="P870" s="383"/>
      <c r="X870" s="485"/>
    </row>
    <row r="871">
      <c r="N871" s="383"/>
      <c r="P871" s="383"/>
      <c r="X871" s="485"/>
    </row>
    <row r="872">
      <c r="N872" s="383"/>
      <c r="P872" s="383"/>
      <c r="X872" s="485"/>
    </row>
    <row r="873">
      <c r="N873" s="383"/>
      <c r="P873" s="383"/>
      <c r="X873" s="485"/>
    </row>
    <row r="874">
      <c r="N874" s="383"/>
      <c r="P874" s="383"/>
      <c r="X874" s="485"/>
    </row>
    <row r="875">
      <c r="N875" s="383"/>
      <c r="P875" s="383"/>
      <c r="X875" s="485"/>
    </row>
    <row r="876">
      <c r="N876" s="383"/>
      <c r="P876" s="383"/>
      <c r="X876" s="485"/>
    </row>
    <row r="877">
      <c r="N877" s="383"/>
      <c r="P877" s="383"/>
      <c r="X877" s="485"/>
    </row>
    <row r="878">
      <c r="N878" s="383"/>
      <c r="P878" s="383"/>
      <c r="X878" s="485"/>
    </row>
    <row r="879">
      <c r="N879" s="383"/>
      <c r="P879" s="383"/>
      <c r="X879" s="485"/>
    </row>
    <row r="880">
      <c r="N880" s="383"/>
      <c r="P880" s="383"/>
      <c r="X880" s="485"/>
    </row>
    <row r="881">
      <c r="N881" s="383"/>
      <c r="P881" s="383"/>
      <c r="X881" s="485"/>
    </row>
    <row r="882">
      <c r="N882" s="383"/>
      <c r="P882" s="383"/>
      <c r="X882" s="485"/>
    </row>
    <row r="883">
      <c r="N883" s="383"/>
      <c r="P883" s="383"/>
      <c r="X883" s="485"/>
    </row>
    <row r="884">
      <c r="N884" s="383"/>
      <c r="P884" s="383"/>
      <c r="X884" s="485"/>
    </row>
    <row r="885">
      <c r="N885" s="383"/>
      <c r="P885" s="383"/>
      <c r="X885" s="485"/>
    </row>
    <row r="886">
      <c r="N886" s="383"/>
      <c r="P886" s="383"/>
      <c r="X886" s="485"/>
    </row>
    <row r="887">
      <c r="N887" s="383"/>
      <c r="P887" s="383"/>
      <c r="X887" s="485"/>
    </row>
    <row r="888">
      <c r="N888" s="383"/>
      <c r="P888" s="383"/>
      <c r="X888" s="485"/>
    </row>
    <row r="889">
      <c r="N889" s="383"/>
      <c r="P889" s="383"/>
      <c r="X889" s="485"/>
    </row>
    <row r="890">
      <c r="N890" s="383"/>
      <c r="P890" s="383"/>
      <c r="X890" s="485"/>
    </row>
    <row r="891">
      <c r="N891" s="383"/>
      <c r="P891" s="383"/>
      <c r="X891" s="485"/>
    </row>
    <row r="892">
      <c r="N892" s="383"/>
      <c r="P892" s="383"/>
      <c r="X892" s="485"/>
    </row>
    <row r="893">
      <c r="N893" s="383"/>
      <c r="P893" s="383"/>
      <c r="X893" s="485"/>
    </row>
    <row r="894">
      <c r="N894" s="383"/>
      <c r="P894" s="383"/>
      <c r="X894" s="485"/>
    </row>
    <row r="895">
      <c r="N895" s="383"/>
      <c r="P895" s="383"/>
      <c r="X895" s="485"/>
    </row>
    <row r="896">
      <c r="N896" s="383"/>
      <c r="P896" s="383"/>
      <c r="X896" s="485"/>
    </row>
    <row r="897">
      <c r="N897" s="383"/>
      <c r="P897" s="383"/>
      <c r="X897" s="485"/>
    </row>
    <row r="898">
      <c r="N898" s="383"/>
      <c r="P898" s="383"/>
      <c r="X898" s="485"/>
    </row>
    <row r="899">
      <c r="N899" s="383"/>
      <c r="P899" s="383"/>
      <c r="X899" s="485"/>
    </row>
    <row r="900">
      <c r="N900" s="383"/>
      <c r="P900" s="383"/>
      <c r="X900" s="485"/>
    </row>
    <row r="901">
      <c r="N901" s="383"/>
      <c r="P901" s="383"/>
      <c r="X901" s="485"/>
    </row>
    <row r="902">
      <c r="N902" s="383"/>
      <c r="P902" s="383"/>
      <c r="X902" s="485"/>
    </row>
    <row r="903">
      <c r="N903" s="383"/>
      <c r="P903" s="383"/>
      <c r="X903" s="485"/>
    </row>
    <row r="904">
      <c r="N904" s="383"/>
      <c r="P904" s="383"/>
      <c r="X904" s="485"/>
    </row>
    <row r="905">
      <c r="N905" s="383"/>
      <c r="P905" s="383"/>
      <c r="X905" s="485"/>
    </row>
    <row r="906">
      <c r="N906" s="383"/>
      <c r="P906" s="383"/>
      <c r="X906" s="485"/>
    </row>
    <row r="907">
      <c r="N907" s="383"/>
      <c r="P907" s="383"/>
      <c r="X907" s="485"/>
    </row>
    <row r="908">
      <c r="N908" s="383"/>
      <c r="P908" s="383"/>
      <c r="X908" s="485"/>
    </row>
    <row r="909">
      <c r="N909" s="383"/>
      <c r="P909" s="383"/>
      <c r="X909" s="485"/>
    </row>
    <row r="910">
      <c r="N910" s="383"/>
      <c r="P910" s="383"/>
      <c r="X910" s="485"/>
    </row>
    <row r="911">
      <c r="N911" s="383"/>
      <c r="P911" s="383"/>
      <c r="X911" s="485"/>
    </row>
    <row r="912">
      <c r="N912" s="383"/>
      <c r="P912" s="383"/>
      <c r="X912" s="485"/>
    </row>
    <row r="913">
      <c r="N913" s="383"/>
      <c r="P913" s="383"/>
      <c r="X913" s="485"/>
    </row>
    <row r="914">
      <c r="N914" s="383"/>
      <c r="P914" s="383"/>
      <c r="X914" s="485"/>
    </row>
    <row r="915">
      <c r="N915" s="383"/>
      <c r="P915" s="383"/>
      <c r="X915" s="485"/>
    </row>
    <row r="916">
      <c r="N916" s="383"/>
      <c r="P916" s="383"/>
      <c r="X916" s="485"/>
    </row>
    <row r="917">
      <c r="N917" s="383"/>
      <c r="P917" s="383"/>
      <c r="X917" s="485"/>
    </row>
    <row r="918">
      <c r="N918" s="383"/>
      <c r="P918" s="383"/>
      <c r="X918" s="485"/>
    </row>
    <row r="919">
      <c r="N919" s="383"/>
      <c r="P919" s="383"/>
      <c r="X919" s="485"/>
    </row>
    <row r="920">
      <c r="N920" s="383"/>
      <c r="P920" s="383"/>
      <c r="X920" s="485"/>
    </row>
    <row r="921">
      <c r="N921" s="383"/>
      <c r="P921" s="383"/>
      <c r="X921" s="485"/>
    </row>
    <row r="922">
      <c r="N922" s="383"/>
      <c r="P922" s="383"/>
      <c r="X922" s="485"/>
    </row>
    <row r="923">
      <c r="N923" s="383"/>
      <c r="P923" s="383"/>
      <c r="X923" s="485"/>
    </row>
    <row r="924">
      <c r="N924" s="383"/>
      <c r="P924" s="383"/>
      <c r="X924" s="485"/>
    </row>
    <row r="925">
      <c r="N925" s="383"/>
      <c r="P925" s="383"/>
      <c r="X925" s="485"/>
    </row>
    <row r="926">
      <c r="N926" s="383"/>
      <c r="P926" s="383"/>
      <c r="X926" s="485"/>
    </row>
    <row r="927">
      <c r="N927" s="383"/>
      <c r="P927" s="383"/>
      <c r="X927" s="485"/>
    </row>
    <row r="928">
      <c r="N928" s="383"/>
      <c r="P928" s="383"/>
      <c r="X928" s="485"/>
    </row>
    <row r="929">
      <c r="N929" s="383"/>
      <c r="P929" s="383"/>
      <c r="X929" s="485"/>
    </row>
    <row r="930">
      <c r="N930" s="383"/>
      <c r="P930" s="383"/>
      <c r="X930" s="485"/>
    </row>
    <row r="931">
      <c r="N931" s="383"/>
      <c r="P931" s="383"/>
      <c r="X931" s="485"/>
    </row>
    <row r="932">
      <c r="N932" s="383"/>
      <c r="P932" s="383"/>
      <c r="X932" s="485"/>
    </row>
    <row r="933">
      <c r="N933" s="383"/>
      <c r="P933" s="383"/>
      <c r="X933" s="485"/>
    </row>
    <row r="934">
      <c r="N934" s="383"/>
      <c r="P934" s="383"/>
      <c r="X934" s="485"/>
    </row>
    <row r="935">
      <c r="N935" s="383"/>
      <c r="P935" s="383"/>
      <c r="X935" s="485"/>
    </row>
    <row r="936">
      <c r="N936" s="383"/>
      <c r="P936" s="383"/>
      <c r="X936" s="485"/>
    </row>
    <row r="937">
      <c r="N937" s="383"/>
      <c r="P937" s="383"/>
      <c r="X937" s="485"/>
    </row>
    <row r="938">
      <c r="N938" s="383"/>
      <c r="P938" s="383"/>
      <c r="X938" s="485"/>
    </row>
    <row r="939">
      <c r="N939" s="383"/>
      <c r="P939" s="383"/>
      <c r="X939" s="485"/>
    </row>
    <row r="940">
      <c r="N940" s="383"/>
      <c r="P940" s="383"/>
      <c r="X940" s="485"/>
    </row>
    <row r="941">
      <c r="N941" s="383"/>
      <c r="P941" s="383"/>
      <c r="X941" s="485"/>
    </row>
    <row r="942">
      <c r="N942" s="383"/>
      <c r="P942" s="383"/>
      <c r="X942" s="485"/>
    </row>
    <row r="943">
      <c r="N943" s="383"/>
      <c r="P943" s="383"/>
      <c r="X943" s="485"/>
    </row>
    <row r="944">
      <c r="N944" s="383"/>
      <c r="P944" s="383"/>
      <c r="X944" s="485"/>
    </row>
    <row r="945">
      <c r="N945" s="383"/>
      <c r="P945" s="383"/>
      <c r="X945" s="485"/>
    </row>
    <row r="946">
      <c r="N946" s="383"/>
      <c r="P946" s="383"/>
      <c r="X946" s="485"/>
    </row>
    <row r="947">
      <c r="N947" s="383"/>
      <c r="P947" s="383"/>
      <c r="X947" s="485"/>
    </row>
    <row r="948">
      <c r="N948" s="383"/>
      <c r="P948" s="383"/>
      <c r="X948" s="485"/>
    </row>
    <row r="949">
      <c r="N949" s="383"/>
      <c r="P949" s="383"/>
      <c r="X949" s="485"/>
    </row>
    <row r="950">
      <c r="N950" s="383"/>
      <c r="P950" s="383"/>
      <c r="X950" s="485"/>
    </row>
    <row r="951">
      <c r="N951" s="383"/>
      <c r="P951" s="383"/>
      <c r="X951" s="485"/>
    </row>
    <row r="952">
      <c r="N952" s="383"/>
      <c r="P952" s="383"/>
      <c r="X952" s="485"/>
    </row>
    <row r="953">
      <c r="N953" s="383"/>
      <c r="P953" s="383"/>
      <c r="X953" s="485"/>
    </row>
    <row r="954">
      <c r="N954" s="383"/>
      <c r="P954" s="383"/>
      <c r="X954" s="485"/>
    </row>
    <row r="955">
      <c r="N955" s="383"/>
      <c r="P955" s="383"/>
      <c r="X955" s="485"/>
    </row>
    <row r="956">
      <c r="N956" s="383"/>
      <c r="P956" s="383"/>
      <c r="X956" s="485"/>
    </row>
    <row r="957">
      <c r="N957" s="383"/>
      <c r="P957" s="383"/>
      <c r="X957" s="485"/>
    </row>
    <row r="958">
      <c r="N958" s="383"/>
      <c r="P958" s="383"/>
      <c r="X958" s="485"/>
    </row>
    <row r="959">
      <c r="N959" s="383"/>
      <c r="P959" s="383"/>
      <c r="X959" s="485"/>
    </row>
    <row r="960">
      <c r="N960" s="383"/>
      <c r="P960" s="383"/>
      <c r="X960" s="485"/>
    </row>
    <row r="961">
      <c r="N961" s="383"/>
      <c r="P961" s="383"/>
      <c r="X961" s="485"/>
    </row>
    <row r="962">
      <c r="N962" s="383"/>
      <c r="P962" s="383"/>
      <c r="X962" s="485"/>
    </row>
    <row r="963">
      <c r="N963" s="383"/>
      <c r="P963" s="383"/>
      <c r="X963" s="485"/>
    </row>
    <row r="964">
      <c r="N964" s="383"/>
      <c r="P964" s="383"/>
      <c r="X964" s="485"/>
    </row>
    <row r="965">
      <c r="N965" s="383"/>
      <c r="P965" s="383"/>
      <c r="X965" s="485"/>
    </row>
    <row r="966">
      <c r="N966" s="383"/>
      <c r="P966" s="383"/>
      <c r="X966" s="485"/>
    </row>
    <row r="967">
      <c r="N967" s="383"/>
      <c r="P967" s="383"/>
      <c r="X967" s="485"/>
    </row>
    <row r="968">
      <c r="N968" s="383"/>
      <c r="P968" s="383"/>
      <c r="X968" s="485"/>
    </row>
    <row r="969">
      <c r="N969" s="383"/>
      <c r="P969" s="383"/>
      <c r="X969" s="485"/>
    </row>
    <row r="970">
      <c r="N970" s="383"/>
      <c r="P970" s="383"/>
      <c r="X970" s="485"/>
    </row>
    <row r="971">
      <c r="N971" s="383"/>
      <c r="P971" s="383"/>
      <c r="X971" s="485"/>
    </row>
    <row r="972">
      <c r="N972" s="383"/>
      <c r="P972" s="383"/>
      <c r="X972" s="485"/>
    </row>
    <row r="973">
      <c r="N973" s="383"/>
      <c r="P973" s="383"/>
      <c r="X973" s="485"/>
    </row>
    <row r="974">
      <c r="N974" s="383"/>
      <c r="P974" s="383"/>
      <c r="X974" s="485"/>
    </row>
    <row r="975">
      <c r="N975" s="383"/>
      <c r="P975" s="383"/>
      <c r="X975" s="485"/>
    </row>
    <row r="976">
      <c r="N976" s="383"/>
      <c r="P976" s="383"/>
      <c r="X976" s="485"/>
    </row>
    <row r="977">
      <c r="N977" s="383"/>
      <c r="P977" s="383"/>
      <c r="X977" s="485"/>
    </row>
    <row r="978">
      <c r="N978" s="383"/>
      <c r="P978" s="383"/>
      <c r="X978" s="485"/>
    </row>
    <row r="979">
      <c r="N979" s="383"/>
      <c r="P979" s="383"/>
      <c r="X979" s="485"/>
    </row>
    <row r="980">
      <c r="N980" s="383"/>
      <c r="P980" s="383"/>
      <c r="X980" s="485"/>
    </row>
    <row r="981">
      <c r="N981" s="383"/>
      <c r="P981" s="383"/>
      <c r="X981" s="485"/>
    </row>
    <row r="982">
      <c r="N982" s="383"/>
      <c r="P982" s="383"/>
      <c r="X982" s="485"/>
    </row>
    <row r="983">
      <c r="N983" s="383"/>
      <c r="P983" s="383"/>
      <c r="X983" s="485"/>
    </row>
    <row r="984">
      <c r="N984" s="383"/>
      <c r="P984" s="383"/>
      <c r="X984" s="485"/>
    </row>
    <row r="985">
      <c r="N985" s="383"/>
      <c r="P985" s="383"/>
      <c r="X985" s="485"/>
    </row>
    <row r="986">
      <c r="N986" s="383"/>
      <c r="P986" s="383"/>
      <c r="X986" s="485"/>
    </row>
    <row r="987">
      <c r="N987" s="383"/>
      <c r="P987" s="383"/>
      <c r="X987" s="485"/>
    </row>
    <row r="988">
      <c r="N988" s="383"/>
      <c r="P988" s="383"/>
      <c r="X988" s="485"/>
    </row>
    <row r="989">
      <c r="N989" s="383"/>
      <c r="P989" s="383"/>
      <c r="X989" s="485"/>
    </row>
    <row r="990">
      <c r="N990" s="383"/>
      <c r="P990" s="383"/>
      <c r="X990" s="485"/>
    </row>
    <row r="991">
      <c r="N991" s="383"/>
      <c r="P991" s="383"/>
      <c r="X991" s="485"/>
    </row>
    <row r="992">
      <c r="N992" s="383"/>
      <c r="P992" s="383"/>
      <c r="X992" s="485"/>
    </row>
    <row r="993">
      <c r="N993" s="383"/>
      <c r="P993" s="383"/>
      <c r="X993" s="485"/>
    </row>
  </sheetData>
  <mergeCells count="142">
    <mergeCell ref="A1:B1"/>
    <mergeCell ref="A21:B21"/>
    <mergeCell ref="A22:B22"/>
    <mergeCell ref="A23:B23"/>
    <mergeCell ref="A24:B24"/>
    <mergeCell ref="A25:B25"/>
    <mergeCell ref="A26:B26"/>
    <mergeCell ref="A61:A62"/>
    <mergeCell ref="A63:A64"/>
    <mergeCell ref="A65:A66"/>
    <mergeCell ref="A67:A68"/>
    <mergeCell ref="A69:A70"/>
    <mergeCell ref="A71:A72"/>
    <mergeCell ref="A27:B27"/>
    <mergeCell ref="A28:B28"/>
    <mergeCell ref="A29:B29"/>
    <mergeCell ref="A30:B30"/>
    <mergeCell ref="A31:B31"/>
    <mergeCell ref="A53:A54"/>
    <mergeCell ref="A55:A56"/>
    <mergeCell ref="C42:E42"/>
    <mergeCell ref="C43:E43"/>
    <mergeCell ref="D76:G76"/>
    <mergeCell ref="H76:K76"/>
    <mergeCell ref="D77:G77"/>
    <mergeCell ref="H77:K77"/>
    <mergeCell ref="D78:G78"/>
    <mergeCell ref="H78:K78"/>
    <mergeCell ref="D79:G79"/>
    <mergeCell ref="H79:K79"/>
    <mergeCell ref="D80:G80"/>
    <mergeCell ref="H80:K80"/>
    <mergeCell ref="D81:G81"/>
    <mergeCell ref="H81:K81"/>
    <mergeCell ref="T1:U1"/>
    <mergeCell ref="X1:Z2"/>
    <mergeCell ref="T43:V43"/>
    <mergeCell ref="T44:V44"/>
    <mergeCell ref="B3:B6"/>
    <mergeCell ref="D3:D6"/>
    <mergeCell ref="F3:F6"/>
    <mergeCell ref="H3:H6"/>
    <mergeCell ref="A7:I7"/>
    <mergeCell ref="A8:B8"/>
    <mergeCell ref="C8:D8"/>
    <mergeCell ref="E8:F8"/>
    <mergeCell ref="G8:H8"/>
    <mergeCell ref="B10:B13"/>
    <mergeCell ref="D10:D13"/>
    <mergeCell ref="H15:I15"/>
    <mergeCell ref="H16:I16"/>
    <mergeCell ref="Q20:Q21"/>
    <mergeCell ref="Q25:Q26"/>
    <mergeCell ref="A83:C83"/>
    <mergeCell ref="A84:C84"/>
    <mergeCell ref="F10:F13"/>
    <mergeCell ref="H10:H13"/>
    <mergeCell ref="I93:L93"/>
    <mergeCell ref="I94:L94"/>
    <mergeCell ref="I95:L95"/>
    <mergeCell ref="I96:L96"/>
    <mergeCell ref="I97:L97"/>
    <mergeCell ref="I98:L98"/>
    <mergeCell ref="I99:L99"/>
    <mergeCell ref="E110:H110"/>
    <mergeCell ref="C1:D1"/>
    <mergeCell ref="E1:F1"/>
    <mergeCell ref="G1:H1"/>
    <mergeCell ref="J1:L13"/>
    <mergeCell ref="M1:M993"/>
    <mergeCell ref="N1:O1"/>
    <mergeCell ref="H17:I17"/>
    <mergeCell ref="E111:H111"/>
    <mergeCell ref="D84:G84"/>
    <mergeCell ref="H84:K84"/>
    <mergeCell ref="D85:G85"/>
    <mergeCell ref="H85:K85"/>
    <mergeCell ref="D86:G86"/>
    <mergeCell ref="H86:K86"/>
    <mergeCell ref="E89:H89"/>
    <mergeCell ref="I89:L89"/>
    <mergeCell ref="E90:H90"/>
    <mergeCell ref="I90:L90"/>
    <mergeCell ref="E91:H91"/>
    <mergeCell ref="I91:L91"/>
    <mergeCell ref="E92:H92"/>
    <mergeCell ref="I92:L92"/>
    <mergeCell ref="A109:D109"/>
    <mergeCell ref="A110:D110"/>
    <mergeCell ref="A111:D111"/>
    <mergeCell ref="A102:D102"/>
    <mergeCell ref="A103:D103"/>
    <mergeCell ref="A104:D104"/>
    <mergeCell ref="A105:D105"/>
    <mergeCell ref="A106:D106"/>
    <mergeCell ref="A107:D107"/>
    <mergeCell ref="A108:D108"/>
    <mergeCell ref="A57:A58"/>
    <mergeCell ref="A59:A60"/>
    <mergeCell ref="A75:K75"/>
    <mergeCell ref="A76:C76"/>
    <mergeCell ref="A77:C77"/>
    <mergeCell ref="A78:C78"/>
    <mergeCell ref="A79:C79"/>
    <mergeCell ref="A80:C80"/>
    <mergeCell ref="A81:C81"/>
    <mergeCell ref="A82:C82"/>
    <mergeCell ref="D82:G82"/>
    <mergeCell ref="H82:K82"/>
    <mergeCell ref="D83:G83"/>
    <mergeCell ref="H83:K83"/>
    <mergeCell ref="A93:D93"/>
    <mergeCell ref="E93:H93"/>
    <mergeCell ref="E94:H94"/>
    <mergeCell ref="A85:C85"/>
    <mergeCell ref="A86:C86"/>
    <mergeCell ref="A87:C87"/>
    <mergeCell ref="A89:D89"/>
    <mergeCell ref="A90:D90"/>
    <mergeCell ref="A91:D91"/>
    <mergeCell ref="A92:D92"/>
    <mergeCell ref="A94:D94"/>
    <mergeCell ref="A95:D95"/>
    <mergeCell ref="E95:H95"/>
    <mergeCell ref="A96:D96"/>
    <mergeCell ref="E96:H96"/>
    <mergeCell ref="A97:D97"/>
    <mergeCell ref="E97:H97"/>
    <mergeCell ref="E103:H103"/>
    <mergeCell ref="E104:H104"/>
    <mergeCell ref="E105:H105"/>
    <mergeCell ref="E106:H106"/>
    <mergeCell ref="E107:H107"/>
    <mergeCell ref="E108:H108"/>
    <mergeCell ref="E109:H109"/>
    <mergeCell ref="A98:D98"/>
    <mergeCell ref="E98:H98"/>
    <mergeCell ref="A99:D99"/>
    <mergeCell ref="E99:H99"/>
    <mergeCell ref="A101:D101"/>
    <mergeCell ref="E101:H101"/>
    <mergeCell ref="E102:H10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88"/>
    <col customWidth="1" min="2" max="2" width="2.25"/>
    <col customWidth="1" min="3" max="3" width="19.13"/>
    <col customWidth="1" min="4" max="4" width="2.75"/>
    <col customWidth="1" min="5" max="5" width="19.63"/>
    <col customWidth="1" min="6" max="6" width="2.63"/>
    <col customWidth="1" min="7" max="7" width="17.88"/>
    <col customWidth="1" min="8" max="8" width="2.5"/>
    <col customWidth="1" min="9" max="9" width="20.13"/>
    <col customWidth="1" min="10" max="10" width="6.75"/>
    <col customWidth="1" min="11" max="11" width="11.88"/>
    <col customWidth="1" min="12" max="12" width="12.25"/>
    <col customWidth="1" min="13" max="13" width="1.5"/>
    <col customWidth="1" min="14" max="14" width="31.63"/>
    <col customWidth="1" min="15" max="15" width="5.13"/>
    <col customWidth="1" min="16" max="16" width="27.13"/>
    <col customWidth="1" min="17" max="17" width="4.88"/>
    <col customWidth="1" min="18" max="18" width="26.25"/>
    <col customWidth="1" min="19" max="19" width="6.13"/>
    <col customWidth="1" min="20" max="20" width="26.13"/>
    <col customWidth="1" min="21" max="21" width="7.13"/>
    <col customWidth="1" min="22" max="22" width="34.88"/>
    <col customWidth="1" min="23" max="23" width="8.63"/>
    <col customWidth="1" min="24" max="24" width="29.25"/>
  </cols>
  <sheetData>
    <row r="1">
      <c r="A1" s="1" t="s">
        <v>1316</v>
      </c>
      <c r="B1" s="2"/>
      <c r="C1" s="1" t="s">
        <v>1317</v>
      </c>
      <c r="D1" s="3"/>
      <c r="E1" s="492" t="s">
        <v>1318</v>
      </c>
      <c r="F1" s="2"/>
      <c r="G1" s="4" t="s">
        <v>1319</v>
      </c>
      <c r="H1" s="2"/>
      <c r="I1" s="493" t="s">
        <v>1320</v>
      </c>
      <c r="J1" s="6">
        <v>2022.0</v>
      </c>
      <c r="K1" s="7"/>
      <c r="L1" s="8"/>
      <c r="M1" s="9"/>
      <c r="N1" s="494" t="s">
        <v>1321</v>
      </c>
      <c r="O1" s="109"/>
      <c r="P1" s="110" t="s">
        <v>1322</v>
      </c>
      <c r="Q1" s="495"/>
      <c r="T1" s="14" t="s">
        <v>1323</v>
      </c>
      <c r="U1" s="15"/>
      <c r="V1" s="15"/>
      <c r="W1" s="41" t="s">
        <v>1324</v>
      </c>
      <c r="X1" s="41"/>
    </row>
    <row r="2">
      <c r="A2" s="18" t="s">
        <v>396</v>
      </c>
      <c r="B2" s="253"/>
      <c r="C2" s="18" t="s">
        <v>14</v>
      </c>
      <c r="D2" s="253"/>
      <c r="F2" s="253"/>
      <c r="G2" s="496" t="s">
        <v>1325</v>
      </c>
      <c r="H2" s="253"/>
      <c r="I2" s="134" t="s">
        <v>40</v>
      </c>
      <c r="J2" s="19"/>
      <c r="L2" s="20"/>
      <c r="N2" s="112" t="s">
        <v>1326</v>
      </c>
      <c r="O2" s="22" t="s">
        <v>11</v>
      </c>
      <c r="P2" s="497" t="s">
        <v>1327</v>
      </c>
      <c r="Q2" s="485"/>
      <c r="R2" s="18" t="s">
        <v>1328</v>
      </c>
      <c r="S2" s="24"/>
      <c r="T2" s="498" t="s">
        <v>1329</v>
      </c>
      <c r="U2" s="34" t="s">
        <v>11</v>
      </c>
      <c r="V2" s="499" t="s">
        <v>1330</v>
      </c>
      <c r="W2" s="24"/>
      <c r="X2" s="24"/>
    </row>
    <row r="3">
      <c r="A3" s="18" t="s">
        <v>39</v>
      </c>
      <c r="B3" s="25"/>
      <c r="C3" s="500" t="s">
        <v>1331</v>
      </c>
      <c r="D3" s="25"/>
      <c r="F3" s="25"/>
      <c r="G3" s="501" t="s">
        <v>1332</v>
      </c>
      <c r="H3" s="25"/>
      <c r="J3" s="19"/>
      <c r="L3" s="20"/>
      <c r="N3" s="428" t="s">
        <v>1333</v>
      </c>
      <c r="O3" s="502"/>
      <c r="P3" s="503"/>
      <c r="Q3" s="485"/>
      <c r="R3" s="24"/>
      <c r="S3" s="24"/>
      <c r="T3" s="504"/>
      <c r="U3" s="485"/>
      <c r="V3" s="505" t="s">
        <v>1334</v>
      </c>
      <c r="W3" s="24"/>
      <c r="X3" s="24"/>
    </row>
    <row r="4">
      <c r="A4" s="31" t="s">
        <v>1037</v>
      </c>
      <c r="B4" s="30"/>
      <c r="C4" s="31" t="s">
        <v>15</v>
      </c>
      <c r="D4" s="30"/>
      <c r="F4" s="30"/>
      <c r="G4" s="18" t="s">
        <v>19</v>
      </c>
      <c r="H4" s="30"/>
      <c r="J4" s="19"/>
      <c r="L4" s="20"/>
      <c r="N4" s="506"/>
      <c r="O4" s="485"/>
      <c r="P4" s="485"/>
      <c r="Q4" s="485"/>
      <c r="R4" s="24"/>
      <c r="S4" s="24"/>
      <c r="T4" s="507"/>
      <c r="U4" s="508"/>
      <c r="V4" s="509" t="s">
        <v>1335</v>
      </c>
      <c r="W4" s="24"/>
      <c r="X4" s="24"/>
    </row>
    <row r="5">
      <c r="A5" s="18" t="s">
        <v>18</v>
      </c>
      <c r="B5" s="30"/>
      <c r="D5" s="30"/>
      <c r="E5" s="18"/>
      <c r="F5" s="30"/>
      <c r="H5" s="30"/>
      <c r="J5" s="19"/>
      <c r="L5" s="20"/>
      <c r="N5" s="498" t="s">
        <v>1336</v>
      </c>
      <c r="O5" s="34" t="s">
        <v>11</v>
      </c>
      <c r="P5" s="499" t="s">
        <v>1337</v>
      </c>
      <c r="Q5" s="485"/>
    </row>
    <row r="6">
      <c r="A6" s="18" t="s">
        <v>45</v>
      </c>
      <c r="B6" s="40"/>
      <c r="D6" s="40"/>
      <c r="F6" s="40"/>
      <c r="H6" s="40"/>
      <c r="J6" s="19"/>
      <c r="L6" s="20"/>
      <c r="N6" s="510" t="s">
        <v>1338</v>
      </c>
      <c r="O6" s="485"/>
      <c r="P6" s="505" t="s">
        <v>813</v>
      </c>
      <c r="Q6" s="485"/>
      <c r="T6" s="33" t="s">
        <v>1339</v>
      </c>
      <c r="U6" s="34" t="s">
        <v>11</v>
      </c>
      <c r="V6" s="35" t="s">
        <v>1340</v>
      </c>
    </row>
    <row r="7">
      <c r="A7" s="42" t="s">
        <v>1341</v>
      </c>
      <c r="B7" s="43"/>
      <c r="C7" s="43"/>
      <c r="D7" s="43"/>
      <c r="E7" s="43"/>
      <c r="F7" s="43"/>
      <c r="G7" s="43"/>
      <c r="H7" s="43"/>
      <c r="I7" s="44"/>
      <c r="J7" s="19"/>
      <c r="L7" s="20"/>
      <c r="N7" s="511" t="s">
        <v>1342</v>
      </c>
      <c r="O7" s="512"/>
      <c r="P7" s="513"/>
      <c r="Q7" s="485"/>
      <c r="T7" s="51" t="s">
        <v>1343</v>
      </c>
      <c r="V7" s="53" t="s">
        <v>1344</v>
      </c>
    </row>
    <row r="8">
      <c r="A8" s="514" t="s">
        <v>1345</v>
      </c>
      <c r="B8" s="46"/>
      <c r="C8" s="47" t="s">
        <v>1346</v>
      </c>
      <c r="D8" s="46"/>
      <c r="E8" s="514" t="s">
        <v>1347</v>
      </c>
      <c r="F8" s="46"/>
      <c r="G8" s="515" t="s">
        <v>1348</v>
      </c>
      <c r="H8" s="46"/>
      <c r="I8" s="516" t="s">
        <v>1349</v>
      </c>
      <c r="J8" s="19"/>
      <c r="L8" s="20"/>
      <c r="N8" s="517"/>
      <c r="O8" s="518"/>
      <c r="P8" s="518"/>
      <c r="Q8" s="485"/>
      <c r="T8" s="51" t="s">
        <v>1350</v>
      </c>
      <c r="V8" s="53" t="s">
        <v>1351</v>
      </c>
      <c r="W8" s="41"/>
      <c r="X8" s="41"/>
    </row>
    <row r="9">
      <c r="A9" s="18" t="s">
        <v>119</v>
      </c>
      <c r="B9" s="254"/>
      <c r="C9" s="18" t="s">
        <v>43</v>
      </c>
      <c r="D9" s="254"/>
      <c r="E9" s="18" t="s">
        <v>46</v>
      </c>
      <c r="F9" s="254"/>
      <c r="H9" s="254"/>
      <c r="I9" s="18" t="s">
        <v>32</v>
      </c>
      <c r="J9" s="19"/>
      <c r="L9" s="20"/>
      <c r="N9" s="498" t="s">
        <v>1352</v>
      </c>
      <c r="O9" s="34" t="s">
        <v>11</v>
      </c>
      <c r="P9" s="499" t="s">
        <v>1353</v>
      </c>
      <c r="Q9" s="485"/>
      <c r="T9" s="126" t="s">
        <v>1354</v>
      </c>
      <c r="U9" s="61"/>
      <c r="V9" s="38"/>
    </row>
    <row r="10">
      <c r="A10" s="501" t="s">
        <v>1355</v>
      </c>
      <c r="B10" s="25"/>
      <c r="D10" s="25"/>
      <c r="F10" s="25"/>
      <c r="H10" s="25"/>
      <c r="I10" s="18" t="s">
        <v>42</v>
      </c>
      <c r="J10" s="19"/>
      <c r="L10" s="20"/>
      <c r="N10" s="510" t="s">
        <v>1356</v>
      </c>
      <c r="O10" s="485"/>
      <c r="P10" s="505" t="s">
        <v>1357</v>
      </c>
      <c r="Q10" s="485"/>
    </row>
    <row r="11">
      <c r="A11" s="18" t="s">
        <v>9</v>
      </c>
      <c r="B11" s="30"/>
      <c r="D11" s="30"/>
      <c r="F11" s="30"/>
      <c r="H11" s="30"/>
      <c r="I11" s="18"/>
      <c r="J11" s="19"/>
      <c r="L11" s="20"/>
      <c r="N11" s="511" t="s">
        <v>1358</v>
      </c>
      <c r="O11" s="512"/>
      <c r="P11" s="509" t="s">
        <v>1359</v>
      </c>
      <c r="Q11" s="485"/>
      <c r="T11" s="33" t="s">
        <v>1360</v>
      </c>
      <c r="U11" s="34" t="s">
        <v>11</v>
      </c>
      <c r="V11" s="35" t="s">
        <v>1065</v>
      </c>
    </row>
    <row r="12">
      <c r="A12" s="18" t="s">
        <v>393</v>
      </c>
      <c r="B12" s="30"/>
      <c r="D12" s="30"/>
      <c r="F12" s="30"/>
      <c r="H12" s="30"/>
      <c r="I12" s="24"/>
      <c r="J12" s="19"/>
      <c r="L12" s="20"/>
      <c r="N12" s="506"/>
      <c r="O12" s="485"/>
      <c r="P12" s="485"/>
      <c r="Q12" s="485"/>
      <c r="T12" s="378" t="s">
        <v>1361</v>
      </c>
      <c r="U12" s="37">
        <v>44769.0</v>
      </c>
      <c r="V12" s="62" t="s">
        <v>1362</v>
      </c>
    </row>
    <row r="13">
      <c r="B13" s="40"/>
      <c r="C13" s="24"/>
      <c r="D13" s="40"/>
      <c r="F13" s="40"/>
      <c r="G13" s="41"/>
      <c r="H13" s="40"/>
      <c r="I13" s="41"/>
      <c r="J13" s="63"/>
      <c r="K13" s="64"/>
      <c r="L13" s="46"/>
      <c r="N13" s="448" t="s">
        <v>1363</v>
      </c>
      <c r="O13" s="24"/>
      <c r="P13" s="519" t="s">
        <v>1364</v>
      </c>
      <c r="Q13" s="24"/>
      <c r="R13" s="450" t="s">
        <v>1365</v>
      </c>
    </row>
    <row r="14">
      <c r="B14" s="24"/>
      <c r="C14" s="24"/>
      <c r="D14" s="24"/>
      <c r="E14" s="24"/>
      <c r="F14" s="24"/>
      <c r="G14" s="24"/>
      <c r="H14" s="24"/>
      <c r="I14" s="24"/>
      <c r="N14" s="520" t="s">
        <v>1366</v>
      </c>
      <c r="O14" s="521"/>
      <c r="P14" s="522" t="s">
        <v>1367</v>
      </c>
      <c r="Q14" s="456"/>
      <c r="R14" s="523" t="s">
        <v>1368</v>
      </c>
      <c r="T14" s="398" t="s">
        <v>1369</v>
      </c>
      <c r="U14" s="34" t="s">
        <v>11</v>
      </c>
      <c r="V14" s="35" t="s">
        <v>1370</v>
      </c>
    </row>
    <row r="15">
      <c r="A15" s="18" t="s">
        <v>1371</v>
      </c>
      <c r="B15" s="18"/>
      <c r="C15" s="72"/>
      <c r="D15" s="18"/>
      <c r="E15" s="18"/>
      <c r="G15" s="18"/>
      <c r="H15" s="73" t="s">
        <v>49</v>
      </c>
      <c r="I15" s="74"/>
      <c r="N15" s="524" t="s">
        <v>1372</v>
      </c>
      <c r="O15" s="525"/>
      <c r="P15" s="526" t="s">
        <v>1373</v>
      </c>
      <c r="Q15" s="527"/>
      <c r="R15" s="528" t="s">
        <v>1374</v>
      </c>
      <c r="T15" s="126" t="s">
        <v>1375</v>
      </c>
      <c r="U15" s="61"/>
      <c r="V15" s="62" t="s">
        <v>832</v>
      </c>
    </row>
    <row r="16">
      <c r="A16" s="529" t="s">
        <v>1376</v>
      </c>
      <c r="B16" s="24"/>
      <c r="C16" s="72"/>
      <c r="D16" s="18"/>
      <c r="E16" s="18"/>
      <c r="F16" s="18"/>
      <c r="G16" s="18"/>
      <c r="H16" s="140" t="s">
        <v>142</v>
      </c>
      <c r="I16" s="76"/>
      <c r="N16" s="530" t="s">
        <v>1377</v>
      </c>
      <c r="O16" s="527"/>
      <c r="P16" s="531" t="s">
        <v>1378</v>
      </c>
      <c r="Q16" s="527"/>
      <c r="R16" s="532" t="s">
        <v>1379</v>
      </c>
    </row>
    <row r="17">
      <c r="A17" s="529" t="s">
        <v>1380</v>
      </c>
      <c r="B17" s="18"/>
      <c r="C17" s="72"/>
      <c r="D17" s="18"/>
      <c r="E17" s="18"/>
      <c r="F17" s="18"/>
      <c r="G17" s="18"/>
      <c r="H17" s="141" t="s">
        <v>53</v>
      </c>
      <c r="I17" s="78"/>
      <c r="L17" s="79"/>
      <c r="N17" s="533" t="s">
        <v>1381</v>
      </c>
      <c r="T17" s="33" t="s">
        <v>1382</v>
      </c>
      <c r="U17" s="34" t="s">
        <v>11</v>
      </c>
      <c r="V17" s="35" t="s">
        <v>1383</v>
      </c>
    </row>
    <row r="18">
      <c r="A18" s="80"/>
      <c r="B18" s="81"/>
      <c r="C18" s="82"/>
      <c r="D18" s="24"/>
      <c r="E18" s="24"/>
      <c r="F18" s="18"/>
      <c r="G18" s="18"/>
      <c r="H18" s="24"/>
      <c r="I18" s="24"/>
      <c r="L18" s="79"/>
      <c r="N18" s="506"/>
      <c r="O18" s="518"/>
      <c r="P18" s="518"/>
      <c r="Q18" s="534"/>
      <c r="T18" s="51" t="s">
        <v>1384</v>
      </c>
      <c r="V18" s="53" t="s">
        <v>1385</v>
      </c>
    </row>
    <row r="19">
      <c r="A19" s="535" t="s">
        <v>1386</v>
      </c>
      <c r="B19" s="536"/>
      <c r="C19" s="536"/>
      <c r="F19" s="79"/>
      <c r="G19" s="79"/>
      <c r="I19" s="441" t="s">
        <v>149</v>
      </c>
      <c r="J19" s="412" t="s">
        <v>1387</v>
      </c>
      <c r="K19" s="442" t="s">
        <v>1388</v>
      </c>
      <c r="L19" s="442" t="s">
        <v>1389</v>
      </c>
      <c r="N19" s="498" t="s">
        <v>759</v>
      </c>
      <c r="O19" s="34" t="s">
        <v>11</v>
      </c>
      <c r="P19" s="499" t="s">
        <v>1390</v>
      </c>
      <c r="Q19" s="534"/>
      <c r="T19" s="51" t="s">
        <v>1391</v>
      </c>
      <c r="V19" s="53" t="s">
        <v>1392</v>
      </c>
    </row>
    <row r="20">
      <c r="A20" s="537" t="s">
        <v>1393</v>
      </c>
      <c r="I20" s="444">
        <v>1.0</v>
      </c>
      <c r="J20" s="79" t="s">
        <v>158</v>
      </c>
      <c r="K20" s="150">
        <v>2.0</v>
      </c>
      <c r="L20" s="150" t="s">
        <v>78</v>
      </c>
      <c r="N20" s="510" t="s">
        <v>1394</v>
      </c>
      <c r="O20" s="518"/>
      <c r="P20" s="538"/>
      <c r="Q20" s="534"/>
      <c r="T20" s="126" t="s">
        <v>1395</v>
      </c>
      <c r="U20" s="61"/>
      <c r="V20" s="62" t="s">
        <v>1396</v>
      </c>
    </row>
    <row r="21">
      <c r="F21" s="79"/>
      <c r="G21" s="79"/>
      <c r="I21" s="444">
        <v>2.0</v>
      </c>
      <c r="J21" s="79" t="s">
        <v>157</v>
      </c>
      <c r="K21" s="150">
        <v>33.0</v>
      </c>
      <c r="L21" s="150" t="s">
        <v>78</v>
      </c>
      <c r="N21" s="511" t="s">
        <v>1397</v>
      </c>
      <c r="O21" s="508"/>
      <c r="P21" s="539"/>
    </row>
    <row r="22">
      <c r="A22" s="85"/>
      <c r="F22" s="79"/>
      <c r="G22" s="79"/>
      <c r="I22" s="444">
        <v>3.0</v>
      </c>
      <c r="J22" s="79" t="s">
        <v>157</v>
      </c>
      <c r="K22" s="150">
        <v>241.0</v>
      </c>
      <c r="L22" s="150" t="s">
        <v>158</v>
      </c>
      <c r="N22" s="506"/>
      <c r="O22" s="485"/>
      <c r="P22" s="518"/>
      <c r="Q22" s="534"/>
      <c r="T22" s="33" t="s">
        <v>1398</v>
      </c>
      <c r="U22" s="34" t="s">
        <v>11</v>
      </c>
      <c r="V22" s="35" t="s">
        <v>1399</v>
      </c>
    </row>
    <row r="23">
      <c r="A23" s="154" t="s">
        <v>1400</v>
      </c>
      <c r="B23" s="157"/>
      <c r="C23" s="443" t="s">
        <v>1107</v>
      </c>
      <c r="D23" s="157"/>
      <c r="E23" s="158" t="s">
        <v>1108</v>
      </c>
      <c r="F23" s="157"/>
      <c r="G23" s="158" t="s">
        <v>1109</v>
      </c>
      <c r="I23" s="444">
        <v>4.0</v>
      </c>
      <c r="J23" s="79" t="s">
        <v>157</v>
      </c>
      <c r="K23" s="150">
        <v>167.0</v>
      </c>
      <c r="L23" s="150" t="s">
        <v>2</v>
      </c>
      <c r="N23" s="498" t="s">
        <v>1401</v>
      </c>
      <c r="O23" s="34" t="s">
        <v>11</v>
      </c>
      <c r="P23" s="499" t="s">
        <v>1402</v>
      </c>
      <c r="Q23" s="485"/>
      <c r="T23" s="36"/>
      <c r="U23" s="61"/>
      <c r="V23" s="62" t="s">
        <v>1403</v>
      </c>
    </row>
    <row r="24">
      <c r="A24" s="384" t="s">
        <v>746</v>
      </c>
      <c r="B24" s="44"/>
      <c r="C24" s="385" t="s">
        <v>26</v>
      </c>
      <c r="D24" s="157"/>
      <c r="E24" s="385" t="s">
        <v>59</v>
      </c>
      <c r="F24" s="157"/>
      <c r="G24" s="385" t="s">
        <v>22</v>
      </c>
      <c r="I24" s="444">
        <v>5.0</v>
      </c>
      <c r="J24" s="79" t="s">
        <v>157</v>
      </c>
      <c r="K24" s="150">
        <v>184.0</v>
      </c>
      <c r="L24" s="150" t="s">
        <v>2</v>
      </c>
      <c r="N24" s="510" t="s">
        <v>1404</v>
      </c>
      <c r="O24" s="485"/>
      <c r="P24" s="505" t="s">
        <v>1405</v>
      </c>
      <c r="Q24" s="485"/>
    </row>
    <row r="25">
      <c r="A25" s="384" t="s">
        <v>750</v>
      </c>
      <c r="B25" s="44"/>
      <c r="C25" s="385" t="s">
        <v>22</v>
      </c>
      <c r="D25" s="386"/>
      <c r="E25" s="385" t="s">
        <v>1406</v>
      </c>
      <c r="F25" s="386"/>
      <c r="G25" s="385" t="s">
        <v>26</v>
      </c>
      <c r="I25" s="444">
        <v>6.0</v>
      </c>
      <c r="J25" s="79" t="s">
        <v>158</v>
      </c>
      <c r="K25" s="150">
        <v>29.0</v>
      </c>
      <c r="L25" s="150" t="s">
        <v>157</v>
      </c>
      <c r="N25" s="510" t="s">
        <v>1407</v>
      </c>
      <c r="O25" s="518"/>
      <c r="P25" s="538"/>
      <c r="Q25" s="485"/>
      <c r="T25" s="396" t="s">
        <v>1408</v>
      </c>
      <c r="U25" s="360" t="s">
        <v>11</v>
      </c>
      <c r="V25" s="397" t="s">
        <v>1409</v>
      </c>
    </row>
    <row r="26">
      <c r="A26" s="384" t="s">
        <v>1410</v>
      </c>
      <c r="B26" s="44"/>
      <c r="C26" s="385" t="s">
        <v>22</v>
      </c>
      <c r="D26" s="386"/>
      <c r="E26" s="385" t="s">
        <v>59</v>
      </c>
      <c r="F26" s="386"/>
      <c r="G26" s="385" t="s">
        <v>1061</v>
      </c>
      <c r="I26" s="444">
        <v>7.0</v>
      </c>
      <c r="J26" s="79" t="s">
        <v>59</v>
      </c>
      <c r="K26" s="150">
        <v>227.0</v>
      </c>
      <c r="L26" s="150" t="s">
        <v>2</v>
      </c>
      <c r="N26" s="510" t="s">
        <v>1411</v>
      </c>
      <c r="O26" s="485"/>
      <c r="P26" s="538"/>
    </row>
    <row r="27">
      <c r="A27" s="447" t="s">
        <v>1412</v>
      </c>
      <c r="B27" s="44"/>
      <c r="C27" s="385" t="s">
        <v>1</v>
      </c>
      <c r="D27" s="386"/>
      <c r="E27" s="385" t="s">
        <v>3</v>
      </c>
      <c r="F27" s="386"/>
      <c r="G27" s="385" t="s">
        <v>3</v>
      </c>
      <c r="I27" s="444">
        <v>8.0</v>
      </c>
      <c r="J27" s="79" t="s">
        <v>3</v>
      </c>
      <c r="K27" s="150">
        <v>5.0</v>
      </c>
      <c r="L27" s="150" t="s">
        <v>158</v>
      </c>
      <c r="N27" s="511" t="s">
        <v>1413</v>
      </c>
      <c r="O27" s="508"/>
      <c r="P27" s="513"/>
      <c r="Q27" s="485"/>
      <c r="T27" s="33" t="s">
        <v>1414</v>
      </c>
      <c r="U27" s="34" t="s">
        <v>11</v>
      </c>
      <c r="V27" s="35" t="s">
        <v>1415</v>
      </c>
    </row>
    <row r="28">
      <c r="A28" s="387" t="s">
        <v>1416</v>
      </c>
      <c r="B28" s="388"/>
      <c r="C28" s="389" t="s">
        <v>59</v>
      </c>
      <c r="D28" s="390"/>
      <c r="E28" s="389" t="s">
        <v>1061</v>
      </c>
      <c r="F28" s="386"/>
      <c r="G28" s="389" t="s">
        <v>1</v>
      </c>
      <c r="I28" s="444">
        <v>9.0</v>
      </c>
      <c r="J28" s="79" t="s">
        <v>59</v>
      </c>
      <c r="K28" s="150">
        <v>30.0</v>
      </c>
      <c r="L28" s="150" t="s">
        <v>1</v>
      </c>
      <c r="N28" s="517"/>
      <c r="O28" s="518"/>
      <c r="P28" s="518"/>
      <c r="Q28" s="485"/>
      <c r="T28" s="51" t="s">
        <v>1417</v>
      </c>
      <c r="V28" s="53" t="s">
        <v>1418</v>
      </c>
    </row>
    <row r="29">
      <c r="A29" s="391" t="s">
        <v>1419</v>
      </c>
      <c r="B29" s="392"/>
      <c r="C29" s="393" t="s">
        <v>3</v>
      </c>
      <c r="D29" s="394"/>
      <c r="E29" s="393" t="s">
        <v>78</v>
      </c>
      <c r="F29" s="386"/>
      <c r="G29" s="393" t="s">
        <v>78</v>
      </c>
      <c r="I29" s="444">
        <v>10.0</v>
      </c>
      <c r="J29" s="79" t="s">
        <v>158</v>
      </c>
      <c r="K29" s="150">
        <v>123.0</v>
      </c>
      <c r="L29" s="150" t="s">
        <v>78</v>
      </c>
      <c r="N29" s="498" t="s">
        <v>1420</v>
      </c>
      <c r="O29" s="34" t="s">
        <v>11</v>
      </c>
      <c r="P29" s="499" t="s">
        <v>1421</v>
      </c>
      <c r="Q29" s="485"/>
      <c r="T29" s="51" t="s">
        <v>1422</v>
      </c>
      <c r="V29" s="53" t="s">
        <v>1375</v>
      </c>
    </row>
    <row r="30">
      <c r="A30" s="395" t="s">
        <v>1142</v>
      </c>
      <c r="B30" s="44"/>
      <c r="C30" s="385" t="s">
        <v>22</v>
      </c>
      <c r="D30" s="386"/>
      <c r="E30" s="385" t="s">
        <v>1</v>
      </c>
      <c r="F30" s="386"/>
      <c r="G30" s="385" t="s">
        <v>2</v>
      </c>
      <c r="I30" s="444">
        <v>11.0</v>
      </c>
      <c r="J30" s="79" t="s">
        <v>158</v>
      </c>
      <c r="K30" s="150">
        <v>234.0</v>
      </c>
      <c r="L30" s="150" t="s">
        <v>3</v>
      </c>
      <c r="N30" s="540" t="s">
        <v>1423</v>
      </c>
      <c r="O30" s="485"/>
      <c r="P30" s="505" t="s">
        <v>1232</v>
      </c>
      <c r="Q30" s="485"/>
      <c r="T30" s="36"/>
      <c r="U30" s="61"/>
      <c r="V30" s="62" t="s">
        <v>1424</v>
      </c>
    </row>
    <row r="31">
      <c r="A31" s="395" t="s">
        <v>1425</v>
      </c>
      <c r="B31" s="44"/>
      <c r="C31" s="385" t="s">
        <v>22</v>
      </c>
      <c r="D31" s="386"/>
      <c r="E31" s="385" t="s">
        <v>73</v>
      </c>
      <c r="F31" s="386"/>
      <c r="G31" s="385" t="s">
        <v>157</v>
      </c>
      <c r="I31" s="444">
        <v>12.0</v>
      </c>
      <c r="J31" s="79" t="s">
        <v>78</v>
      </c>
      <c r="K31" s="150">
        <v>15.0</v>
      </c>
      <c r="L31" s="150" t="s">
        <v>3</v>
      </c>
      <c r="N31" s="511" t="s">
        <v>1426</v>
      </c>
      <c r="O31" s="508"/>
      <c r="P31" s="539"/>
      <c r="Q31" s="485"/>
    </row>
    <row r="32">
      <c r="A32" s="395" t="s">
        <v>1427</v>
      </c>
      <c r="B32" s="44"/>
      <c r="C32" s="385" t="s">
        <v>1</v>
      </c>
      <c r="D32" s="386"/>
      <c r="E32" s="385" t="s">
        <v>59</v>
      </c>
      <c r="F32" s="386"/>
      <c r="G32" s="385" t="s">
        <v>59</v>
      </c>
      <c r="I32" s="444">
        <v>13.0</v>
      </c>
      <c r="J32" s="79" t="s">
        <v>59</v>
      </c>
      <c r="K32" s="150">
        <v>6.0</v>
      </c>
      <c r="L32" s="150" t="s">
        <v>3</v>
      </c>
      <c r="N32" s="506"/>
      <c r="O32" s="485"/>
      <c r="P32" s="518"/>
      <c r="Q32" s="485"/>
      <c r="T32" s="33" t="s">
        <v>1121</v>
      </c>
      <c r="U32" s="34" t="s">
        <v>11</v>
      </c>
      <c r="V32" s="35" t="s">
        <v>1428</v>
      </c>
    </row>
    <row r="33">
      <c r="A33" s="395" t="s">
        <v>1429</v>
      </c>
      <c r="B33" s="44"/>
      <c r="C33" s="385" t="s">
        <v>3</v>
      </c>
      <c r="D33" s="386"/>
      <c r="E33" s="385" t="s">
        <v>59</v>
      </c>
      <c r="F33" s="386"/>
      <c r="G33" s="385" t="s">
        <v>73</v>
      </c>
      <c r="I33" s="444">
        <v>14.0</v>
      </c>
      <c r="J33" s="79" t="s">
        <v>157</v>
      </c>
      <c r="K33" s="150">
        <v>240.0</v>
      </c>
      <c r="L33" s="150" t="s">
        <v>3</v>
      </c>
      <c r="N33" s="498" t="s">
        <v>1430</v>
      </c>
      <c r="O33" s="34" t="s">
        <v>11</v>
      </c>
      <c r="P33" s="499" t="s">
        <v>1431</v>
      </c>
      <c r="Q33" s="485"/>
      <c r="T33" s="58"/>
      <c r="V33" s="53" t="s">
        <v>1432</v>
      </c>
    </row>
    <row r="34">
      <c r="I34" s="444">
        <v>15.0</v>
      </c>
      <c r="J34" s="79" t="s">
        <v>78</v>
      </c>
      <c r="K34" s="150">
        <v>23.0</v>
      </c>
      <c r="L34" s="150" t="s">
        <v>3</v>
      </c>
      <c r="N34" s="510" t="s">
        <v>1433</v>
      </c>
      <c r="O34" s="485"/>
      <c r="P34" s="505" t="s">
        <v>1434</v>
      </c>
      <c r="Q34" s="485"/>
      <c r="T34" s="36"/>
      <c r="U34" s="61"/>
      <c r="V34" s="62" t="s">
        <v>1435</v>
      </c>
    </row>
    <row r="35">
      <c r="I35" s="444">
        <v>16.0</v>
      </c>
      <c r="J35" s="79" t="s">
        <v>2</v>
      </c>
      <c r="K35" s="150">
        <v>12.0</v>
      </c>
      <c r="L35" s="150" t="s">
        <v>157</v>
      </c>
      <c r="N35" s="510" t="s">
        <v>1436</v>
      </c>
      <c r="O35" s="485"/>
      <c r="P35" s="541"/>
      <c r="Q35" s="485"/>
    </row>
    <row r="36">
      <c r="I36" s="444">
        <v>17.0</v>
      </c>
      <c r="J36" s="79" t="s">
        <v>2</v>
      </c>
      <c r="K36" s="150">
        <v>46.0</v>
      </c>
      <c r="L36" s="150" t="s">
        <v>1</v>
      </c>
      <c r="N36" s="510" t="s">
        <v>1437</v>
      </c>
      <c r="O36" s="518"/>
      <c r="P36" s="538"/>
      <c r="Q36" s="485"/>
      <c r="T36" s="398" t="s">
        <v>1438</v>
      </c>
      <c r="U36" s="34" t="s">
        <v>11</v>
      </c>
      <c r="V36" s="35" t="s">
        <v>1439</v>
      </c>
    </row>
    <row r="37">
      <c r="I37" s="481">
        <v>18.0</v>
      </c>
      <c r="J37" s="181" t="s">
        <v>59</v>
      </c>
      <c r="K37" s="182">
        <v>114.0</v>
      </c>
      <c r="L37" s="182" t="s">
        <v>157</v>
      </c>
      <c r="N37" s="511" t="s">
        <v>1440</v>
      </c>
      <c r="O37" s="508"/>
      <c r="P37" s="513"/>
      <c r="Q37" s="485"/>
      <c r="T37" s="126" t="s">
        <v>1441</v>
      </c>
      <c r="U37" s="61"/>
      <c r="V37" s="62" t="s">
        <v>1442</v>
      </c>
    </row>
    <row r="38">
      <c r="N38" s="517"/>
      <c r="O38" s="485"/>
      <c r="P38" s="518"/>
      <c r="Q38" s="485"/>
    </row>
    <row r="39">
      <c r="N39" s="498" t="s">
        <v>1443</v>
      </c>
      <c r="O39" s="34" t="s">
        <v>11</v>
      </c>
      <c r="P39" s="499" t="s">
        <v>1444</v>
      </c>
      <c r="Q39" s="485"/>
      <c r="T39" s="33" t="s">
        <v>1445</v>
      </c>
      <c r="U39" s="34" t="s">
        <v>11</v>
      </c>
      <c r="V39" s="35" t="s">
        <v>837</v>
      </c>
    </row>
    <row r="40">
      <c r="I40" s="185" t="s">
        <v>190</v>
      </c>
      <c r="J40" s="186"/>
      <c r="K40" s="185" t="s">
        <v>191</v>
      </c>
      <c r="L40" s="186"/>
      <c r="N40" s="542"/>
      <c r="O40" s="508"/>
      <c r="P40" s="509" t="s">
        <v>1446</v>
      </c>
      <c r="Q40" s="485"/>
      <c r="T40" s="51" t="s">
        <v>1447</v>
      </c>
      <c r="V40" s="53" t="s">
        <v>1448</v>
      </c>
    </row>
    <row r="41">
      <c r="I41" s="51" t="s">
        <v>158</v>
      </c>
      <c r="J41" s="191">
        <f t="shared" ref="J41:J50" si="1">COUNTIF($J$20:$J$37, I41)</f>
        <v>4</v>
      </c>
      <c r="K41" s="51" t="s">
        <v>158</v>
      </c>
      <c r="L41" s="191">
        <f t="shared" ref="L41:L50" si="2">COUNTIF($L$20:$L$37,K41)</f>
        <v>2</v>
      </c>
      <c r="N41" s="506"/>
      <c r="O41" s="485"/>
      <c r="P41" s="518"/>
      <c r="Q41" s="485"/>
      <c r="T41" s="36"/>
      <c r="U41" s="61"/>
      <c r="V41" s="62" t="s">
        <v>1449</v>
      </c>
    </row>
    <row r="42">
      <c r="I42" s="51" t="s">
        <v>157</v>
      </c>
      <c r="J42" s="191">
        <f t="shared" si="1"/>
        <v>5</v>
      </c>
      <c r="K42" s="51" t="s">
        <v>157</v>
      </c>
      <c r="L42" s="191">
        <f t="shared" si="2"/>
        <v>3</v>
      </c>
      <c r="N42" s="498" t="s">
        <v>1450</v>
      </c>
      <c r="O42" s="34" t="s">
        <v>11</v>
      </c>
      <c r="P42" s="499" t="s">
        <v>1451</v>
      </c>
      <c r="Q42" s="485"/>
    </row>
    <row r="43">
      <c r="I43" s="51" t="s">
        <v>59</v>
      </c>
      <c r="J43" s="191">
        <f t="shared" si="1"/>
        <v>4</v>
      </c>
      <c r="K43" s="51" t="s">
        <v>59</v>
      </c>
      <c r="L43" s="191">
        <f t="shared" si="2"/>
        <v>0</v>
      </c>
      <c r="N43" s="542"/>
      <c r="O43" s="508"/>
      <c r="P43" s="509" t="s">
        <v>1452</v>
      </c>
      <c r="Q43" s="485"/>
      <c r="T43" s="396" t="s">
        <v>1453</v>
      </c>
      <c r="U43" s="360" t="s">
        <v>11</v>
      </c>
      <c r="V43" s="397" t="s">
        <v>1454</v>
      </c>
    </row>
    <row r="44">
      <c r="I44" s="51" t="s">
        <v>3</v>
      </c>
      <c r="J44" s="191">
        <f t="shared" si="1"/>
        <v>1</v>
      </c>
      <c r="K44" s="51" t="s">
        <v>3</v>
      </c>
      <c r="L44" s="191">
        <f t="shared" si="2"/>
        <v>5</v>
      </c>
      <c r="N44" s="506"/>
      <c r="O44" s="485"/>
      <c r="P44" s="485"/>
      <c r="Q44" s="485"/>
    </row>
    <row r="45">
      <c r="I45" s="51" t="s">
        <v>2</v>
      </c>
      <c r="J45" s="191">
        <f t="shared" si="1"/>
        <v>2</v>
      </c>
      <c r="K45" s="51" t="s">
        <v>2</v>
      </c>
      <c r="L45" s="191">
        <f t="shared" si="2"/>
        <v>3</v>
      </c>
      <c r="N45" s="498" t="s">
        <v>1455</v>
      </c>
      <c r="O45" s="34" t="s">
        <v>11</v>
      </c>
      <c r="P45" s="499" t="s">
        <v>1456</v>
      </c>
      <c r="Q45" s="485"/>
      <c r="T45" s="33" t="s">
        <v>1457</v>
      </c>
      <c r="U45" s="34" t="s">
        <v>11</v>
      </c>
      <c r="V45" s="35" t="s">
        <v>1458</v>
      </c>
    </row>
    <row r="46">
      <c r="I46" s="51" t="s">
        <v>78</v>
      </c>
      <c r="J46" s="191">
        <f t="shared" si="1"/>
        <v>2</v>
      </c>
      <c r="K46" s="51" t="s">
        <v>78</v>
      </c>
      <c r="L46" s="191">
        <f t="shared" si="2"/>
        <v>3</v>
      </c>
      <c r="N46" s="510" t="s">
        <v>1459</v>
      </c>
      <c r="O46" s="485"/>
      <c r="P46" s="505" t="s">
        <v>1460</v>
      </c>
      <c r="Q46" s="485"/>
      <c r="T46" s="381" t="s">
        <v>1461</v>
      </c>
      <c r="V46" s="53" t="s">
        <v>1462</v>
      </c>
    </row>
    <row r="47">
      <c r="I47" s="51" t="s">
        <v>26</v>
      </c>
      <c r="J47" s="191">
        <f t="shared" si="1"/>
        <v>0</v>
      </c>
      <c r="K47" s="51" t="s">
        <v>26</v>
      </c>
      <c r="L47" s="191">
        <f t="shared" si="2"/>
        <v>0</v>
      </c>
      <c r="N47" s="511" t="s">
        <v>1463</v>
      </c>
      <c r="O47" s="508"/>
      <c r="P47" s="509" t="s">
        <v>1464</v>
      </c>
      <c r="Q47" s="485"/>
      <c r="T47" s="58"/>
      <c r="V47" s="53" t="s">
        <v>1465</v>
      </c>
    </row>
    <row r="48">
      <c r="I48" s="51" t="s">
        <v>22</v>
      </c>
      <c r="J48" s="191">
        <f t="shared" si="1"/>
        <v>0</v>
      </c>
      <c r="K48" s="51" t="s">
        <v>22</v>
      </c>
      <c r="L48" s="191">
        <f t="shared" si="2"/>
        <v>0</v>
      </c>
      <c r="N48" s="506"/>
      <c r="O48" s="485"/>
      <c r="P48" s="485"/>
      <c r="Q48" s="485"/>
      <c r="T48" s="58"/>
      <c r="V48" s="53" t="s">
        <v>1466</v>
      </c>
    </row>
    <row r="49">
      <c r="I49" s="51" t="s">
        <v>1061</v>
      </c>
      <c r="J49" s="191">
        <f t="shared" si="1"/>
        <v>0</v>
      </c>
      <c r="K49" s="51" t="s">
        <v>1061</v>
      </c>
      <c r="L49" s="191">
        <f t="shared" si="2"/>
        <v>0</v>
      </c>
      <c r="N49" s="498" t="s">
        <v>1467</v>
      </c>
      <c r="O49" s="34" t="s">
        <v>11</v>
      </c>
      <c r="P49" s="499" t="s">
        <v>1468</v>
      </c>
      <c r="Q49" s="485"/>
      <c r="T49" s="58"/>
      <c r="V49" s="53" t="s">
        <v>1469</v>
      </c>
    </row>
    <row r="50">
      <c r="I50" s="126" t="s">
        <v>1</v>
      </c>
      <c r="J50" s="407">
        <f t="shared" si="1"/>
        <v>0</v>
      </c>
      <c r="K50" s="126" t="s">
        <v>1</v>
      </c>
      <c r="L50" s="407">
        <f t="shared" si="2"/>
        <v>2</v>
      </c>
      <c r="N50" s="507"/>
      <c r="O50" s="508"/>
      <c r="P50" s="509" t="s">
        <v>1470</v>
      </c>
      <c r="Q50" s="485"/>
      <c r="T50" s="58"/>
      <c r="V50" s="53" t="s">
        <v>1471</v>
      </c>
    </row>
    <row r="51">
      <c r="N51" s="506"/>
      <c r="O51" s="485"/>
      <c r="P51" s="485"/>
      <c r="Q51" s="485"/>
      <c r="T51" s="58"/>
      <c r="V51" s="53" t="s">
        <v>1472</v>
      </c>
    </row>
    <row r="52">
      <c r="N52" s="448" t="s">
        <v>1473</v>
      </c>
      <c r="O52" s="24"/>
      <c r="P52" s="519" t="s">
        <v>1474</v>
      </c>
      <c r="Q52" s="24"/>
      <c r="R52" s="450" t="s">
        <v>1475</v>
      </c>
      <c r="T52" s="36"/>
      <c r="U52" s="61"/>
      <c r="V52" s="62" t="s">
        <v>1476</v>
      </c>
    </row>
    <row r="53">
      <c r="A53" s="207" t="s">
        <v>1477</v>
      </c>
      <c r="N53" s="543" t="s">
        <v>1478</v>
      </c>
      <c r="O53" s="544"/>
      <c r="P53" s="545" t="s">
        <v>1479</v>
      </c>
      <c r="Q53" s="546"/>
      <c r="R53" s="547" t="s">
        <v>1480</v>
      </c>
    </row>
    <row r="54">
      <c r="A54" s="210" t="s">
        <v>279</v>
      </c>
      <c r="B54" s="43"/>
      <c r="C54" s="44"/>
      <c r="D54" s="210" t="s">
        <v>280</v>
      </c>
      <c r="E54" s="43"/>
      <c r="F54" s="43"/>
      <c r="G54" s="44"/>
      <c r="H54" s="210" t="s">
        <v>281</v>
      </c>
      <c r="I54" s="43"/>
      <c r="J54" s="43"/>
      <c r="K54" s="44"/>
      <c r="N54" s="548" t="s">
        <v>1481</v>
      </c>
      <c r="O54" s="549"/>
      <c r="P54" s="550" t="s">
        <v>1482</v>
      </c>
      <c r="Q54" s="551"/>
      <c r="R54" s="518"/>
      <c r="T54" s="33" t="s">
        <v>1483</v>
      </c>
      <c r="U54" s="34" t="s">
        <v>11</v>
      </c>
      <c r="V54" s="35" t="s">
        <v>1484</v>
      </c>
    </row>
    <row r="55">
      <c r="A55" s="214" t="s">
        <v>1485</v>
      </c>
      <c r="B55" s="43"/>
      <c r="C55" s="44"/>
      <c r="D55" s="214" t="s">
        <v>1486</v>
      </c>
      <c r="E55" s="43"/>
      <c r="F55" s="43"/>
      <c r="G55" s="44"/>
      <c r="H55" s="214" t="s">
        <v>1487</v>
      </c>
      <c r="I55" s="43"/>
      <c r="J55" s="43"/>
      <c r="K55" s="44"/>
      <c r="N55" s="548" t="s">
        <v>1488</v>
      </c>
      <c r="O55" s="551"/>
      <c r="P55" s="552" t="s">
        <v>1489</v>
      </c>
      <c r="Q55" s="551"/>
      <c r="R55" s="518"/>
      <c r="T55" s="51" t="s">
        <v>1490</v>
      </c>
      <c r="U55" s="52">
        <v>44753.0</v>
      </c>
      <c r="V55" s="53" t="s">
        <v>1491</v>
      </c>
    </row>
    <row r="56">
      <c r="A56" s="214" t="s">
        <v>1492</v>
      </c>
      <c r="B56" s="43"/>
      <c r="C56" s="44"/>
      <c r="D56" s="214" t="s">
        <v>1493</v>
      </c>
      <c r="E56" s="43"/>
      <c r="F56" s="43"/>
      <c r="G56" s="44"/>
      <c r="H56" s="214" t="s">
        <v>1494</v>
      </c>
      <c r="I56" s="43"/>
      <c r="J56" s="43"/>
      <c r="K56" s="44"/>
      <c r="N56" s="553" t="s">
        <v>1495</v>
      </c>
      <c r="O56" s="485"/>
      <c r="P56" s="554" t="s">
        <v>1496</v>
      </c>
      <c r="Q56" s="485"/>
      <c r="R56" s="485"/>
      <c r="T56" s="51" t="s">
        <v>1497</v>
      </c>
      <c r="V56" s="53" t="s">
        <v>1498</v>
      </c>
    </row>
    <row r="57">
      <c r="A57" s="214" t="s">
        <v>1499</v>
      </c>
      <c r="B57" s="43"/>
      <c r="C57" s="44"/>
      <c r="D57" s="214" t="s">
        <v>1500</v>
      </c>
      <c r="E57" s="43"/>
      <c r="F57" s="43"/>
      <c r="G57" s="44"/>
      <c r="H57" s="214" t="s">
        <v>1501</v>
      </c>
      <c r="I57" s="43"/>
      <c r="J57" s="43"/>
      <c r="K57" s="44"/>
      <c r="N57" s="555" t="s">
        <v>1502</v>
      </c>
      <c r="O57" s="485"/>
      <c r="P57" s="556" t="s">
        <v>1503</v>
      </c>
      <c r="Q57" s="485"/>
      <c r="R57" s="485"/>
      <c r="T57" s="51" t="s">
        <v>1504</v>
      </c>
      <c r="V57" s="53" t="s">
        <v>1505</v>
      </c>
    </row>
    <row r="58">
      <c r="A58" s="214" t="s">
        <v>1506</v>
      </c>
      <c r="B58" s="43"/>
      <c r="C58" s="44"/>
      <c r="D58" s="214" t="s">
        <v>1507</v>
      </c>
      <c r="E58" s="43"/>
      <c r="F58" s="43"/>
      <c r="G58" s="44"/>
      <c r="H58" s="214" t="s">
        <v>1508</v>
      </c>
      <c r="I58" s="43"/>
      <c r="J58" s="43"/>
      <c r="K58" s="44"/>
      <c r="N58" s="506"/>
      <c r="O58" s="485"/>
      <c r="P58" s="485"/>
      <c r="Q58" s="485"/>
      <c r="T58" s="58"/>
      <c r="V58" s="53" t="s">
        <v>1074</v>
      </c>
    </row>
    <row r="59">
      <c r="A59" s="214" t="s">
        <v>1509</v>
      </c>
      <c r="B59" s="43"/>
      <c r="C59" s="44"/>
      <c r="D59" s="214" t="s">
        <v>1510</v>
      </c>
      <c r="E59" s="43"/>
      <c r="F59" s="43"/>
      <c r="G59" s="44"/>
      <c r="H59" s="214" t="s">
        <v>1511</v>
      </c>
      <c r="I59" s="43"/>
      <c r="J59" s="43"/>
      <c r="K59" s="44"/>
      <c r="N59" s="498" t="s">
        <v>1512</v>
      </c>
      <c r="O59" s="34" t="s">
        <v>11</v>
      </c>
      <c r="P59" s="499" t="s">
        <v>1513</v>
      </c>
      <c r="Q59" s="485"/>
      <c r="T59" s="58"/>
      <c r="V59" s="53" t="s">
        <v>1514</v>
      </c>
    </row>
    <row r="60">
      <c r="A60" s="214" t="s">
        <v>1515</v>
      </c>
      <c r="B60" s="43"/>
      <c r="C60" s="44"/>
      <c r="D60" s="214" t="s">
        <v>1516</v>
      </c>
      <c r="E60" s="43"/>
      <c r="F60" s="43"/>
      <c r="G60" s="44"/>
      <c r="H60" s="214" t="s">
        <v>1517</v>
      </c>
      <c r="I60" s="43"/>
      <c r="J60" s="43"/>
      <c r="K60" s="44"/>
      <c r="N60" s="511" t="s">
        <v>1518</v>
      </c>
      <c r="O60" s="508"/>
      <c r="P60" s="513"/>
      <c r="Q60" s="485"/>
      <c r="T60" s="36"/>
      <c r="U60" s="61"/>
      <c r="V60" s="557" t="s">
        <v>1519</v>
      </c>
    </row>
    <row r="61">
      <c r="A61" s="214" t="s">
        <v>1520</v>
      </c>
      <c r="B61" s="43"/>
      <c r="C61" s="44"/>
      <c r="D61" s="214" t="s">
        <v>1521</v>
      </c>
      <c r="E61" s="43"/>
      <c r="F61" s="43"/>
      <c r="G61" s="44"/>
      <c r="H61" s="214" t="s">
        <v>1522</v>
      </c>
      <c r="I61" s="43"/>
      <c r="J61" s="43"/>
      <c r="K61" s="44"/>
      <c r="N61" s="506"/>
      <c r="O61" s="485"/>
      <c r="P61" s="485"/>
      <c r="Q61" s="485"/>
    </row>
    <row r="62">
      <c r="A62" s="214" t="s">
        <v>1523</v>
      </c>
      <c r="B62" s="43"/>
      <c r="C62" s="44"/>
      <c r="D62" s="214" t="s">
        <v>1524</v>
      </c>
      <c r="E62" s="43"/>
      <c r="F62" s="43"/>
      <c r="G62" s="44"/>
      <c r="H62" s="214" t="s">
        <v>1525</v>
      </c>
      <c r="I62" s="43"/>
      <c r="J62" s="43"/>
      <c r="K62" s="44"/>
      <c r="N62" s="558" t="s">
        <v>1526</v>
      </c>
      <c r="O62" s="360" t="s">
        <v>11</v>
      </c>
      <c r="P62" s="361" t="s">
        <v>1527</v>
      </c>
      <c r="Q62" s="485"/>
      <c r="T62" s="33" t="s">
        <v>1528</v>
      </c>
      <c r="U62" s="34" t="s">
        <v>11</v>
      </c>
      <c r="V62" s="399" t="s">
        <v>1529</v>
      </c>
    </row>
    <row r="63">
      <c r="A63" s="214" t="s">
        <v>1530</v>
      </c>
      <c r="B63" s="43"/>
      <c r="C63" s="44"/>
      <c r="D63" s="214" t="s">
        <v>1531</v>
      </c>
      <c r="E63" s="43"/>
      <c r="F63" s="43"/>
      <c r="G63" s="44"/>
      <c r="H63" s="214" t="s">
        <v>1532</v>
      </c>
      <c r="I63" s="43"/>
      <c r="J63" s="43"/>
      <c r="K63" s="44"/>
      <c r="N63" s="506"/>
      <c r="O63" s="485"/>
      <c r="P63" s="485"/>
      <c r="Q63" s="485"/>
      <c r="T63" s="51" t="s">
        <v>1533</v>
      </c>
      <c r="V63" s="53" t="s">
        <v>1534</v>
      </c>
    </row>
    <row r="64">
      <c r="A64" s="214" t="s">
        <v>1535</v>
      </c>
      <c r="B64" s="43"/>
      <c r="C64" s="44"/>
      <c r="D64" s="214" t="s">
        <v>1536</v>
      </c>
      <c r="E64" s="43"/>
      <c r="F64" s="43"/>
      <c r="G64" s="44"/>
      <c r="H64" s="214" t="s">
        <v>1537</v>
      </c>
      <c r="I64" s="43"/>
      <c r="J64" s="43"/>
      <c r="K64" s="44"/>
      <c r="N64" s="498" t="s">
        <v>1538</v>
      </c>
      <c r="O64" s="34" t="s">
        <v>11</v>
      </c>
      <c r="P64" s="499" t="s">
        <v>1539</v>
      </c>
      <c r="Q64" s="485"/>
      <c r="T64" s="381" t="s">
        <v>1540</v>
      </c>
      <c r="V64" s="53" t="s">
        <v>1541</v>
      </c>
    </row>
    <row r="65">
      <c r="N65" s="511" t="s">
        <v>1542</v>
      </c>
      <c r="O65" s="508"/>
      <c r="P65" s="513"/>
      <c r="Q65" s="485"/>
      <c r="T65" s="36"/>
      <c r="U65" s="61"/>
      <c r="V65" s="62" t="s">
        <v>1543</v>
      </c>
    </row>
    <row r="66">
      <c r="A66" s="210" t="s">
        <v>332</v>
      </c>
      <c r="B66" s="43"/>
      <c r="C66" s="43"/>
      <c r="D66" s="44"/>
      <c r="E66" s="210" t="s">
        <v>333</v>
      </c>
      <c r="F66" s="43"/>
      <c r="G66" s="43"/>
      <c r="H66" s="44"/>
      <c r="I66" s="210" t="s">
        <v>334</v>
      </c>
      <c r="J66" s="43"/>
      <c r="K66" s="43"/>
      <c r="L66" s="44"/>
      <c r="N66" s="506"/>
      <c r="O66" s="485"/>
      <c r="P66" s="485"/>
      <c r="Q66" s="485"/>
    </row>
    <row r="67">
      <c r="A67" s="214" t="s">
        <v>1544</v>
      </c>
      <c r="B67" s="43"/>
      <c r="C67" s="43"/>
      <c r="D67" s="44"/>
      <c r="E67" s="214" t="s">
        <v>1545</v>
      </c>
      <c r="F67" s="43"/>
      <c r="G67" s="43"/>
      <c r="H67" s="44"/>
      <c r="I67" s="214" t="s">
        <v>1546</v>
      </c>
      <c r="J67" s="43"/>
      <c r="K67" s="43"/>
      <c r="L67" s="44"/>
      <c r="N67" s="498" t="s">
        <v>1547</v>
      </c>
      <c r="O67" s="34" t="s">
        <v>11</v>
      </c>
      <c r="P67" s="499" t="s">
        <v>1548</v>
      </c>
      <c r="Q67" s="485"/>
      <c r="T67" s="33" t="s">
        <v>1549</v>
      </c>
      <c r="U67" s="34" t="s">
        <v>11</v>
      </c>
      <c r="V67" s="35" t="s">
        <v>1550</v>
      </c>
    </row>
    <row r="68">
      <c r="A68" s="214" t="s">
        <v>1551</v>
      </c>
      <c r="B68" s="43"/>
      <c r="C68" s="43"/>
      <c r="D68" s="44"/>
      <c r="E68" s="214" t="s">
        <v>1551</v>
      </c>
      <c r="F68" s="43"/>
      <c r="G68" s="43"/>
      <c r="H68" s="44"/>
      <c r="I68" s="214" t="s">
        <v>1551</v>
      </c>
      <c r="J68" s="43"/>
      <c r="K68" s="43"/>
      <c r="L68" s="44"/>
      <c r="N68" s="510" t="s">
        <v>1552</v>
      </c>
      <c r="O68" s="485"/>
      <c r="P68" s="505" t="s">
        <v>1553</v>
      </c>
      <c r="Q68" s="485"/>
      <c r="T68" s="58"/>
      <c r="V68" s="53" t="s">
        <v>1554</v>
      </c>
    </row>
    <row r="69">
      <c r="A69" s="214" t="s">
        <v>1555</v>
      </c>
      <c r="B69" s="43"/>
      <c r="C69" s="43"/>
      <c r="D69" s="44"/>
      <c r="E69" s="214" t="s">
        <v>1556</v>
      </c>
      <c r="F69" s="43"/>
      <c r="G69" s="43"/>
      <c r="H69" s="44"/>
      <c r="I69" s="214" t="s">
        <v>1556</v>
      </c>
      <c r="J69" s="43"/>
      <c r="K69" s="43"/>
      <c r="L69" s="44"/>
      <c r="N69" s="510" t="s">
        <v>1557</v>
      </c>
      <c r="O69" s="485"/>
      <c r="P69" s="541"/>
      <c r="Q69" s="485"/>
      <c r="T69" s="36"/>
      <c r="U69" s="61"/>
      <c r="V69" s="62" t="s">
        <v>1558</v>
      </c>
    </row>
    <row r="70">
      <c r="A70" s="214" t="s">
        <v>1559</v>
      </c>
      <c r="B70" s="43"/>
      <c r="C70" s="43"/>
      <c r="D70" s="44"/>
      <c r="E70" s="214" t="s">
        <v>1560</v>
      </c>
      <c r="F70" s="43"/>
      <c r="G70" s="43"/>
      <c r="H70" s="44"/>
      <c r="I70" s="214" t="s">
        <v>1561</v>
      </c>
      <c r="J70" s="43"/>
      <c r="K70" s="43"/>
      <c r="L70" s="44"/>
      <c r="N70" s="511" t="s">
        <v>1562</v>
      </c>
      <c r="O70" s="508"/>
      <c r="P70" s="513"/>
      <c r="Q70" s="485"/>
    </row>
    <row r="71">
      <c r="A71" s="214" t="s">
        <v>1563</v>
      </c>
      <c r="B71" s="43"/>
      <c r="C71" s="43"/>
      <c r="D71" s="44"/>
      <c r="E71" s="214" t="s">
        <v>1564</v>
      </c>
      <c r="F71" s="43"/>
      <c r="G71" s="43"/>
      <c r="H71" s="44"/>
      <c r="I71" s="214" t="s">
        <v>1565</v>
      </c>
      <c r="J71" s="43"/>
      <c r="K71" s="43"/>
      <c r="L71" s="44"/>
      <c r="N71" s="506"/>
      <c r="O71" s="485"/>
      <c r="P71" s="485"/>
      <c r="Q71" s="485"/>
      <c r="T71" s="33" t="s">
        <v>1566</v>
      </c>
      <c r="U71" s="34" t="s">
        <v>11</v>
      </c>
      <c r="V71" s="35" t="s">
        <v>1567</v>
      </c>
    </row>
    <row r="72">
      <c r="A72" s="214" t="s">
        <v>1568</v>
      </c>
      <c r="B72" s="43"/>
      <c r="C72" s="43"/>
      <c r="D72" s="44"/>
      <c r="E72" s="214" t="s">
        <v>1569</v>
      </c>
      <c r="F72" s="43"/>
      <c r="G72" s="43"/>
      <c r="H72" s="44"/>
      <c r="I72" s="214" t="s">
        <v>1570</v>
      </c>
      <c r="J72" s="43"/>
      <c r="K72" s="43"/>
      <c r="L72" s="44"/>
      <c r="Q72" s="485"/>
      <c r="T72" s="51" t="s">
        <v>1571</v>
      </c>
      <c r="V72" s="53" t="s">
        <v>1572</v>
      </c>
    </row>
    <row r="73">
      <c r="A73" s="214" t="s">
        <v>1573</v>
      </c>
      <c r="B73" s="43"/>
      <c r="C73" s="43"/>
      <c r="D73" s="44"/>
      <c r="E73" s="214" t="s">
        <v>1573</v>
      </c>
      <c r="F73" s="43"/>
      <c r="G73" s="43"/>
      <c r="H73" s="44"/>
      <c r="I73" s="214" t="s">
        <v>1573</v>
      </c>
      <c r="J73" s="43"/>
      <c r="K73" s="43"/>
      <c r="L73" s="44"/>
      <c r="Q73" s="485"/>
      <c r="T73" s="51" t="s">
        <v>1574</v>
      </c>
      <c r="V73" s="53" t="s">
        <v>1575</v>
      </c>
    </row>
    <row r="74">
      <c r="A74" s="214" t="s">
        <v>1576</v>
      </c>
      <c r="B74" s="43"/>
      <c r="C74" s="43"/>
      <c r="D74" s="44"/>
      <c r="E74" s="214" t="s">
        <v>1576</v>
      </c>
      <c r="F74" s="43"/>
      <c r="G74" s="43"/>
      <c r="H74" s="44"/>
      <c r="I74" s="214" t="s">
        <v>1576</v>
      </c>
      <c r="J74" s="43"/>
      <c r="K74" s="43"/>
      <c r="L74" s="44"/>
      <c r="Q74" s="485"/>
      <c r="T74" s="126" t="s">
        <v>1577</v>
      </c>
      <c r="U74" s="61"/>
      <c r="V74" s="62" t="s">
        <v>1578</v>
      </c>
    </row>
    <row r="75">
      <c r="A75" s="214" t="s">
        <v>1579</v>
      </c>
      <c r="B75" s="43"/>
      <c r="C75" s="43"/>
      <c r="D75" s="44"/>
      <c r="E75" s="214" t="s">
        <v>1580</v>
      </c>
      <c r="F75" s="43"/>
      <c r="G75" s="43"/>
      <c r="H75" s="44"/>
      <c r="I75" s="214" t="s">
        <v>1581</v>
      </c>
      <c r="J75" s="43"/>
      <c r="K75" s="43"/>
      <c r="L75" s="44"/>
      <c r="N75" s="506"/>
      <c r="O75" s="485"/>
      <c r="P75" s="485"/>
      <c r="Q75" s="485"/>
    </row>
    <row r="76">
      <c r="A76" s="214" t="s">
        <v>1582</v>
      </c>
      <c r="B76" s="43"/>
      <c r="C76" s="43"/>
      <c r="D76" s="44"/>
      <c r="E76" s="214" t="s">
        <v>1583</v>
      </c>
      <c r="F76" s="43"/>
      <c r="G76" s="43"/>
      <c r="H76" s="44"/>
      <c r="I76" s="214" t="s">
        <v>1583</v>
      </c>
      <c r="J76" s="43"/>
      <c r="K76" s="43"/>
      <c r="L76" s="44"/>
      <c r="N76" s="506"/>
      <c r="O76" s="485"/>
      <c r="P76" s="485"/>
      <c r="Q76" s="485"/>
      <c r="T76" s="398" t="s">
        <v>1584</v>
      </c>
      <c r="U76" s="34" t="s">
        <v>11</v>
      </c>
      <c r="V76" s="35" t="s">
        <v>1585</v>
      </c>
    </row>
    <row r="77">
      <c r="N77" s="506"/>
      <c r="O77" s="485"/>
      <c r="P77" s="485"/>
      <c r="Q77" s="485"/>
      <c r="T77" s="126" t="s">
        <v>1441</v>
      </c>
      <c r="U77" s="61"/>
      <c r="V77" s="62" t="s">
        <v>1586</v>
      </c>
    </row>
    <row r="78">
      <c r="A78" s="79" t="s">
        <v>1587</v>
      </c>
      <c r="N78" s="506"/>
      <c r="O78" s="485"/>
      <c r="P78" s="485"/>
      <c r="Q78" s="485"/>
    </row>
    <row r="79">
      <c r="A79" s="79" t="s">
        <v>1588</v>
      </c>
      <c r="N79" s="506"/>
      <c r="O79" s="485"/>
      <c r="P79" s="485"/>
      <c r="Q79" s="485"/>
      <c r="T79" s="396" t="s">
        <v>1589</v>
      </c>
      <c r="U79" s="360" t="s">
        <v>11</v>
      </c>
      <c r="V79" s="397" t="s">
        <v>1590</v>
      </c>
    </row>
    <row r="80">
      <c r="A80" s="79" t="s">
        <v>1591</v>
      </c>
      <c r="N80" s="506"/>
      <c r="O80" s="485"/>
      <c r="P80" s="485"/>
      <c r="Q80" s="485"/>
    </row>
    <row r="81">
      <c r="N81" s="506"/>
      <c r="O81" s="485"/>
      <c r="P81" s="485"/>
      <c r="Q81" s="485"/>
      <c r="T81" s="33" t="s">
        <v>1592</v>
      </c>
      <c r="U81" s="34" t="s">
        <v>11</v>
      </c>
      <c r="V81" s="35" t="s">
        <v>1593</v>
      </c>
    </row>
    <row r="82">
      <c r="N82" s="506"/>
      <c r="O82" s="485"/>
      <c r="P82" s="485"/>
      <c r="Q82" s="485"/>
      <c r="T82" s="381" t="s">
        <v>1594</v>
      </c>
      <c r="V82" s="53" t="s">
        <v>1595</v>
      </c>
    </row>
    <row r="83">
      <c r="N83" s="506"/>
      <c r="O83" s="485"/>
      <c r="P83" s="485"/>
      <c r="Q83" s="485"/>
      <c r="T83" s="381" t="s">
        <v>1596</v>
      </c>
      <c r="V83" s="53" t="s">
        <v>1597</v>
      </c>
    </row>
    <row r="84">
      <c r="N84" s="506"/>
      <c r="O84" s="485"/>
      <c r="P84" s="485"/>
      <c r="Q84" s="485"/>
      <c r="T84" s="36"/>
      <c r="U84" s="61"/>
      <c r="V84" s="62" t="s">
        <v>1598</v>
      </c>
    </row>
    <row r="85">
      <c r="N85" s="506"/>
      <c r="O85" s="485"/>
      <c r="P85" s="485"/>
      <c r="Q85" s="485"/>
    </row>
    <row r="86">
      <c r="N86" s="506"/>
      <c r="O86" s="485"/>
      <c r="P86" s="485"/>
      <c r="Q86" s="485"/>
      <c r="T86" s="559" t="s">
        <v>1599</v>
      </c>
      <c r="U86" s="360" t="s">
        <v>11</v>
      </c>
      <c r="V86" s="560" t="s">
        <v>1600</v>
      </c>
    </row>
    <row r="87">
      <c r="N87" s="506"/>
      <c r="O87" s="485"/>
      <c r="P87" s="485"/>
      <c r="Q87" s="485"/>
    </row>
    <row r="88">
      <c r="N88" s="506"/>
      <c r="O88" s="485"/>
      <c r="P88" s="485"/>
      <c r="Q88" s="485"/>
      <c r="T88" s="448" t="s">
        <v>1601</v>
      </c>
      <c r="U88" s="24"/>
      <c r="V88" s="519" t="s">
        <v>1602</v>
      </c>
      <c r="X88" s="450" t="s">
        <v>1603</v>
      </c>
    </row>
    <row r="89">
      <c r="N89" s="506"/>
      <c r="O89" s="485"/>
      <c r="P89" s="485"/>
      <c r="Q89" s="485"/>
      <c r="T89" s="561" t="s">
        <v>1604</v>
      </c>
      <c r="U89" s="544"/>
      <c r="V89" s="562" t="s">
        <v>1605</v>
      </c>
      <c r="W89" s="544"/>
      <c r="X89" s="563" t="s">
        <v>1606</v>
      </c>
    </row>
    <row r="90">
      <c r="N90" s="506"/>
      <c r="O90" s="485"/>
      <c r="P90" s="485"/>
      <c r="Q90" s="485"/>
      <c r="T90" s="548"/>
      <c r="U90" s="549"/>
      <c r="V90" s="564" t="s">
        <v>1607</v>
      </c>
      <c r="W90" s="549"/>
      <c r="X90" s="565" t="s">
        <v>1608</v>
      </c>
    </row>
    <row r="91">
      <c r="N91" s="506"/>
      <c r="O91" s="485"/>
      <c r="P91" s="485"/>
      <c r="Q91" s="485"/>
      <c r="T91" s="548"/>
      <c r="U91" s="551"/>
      <c r="V91" s="566" t="s">
        <v>1609</v>
      </c>
      <c r="W91" s="551"/>
      <c r="X91" s="567" t="s">
        <v>1610</v>
      </c>
    </row>
    <row r="92">
      <c r="N92" s="506"/>
      <c r="O92" s="485"/>
      <c r="P92" s="485"/>
      <c r="Q92" s="485"/>
      <c r="T92" s="553"/>
      <c r="U92" s="485"/>
      <c r="V92" s="554"/>
      <c r="W92" s="485"/>
      <c r="X92" s="485"/>
    </row>
    <row r="93">
      <c r="N93" s="506"/>
      <c r="O93" s="485"/>
      <c r="P93" s="485"/>
      <c r="Q93" s="485"/>
      <c r="T93" s="555"/>
      <c r="U93" s="485"/>
      <c r="V93" s="556"/>
      <c r="W93" s="485"/>
      <c r="X93" s="485"/>
    </row>
    <row r="94">
      <c r="N94" s="506"/>
      <c r="O94" s="485"/>
      <c r="P94" s="485"/>
      <c r="Q94" s="485"/>
    </row>
    <row r="95">
      <c r="N95" s="506"/>
      <c r="O95" s="485"/>
      <c r="P95" s="485"/>
      <c r="Q95" s="485"/>
      <c r="T95" s="33" t="s">
        <v>1611</v>
      </c>
      <c r="U95" s="34" t="s">
        <v>11</v>
      </c>
      <c r="V95" s="35" t="s">
        <v>1612</v>
      </c>
    </row>
    <row r="96">
      <c r="N96" s="506"/>
      <c r="O96" s="485"/>
      <c r="P96" s="485"/>
      <c r="Q96" s="485"/>
      <c r="T96" s="51" t="s">
        <v>1613</v>
      </c>
      <c r="V96" s="53" t="s">
        <v>1614</v>
      </c>
    </row>
    <row r="97">
      <c r="N97" s="506"/>
      <c r="O97" s="485"/>
      <c r="P97" s="485"/>
      <c r="Q97" s="485"/>
      <c r="T97" s="51" t="s">
        <v>1615</v>
      </c>
      <c r="V97" s="53" t="s">
        <v>1616</v>
      </c>
    </row>
    <row r="98">
      <c r="N98" s="506"/>
      <c r="O98" s="485"/>
      <c r="P98" s="485"/>
      <c r="Q98" s="485"/>
      <c r="T98" s="126" t="s">
        <v>1617</v>
      </c>
      <c r="U98" s="61"/>
      <c r="V98" s="38"/>
    </row>
    <row r="99">
      <c r="N99" s="506"/>
      <c r="O99" s="485"/>
      <c r="P99" s="485"/>
      <c r="Q99" s="485"/>
    </row>
    <row r="100">
      <c r="N100" s="506"/>
      <c r="O100" s="485"/>
      <c r="P100" s="485"/>
      <c r="Q100" s="485"/>
      <c r="T100" s="33" t="s">
        <v>1618</v>
      </c>
      <c r="U100" s="34" t="s">
        <v>11</v>
      </c>
      <c r="V100" s="35" t="s">
        <v>1619</v>
      </c>
    </row>
    <row r="101">
      <c r="N101" s="506"/>
      <c r="O101" s="485"/>
      <c r="P101" s="485"/>
      <c r="Q101" s="485"/>
      <c r="T101" s="51" t="s">
        <v>1620</v>
      </c>
      <c r="V101" s="53" t="s">
        <v>1621</v>
      </c>
    </row>
    <row r="102">
      <c r="N102" s="506"/>
      <c r="O102" s="485"/>
      <c r="P102" s="485"/>
      <c r="Q102" s="485"/>
      <c r="T102" s="58"/>
      <c r="V102" s="53" t="s">
        <v>1622</v>
      </c>
    </row>
    <row r="103">
      <c r="N103" s="506"/>
      <c r="O103" s="485"/>
      <c r="P103" s="485"/>
      <c r="Q103" s="485"/>
      <c r="T103" s="36"/>
      <c r="U103" s="61"/>
      <c r="V103" s="62" t="s">
        <v>1623</v>
      </c>
    </row>
    <row r="104">
      <c r="N104" s="506"/>
      <c r="O104" s="485"/>
      <c r="P104" s="485"/>
      <c r="Q104" s="485"/>
    </row>
    <row r="105">
      <c r="N105" s="506"/>
      <c r="O105" s="485"/>
      <c r="P105" s="485"/>
      <c r="Q105" s="485"/>
      <c r="T105" s="33" t="s">
        <v>155</v>
      </c>
      <c r="U105" s="34" t="s">
        <v>11</v>
      </c>
      <c r="V105" s="35" t="s">
        <v>1624</v>
      </c>
    </row>
    <row r="106">
      <c r="N106" s="506"/>
      <c r="O106" s="485"/>
      <c r="P106" s="485"/>
      <c r="Q106" s="485"/>
      <c r="T106" s="51" t="s">
        <v>1625</v>
      </c>
      <c r="V106" s="53" t="s">
        <v>1626</v>
      </c>
    </row>
    <row r="107">
      <c r="N107" s="506"/>
      <c r="O107" s="485"/>
      <c r="P107" s="485"/>
      <c r="Q107" s="485"/>
      <c r="T107" s="51" t="s">
        <v>1627</v>
      </c>
      <c r="V107" s="53" t="s">
        <v>1135</v>
      </c>
    </row>
    <row r="108">
      <c r="N108" s="506"/>
      <c r="O108" s="485"/>
      <c r="P108" s="485"/>
      <c r="Q108" s="485"/>
      <c r="T108" s="36"/>
      <c r="U108" s="61"/>
      <c r="V108" s="62" t="s">
        <v>1628</v>
      </c>
    </row>
    <row r="109">
      <c r="N109" s="506"/>
      <c r="O109" s="485"/>
      <c r="P109" s="485"/>
      <c r="Q109" s="485"/>
    </row>
    <row r="110">
      <c r="N110" s="506"/>
      <c r="O110" s="485"/>
      <c r="P110" s="485"/>
      <c r="Q110" s="485"/>
      <c r="T110" s="494" t="s">
        <v>1629</v>
      </c>
      <c r="U110" s="109"/>
      <c r="V110" s="568">
        <v>44780.0</v>
      </c>
    </row>
    <row r="111">
      <c r="N111" s="506"/>
      <c r="O111" s="485"/>
      <c r="P111" s="485"/>
      <c r="Q111" s="485"/>
    </row>
    <row r="112">
      <c r="N112" s="506"/>
      <c r="O112" s="485"/>
      <c r="P112" s="485"/>
      <c r="Q112" s="485"/>
      <c r="T112" s="398" t="s">
        <v>1630</v>
      </c>
      <c r="U112" s="34" t="s">
        <v>11</v>
      </c>
      <c r="V112" s="35" t="s">
        <v>1631</v>
      </c>
    </row>
    <row r="113">
      <c r="N113" s="506"/>
      <c r="O113" s="485"/>
      <c r="P113" s="485"/>
      <c r="Q113" s="485"/>
      <c r="T113" s="36"/>
      <c r="U113" s="61"/>
      <c r="V113" s="62" t="s">
        <v>1632</v>
      </c>
    </row>
    <row r="114">
      <c r="N114" s="506"/>
      <c r="O114" s="485"/>
      <c r="P114" s="485"/>
      <c r="Q114" s="485"/>
    </row>
    <row r="115">
      <c r="N115" s="506"/>
      <c r="O115" s="485"/>
      <c r="P115" s="485"/>
      <c r="Q115" s="485"/>
      <c r="T115" s="398" t="s">
        <v>1633</v>
      </c>
      <c r="U115" s="34" t="s">
        <v>11</v>
      </c>
      <c r="V115" s="35" t="s">
        <v>1634</v>
      </c>
    </row>
    <row r="116">
      <c r="N116" s="506"/>
      <c r="O116" s="485"/>
      <c r="P116" s="485"/>
      <c r="Q116" s="485"/>
      <c r="T116" s="381" t="s">
        <v>1635</v>
      </c>
      <c r="V116" s="569" t="s">
        <v>1636</v>
      </c>
    </row>
    <row r="117">
      <c r="N117" s="506"/>
      <c r="O117" s="485"/>
      <c r="P117" s="485"/>
      <c r="Q117" s="485"/>
      <c r="T117" s="36"/>
      <c r="U117" s="61"/>
      <c r="V117" s="62" t="s">
        <v>1637</v>
      </c>
    </row>
    <row r="118">
      <c r="N118" s="506"/>
      <c r="O118" s="485"/>
      <c r="P118" s="485"/>
      <c r="Q118" s="485"/>
    </row>
    <row r="119">
      <c r="N119" s="506"/>
      <c r="O119" s="485"/>
      <c r="P119" s="485"/>
      <c r="Q119" s="485"/>
    </row>
    <row r="120">
      <c r="N120" s="506"/>
      <c r="O120" s="485"/>
      <c r="P120" s="485"/>
      <c r="Q120" s="485"/>
    </row>
    <row r="121">
      <c r="N121" s="506"/>
      <c r="O121" s="485"/>
      <c r="P121" s="485"/>
      <c r="Q121" s="485"/>
    </row>
    <row r="122">
      <c r="N122" s="506"/>
      <c r="O122" s="485"/>
      <c r="P122" s="485"/>
      <c r="Q122" s="485"/>
    </row>
    <row r="123">
      <c r="N123" s="506"/>
      <c r="O123" s="485"/>
      <c r="P123" s="485"/>
      <c r="Q123" s="485"/>
    </row>
    <row r="124">
      <c r="N124" s="506"/>
      <c r="O124" s="485"/>
      <c r="P124" s="485"/>
      <c r="Q124" s="485"/>
    </row>
    <row r="125">
      <c r="N125" s="506"/>
      <c r="O125" s="485"/>
      <c r="P125" s="485"/>
      <c r="Q125" s="485"/>
    </row>
    <row r="126">
      <c r="N126" s="506"/>
      <c r="O126" s="485"/>
      <c r="P126" s="485"/>
      <c r="Q126" s="485"/>
    </row>
    <row r="127">
      <c r="N127" s="506"/>
      <c r="O127" s="485"/>
      <c r="P127" s="485"/>
      <c r="Q127" s="485"/>
    </row>
    <row r="128">
      <c r="N128" s="506"/>
      <c r="O128" s="485"/>
      <c r="P128" s="485"/>
      <c r="Q128" s="485"/>
    </row>
    <row r="129">
      <c r="N129" s="506"/>
      <c r="O129" s="485"/>
      <c r="P129" s="485"/>
      <c r="Q129" s="485"/>
    </row>
    <row r="130">
      <c r="N130" s="506"/>
      <c r="O130" s="485"/>
      <c r="P130" s="485"/>
      <c r="Q130" s="485"/>
    </row>
    <row r="131">
      <c r="N131" s="506"/>
      <c r="O131" s="485"/>
      <c r="P131" s="485"/>
      <c r="Q131" s="485"/>
    </row>
    <row r="132">
      <c r="N132" s="506"/>
      <c r="O132" s="485"/>
      <c r="P132" s="485"/>
      <c r="Q132" s="485"/>
    </row>
    <row r="133">
      <c r="N133" s="506"/>
      <c r="O133" s="485"/>
      <c r="P133" s="485"/>
      <c r="Q133" s="485"/>
    </row>
    <row r="134">
      <c r="N134" s="506"/>
      <c r="O134" s="485"/>
      <c r="P134" s="485"/>
      <c r="Q134" s="485"/>
    </row>
    <row r="135">
      <c r="N135" s="506"/>
      <c r="O135" s="485"/>
      <c r="P135" s="485"/>
      <c r="Q135" s="485"/>
    </row>
    <row r="136">
      <c r="N136" s="506"/>
      <c r="O136" s="485"/>
      <c r="P136" s="485"/>
      <c r="Q136" s="485"/>
    </row>
    <row r="137">
      <c r="N137" s="506"/>
      <c r="O137" s="485"/>
      <c r="P137" s="485"/>
      <c r="Q137" s="485"/>
    </row>
    <row r="138">
      <c r="N138" s="506"/>
      <c r="O138" s="485"/>
      <c r="P138" s="485"/>
      <c r="Q138" s="485"/>
    </row>
    <row r="139">
      <c r="N139" s="506"/>
      <c r="O139" s="485"/>
      <c r="P139" s="485"/>
      <c r="Q139" s="485"/>
    </row>
    <row r="140">
      <c r="N140" s="506"/>
      <c r="O140" s="485"/>
      <c r="P140" s="485"/>
      <c r="Q140" s="485"/>
    </row>
    <row r="141">
      <c r="N141" s="506"/>
      <c r="O141" s="485"/>
      <c r="P141" s="485"/>
      <c r="Q141" s="485"/>
    </row>
    <row r="142">
      <c r="N142" s="506"/>
      <c r="O142" s="485"/>
      <c r="P142" s="485"/>
      <c r="Q142" s="485"/>
    </row>
    <row r="143">
      <c r="N143" s="506"/>
      <c r="O143" s="485"/>
      <c r="P143" s="485"/>
      <c r="Q143" s="485"/>
    </row>
    <row r="144">
      <c r="N144" s="506"/>
      <c r="O144" s="485"/>
      <c r="P144" s="485"/>
      <c r="Q144" s="485"/>
    </row>
    <row r="145">
      <c r="N145" s="506"/>
      <c r="O145" s="485"/>
      <c r="P145" s="485"/>
      <c r="Q145" s="485"/>
    </row>
    <row r="146">
      <c r="N146" s="506"/>
      <c r="O146" s="485"/>
      <c r="P146" s="485"/>
      <c r="Q146" s="485"/>
    </row>
    <row r="147">
      <c r="N147" s="506"/>
      <c r="O147" s="485"/>
      <c r="P147" s="485"/>
      <c r="Q147" s="485"/>
    </row>
    <row r="148">
      <c r="N148" s="506"/>
      <c r="O148" s="485"/>
      <c r="P148" s="485"/>
      <c r="Q148" s="485"/>
    </row>
    <row r="149">
      <c r="N149" s="506"/>
      <c r="O149" s="485"/>
      <c r="P149" s="485"/>
      <c r="Q149" s="485"/>
    </row>
    <row r="150">
      <c r="N150" s="506"/>
      <c r="O150" s="485"/>
      <c r="P150" s="485"/>
      <c r="Q150" s="485"/>
    </row>
    <row r="151">
      <c r="N151" s="506"/>
      <c r="O151" s="485"/>
      <c r="P151" s="485"/>
      <c r="Q151" s="485"/>
    </row>
    <row r="152">
      <c r="N152" s="506"/>
      <c r="O152" s="485"/>
      <c r="P152" s="485"/>
      <c r="Q152" s="485"/>
    </row>
    <row r="153">
      <c r="N153" s="506"/>
      <c r="O153" s="485"/>
      <c r="P153" s="485"/>
      <c r="Q153" s="485"/>
    </row>
    <row r="154">
      <c r="N154" s="506"/>
      <c r="O154" s="485"/>
      <c r="P154" s="485"/>
      <c r="Q154" s="485"/>
    </row>
    <row r="155">
      <c r="N155" s="506"/>
      <c r="O155" s="485"/>
      <c r="P155" s="485"/>
      <c r="Q155" s="485"/>
    </row>
    <row r="156">
      <c r="N156" s="506"/>
      <c r="O156" s="485"/>
      <c r="P156" s="485"/>
      <c r="Q156" s="485"/>
    </row>
    <row r="157">
      <c r="N157" s="506"/>
      <c r="O157" s="485"/>
      <c r="P157" s="485"/>
      <c r="Q157" s="485"/>
    </row>
    <row r="158">
      <c r="N158" s="506"/>
      <c r="O158" s="485"/>
      <c r="P158" s="485"/>
      <c r="Q158" s="485"/>
    </row>
    <row r="159">
      <c r="N159" s="506"/>
      <c r="O159" s="485"/>
      <c r="P159" s="485"/>
      <c r="Q159" s="485"/>
    </row>
    <row r="160">
      <c r="N160" s="506"/>
      <c r="O160" s="485"/>
      <c r="P160" s="485"/>
      <c r="Q160" s="485"/>
    </row>
    <row r="161">
      <c r="N161" s="506"/>
      <c r="O161" s="485"/>
      <c r="P161" s="485"/>
      <c r="Q161" s="485"/>
    </row>
    <row r="162">
      <c r="N162" s="506"/>
      <c r="O162" s="485"/>
      <c r="P162" s="485"/>
      <c r="Q162" s="485"/>
    </row>
    <row r="163">
      <c r="N163" s="506"/>
      <c r="O163" s="485"/>
      <c r="P163" s="485"/>
      <c r="Q163" s="485"/>
    </row>
    <row r="164">
      <c r="N164" s="506"/>
      <c r="O164" s="485"/>
      <c r="P164" s="485"/>
      <c r="Q164" s="485"/>
    </row>
    <row r="165">
      <c r="N165" s="506"/>
      <c r="O165" s="485"/>
      <c r="P165" s="485"/>
      <c r="Q165" s="485"/>
    </row>
    <row r="166">
      <c r="N166" s="506"/>
      <c r="O166" s="485"/>
      <c r="P166" s="485"/>
      <c r="Q166" s="485"/>
    </row>
    <row r="167">
      <c r="N167" s="506"/>
      <c r="O167" s="485"/>
      <c r="P167" s="485"/>
      <c r="Q167" s="485"/>
    </row>
    <row r="168">
      <c r="N168" s="506"/>
      <c r="O168" s="485"/>
      <c r="P168" s="485"/>
      <c r="Q168" s="485"/>
    </row>
    <row r="169">
      <c r="N169" s="506"/>
      <c r="O169" s="485"/>
      <c r="P169" s="485"/>
      <c r="Q169" s="485"/>
    </row>
    <row r="170">
      <c r="N170" s="506"/>
      <c r="O170" s="485"/>
      <c r="P170" s="485"/>
      <c r="Q170" s="485"/>
    </row>
    <row r="171">
      <c r="N171" s="506"/>
      <c r="O171" s="485"/>
      <c r="P171" s="485"/>
      <c r="Q171" s="485"/>
    </row>
    <row r="172">
      <c r="N172" s="506"/>
      <c r="O172" s="485"/>
      <c r="P172" s="485"/>
      <c r="Q172" s="485"/>
    </row>
    <row r="173">
      <c r="N173" s="506"/>
      <c r="O173" s="485"/>
      <c r="P173" s="485"/>
      <c r="Q173" s="485"/>
    </row>
    <row r="174">
      <c r="N174" s="506"/>
      <c r="O174" s="485"/>
      <c r="P174" s="485"/>
      <c r="Q174" s="485"/>
    </row>
    <row r="175">
      <c r="N175" s="506"/>
      <c r="O175" s="485"/>
      <c r="P175" s="485"/>
      <c r="Q175" s="485"/>
    </row>
    <row r="176">
      <c r="N176" s="506"/>
      <c r="O176" s="485"/>
      <c r="P176" s="485"/>
      <c r="Q176" s="485"/>
    </row>
    <row r="177">
      <c r="N177" s="506"/>
      <c r="O177" s="485"/>
      <c r="P177" s="485"/>
      <c r="Q177" s="485"/>
    </row>
    <row r="178">
      <c r="N178" s="506"/>
      <c r="O178" s="485"/>
      <c r="P178" s="485"/>
      <c r="Q178" s="485"/>
    </row>
    <row r="179">
      <c r="N179" s="506"/>
      <c r="O179" s="485"/>
      <c r="P179" s="485"/>
      <c r="Q179" s="485"/>
    </row>
    <row r="180">
      <c r="N180" s="506"/>
      <c r="O180" s="485"/>
      <c r="P180" s="485"/>
      <c r="Q180" s="485"/>
    </row>
    <row r="181">
      <c r="N181" s="506"/>
      <c r="O181" s="485"/>
      <c r="P181" s="485"/>
      <c r="Q181" s="485"/>
    </row>
    <row r="182">
      <c r="N182" s="506"/>
      <c r="O182" s="485"/>
      <c r="P182" s="485"/>
      <c r="Q182" s="485"/>
    </row>
    <row r="183">
      <c r="N183" s="506"/>
      <c r="O183" s="485"/>
      <c r="P183" s="485"/>
      <c r="Q183" s="485"/>
    </row>
    <row r="184">
      <c r="N184" s="506"/>
      <c r="O184" s="485"/>
      <c r="P184" s="485"/>
      <c r="Q184" s="485"/>
    </row>
    <row r="185">
      <c r="N185" s="506"/>
      <c r="O185" s="485"/>
      <c r="P185" s="485"/>
      <c r="Q185" s="485"/>
    </row>
    <row r="186">
      <c r="N186" s="506"/>
      <c r="O186" s="485"/>
      <c r="P186" s="485"/>
      <c r="Q186" s="485"/>
    </row>
    <row r="187">
      <c r="N187" s="506"/>
      <c r="O187" s="485"/>
      <c r="P187" s="485"/>
      <c r="Q187" s="485"/>
    </row>
    <row r="188">
      <c r="N188" s="506"/>
      <c r="O188" s="485"/>
      <c r="P188" s="485"/>
      <c r="Q188" s="485"/>
    </row>
    <row r="189">
      <c r="N189" s="506"/>
      <c r="O189" s="485"/>
      <c r="P189" s="485"/>
      <c r="Q189" s="485"/>
    </row>
    <row r="190">
      <c r="N190" s="506"/>
      <c r="O190" s="485"/>
      <c r="P190" s="485"/>
      <c r="Q190" s="485"/>
    </row>
    <row r="191">
      <c r="N191" s="506"/>
      <c r="O191" s="485"/>
      <c r="P191" s="485"/>
      <c r="Q191" s="485"/>
    </row>
    <row r="192">
      <c r="N192" s="506"/>
      <c r="O192" s="485"/>
      <c r="P192" s="485"/>
      <c r="Q192" s="485"/>
    </row>
    <row r="193">
      <c r="N193" s="506"/>
      <c r="O193" s="485"/>
      <c r="P193" s="485"/>
      <c r="Q193" s="485"/>
    </row>
    <row r="194">
      <c r="N194" s="506"/>
      <c r="O194" s="485"/>
      <c r="P194" s="485"/>
      <c r="Q194" s="485"/>
    </row>
    <row r="195">
      <c r="N195" s="506"/>
      <c r="O195" s="485"/>
      <c r="P195" s="485"/>
      <c r="Q195" s="485"/>
    </row>
    <row r="196">
      <c r="N196" s="506"/>
      <c r="O196" s="485"/>
      <c r="P196" s="485"/>
      <c r="Q196" s="485"/>
    </row>
    <row r="197">
      <c r="N197" s="506"/>
      <c r="O197" s="485"/>
      <c r="P197" s="485"/>
      <c r="Q197" s="485"/>
    </row>
    <row r="198">
      <c r="N198" s="506"/>
      <c r="O198" s="485"/>
      <c r="P198" s="485"/>
      <c r="Q198" s="485"/>
    </row>
    <row r="199">
      <c r="N199" s="506"/>
      <c r="O199" s="485"/>
      <c r="P199" s="485"/>
      <c r="Q199" s="485"/>
    </row>
    <row r="200">
      <c r="N200" s="506"/>
      <c r="O200" s="485"/>
      <c r="P200" s="485"/>
      <c r="Q200" s="485"/>
    </row>
    <row r="201">
      <c r="N201" s="506"/>
      <c r="O201" s="485"/>
      <c r="P201" s="485"/>
      <c r="Q201" s="485"/>
    </row>
    <row r="202">
      <c r="N202" s="506"/>
      <c r="O202" s="485"/>
      <c r="P202" s="485"/>
      <c r="Q202" s="485"/>
    </row>
    <row r="203">
      <c r="N203" s="506"/>
      <c r="O203" s="485"/>
      <c r="P203" s="485"/>
      <c r="Q203" s="485"/>
    </row>
    <row r="204">
      <c r="N204" s="506"/>
      <c r="O204" s="485"/>
      <c r="P204" s="485"/>
      <c r="Q204" s="485"/>
    </row>
    <row r="205">
      <c r="N205" s="506"/>
      <c r="O205" s="485"/>
      <c r="P205" s="485"/>
      <c r="Q205" s="485"/>
    </row>
    <row r="206">
      <c r="N206" s="506"/>
      <c r="O206" s="485"/>
      <c r="P206" s="485"/>
      <c r="Q206" s="485"/>
    </row>
    <row r="207">
      <c r="N207" s="506"/>
      <c r="O207" s="485"/>
      <c r="P207" s="485"/>
      <c r="Q207" s="485"/>
    </row>
    <row r="208">
      <c r="N208" s="506"/>
      <c r="O208" s="485"/>
      <c r="P208" s="485"/>
      <c r="Q208" s="485"/>
    </row>
    <row r="209">
      <c r="N209" s="506"/>
      <c r="O209" s="485"/>
      <c r="P209" s="485"/>
      <c r="Q209" s="485"/>
    </row>
    <row r="210">
      <c r="N210" s="506"/>
      <c r="O210" s="485"/>
      <c r="P210" s="485"/>
      <c r="Q210" s="485"/>
    </row>
    <row r="211">
      <c r="N211" s="506"/>
      <c r="O211" s="485"/>
      <c r="P211" s="485"/>
      <c r="Q211" s="485"/>
    </row>
    <row r="212">
      <c r="N212" s="506"/>
      <c r="O212" s="485"/>
      <c r="P212" s="485"/>
      <c r="Q212" s="485"/>
    </row>
    <row r="213">
      <c r="N213" s="506"/>
      <c r="O213" s="485"/>
      <c r="P213" s="485"/>
      <c r="Q213" s="485"/>
    </row>
    <row r="214">
      <c r="N214" s="506"/>
      <c r="O214" s="485"/>
      <c r="P214" s="485"/>
      <c r="Q214" s="485"/>
    </row>
    <row r="215">
      <c r="N215" s="506"/>
      <c r="O215" s="485"/>
      <c r="P215" s="485"/>
      <c r="Q215" s="485"/>
    </row>
    <row r="216">
      <c r="N216" s="506"/>
      <c r="O216" s="485"/>
      <c r="P216" s="485"/>
      <c r="Q216" s="485"/>
    </row>
    <row r="217">
      <c r="N217" s="506"/>
      <c r="O217" s="485"/>
      <c r="P217" s="485"/>
      <c r="Q217" s="485"/>
    </row>
    <row r="218">
      <c r="N218" s="506"/>
      <c r="O218" s="485"/>
      <c r="P218" s="485"/>
      <c r="Q218" s="485"/>
    </row>
    <row r="219">
      <c r="N219" s="506"/>
      <c r="O219" s="485"/>
      <c r="P219" s="485"/>
      <c r="Q219" s="485"/>
    </row>
    <row r="220">
      <c r="N220" s="506"/>
      <c r="O220" s="485"/>
      <c r="P220" s="485"/>
      <c r="Q220" s="485"/>
    </row>
    <row r="221">
      <c r="N221" s="506"/>
      <c r="O221" s="485"/>
      <c r="P221" s="485"/>
      <c r="Q221" s="485"/>
    </row>
    <row r="222">
      <c r="N222" s="506"/>
      <c r="O222" s="485"/>
      <c r="P222" s="485"/>
      <c r="Q222" s="485"/>
    </row>
    <row r="223">
      <c r="N223" s="506"/>
      <c r="O223" s="485"/>
      <c r="P223" s="485"/>
      <c r="Q223" s="485"/>
    </row>
    <row r="224">
      <c r="N224" s="506"/>
      <c r="O224" s="485"/>
      <c r="P224" s="485"/>
      <c r="Q224" s="485"/>
    </row>
    <row r="225">
      <c r="N225" s="506"/>
      <c r="O225" s="485"/>
      <c r="P225" s="485"/>
      <c r="Q225" s="485"/>
    </row>
    <row r="226">
      <c r="N226" s="506"/>
      <c r="O226" s="485"/>
      <c r="P226" s="485"/>
      <c r="Q226" s="485"/>
    </row>
    <row r="227">
      <c r="N227" s="506"/>
      <c r="O227" s="485"/>
      <c r="P227" s="485"/>
      <c r="Q227" s="485"/>
    </row>
    <row r="228">
      <c r="N228" s="506"/>
      <c r="O228" s="485"/>
      <c r="P228" s="485"/>
      <c r="Q228" s="485"/>
    </row>
    <row r="229">
      <c r="N229" s="506"/>
      <c r="O229" s="485"/>
      <c r="P229" s="485"/>
      <c r="Q229" s="485"/>
    </row>
    <row r="230">
      <c r="N230" s="506"/>
      <c r="O230" s="485"/>
      <c r="P230" s="485"/>
      <c r="Q230" s="485"/>
    </row>
    <row r="231">
      <c r="N231" s="506"/>
      <c r="O231" s="485"/>
      <c r="P231" s="485"/>
      <c r="Q231" s="485"/>
    </row>
    <row r="232">
      <c r="N232" s="506"/>
      <c r="O232" s="485"/>
      <c r="P232" s="485"/>
      <c r="Q232" s="485"/>
    </row>
    <row r="233">
      <c r="N233" s="506"/>
      <c r="O233" s="485"/>
      <c r="P233" s="485"/>
      <c r="Q233" s="485"/>
    </row>
    <row r="234">
      <c r="N234" s="506"/>
      <c r="O234" s="485"/>
      <c r="P234" s="485"/>
      <c r="Q234" s="485"/>
    </row>
    <row r="235">
      <c r="N235" s="506"/>
      <c r="O235" s="485"/>
      <c r="P235" s="485"/>
      <c r="Q235" s="485"/>
    </row>
    <row r="236">
      <c r="N236" s="506"/>
      <c r="O236" s="485"/>
      <c r="P236" s="485"/>
      <c r="Q236" s="485"/>
    </row>
    <row r="237">
      <c r="N237" s="506"/>
      <c r="O237" s="485"/>
      <c r="P237" s="485"/>
      <c r="Q237" s="485"/>
    </row>
    <row r="238">
      <c r="N238" s="506"/>
      <c r="O238" s="485"/>
      <c r="P238" s="485"/>
      <c r="Q238" s="485"/>
    </row>
    <row r="239">
      <c r="N239" s="506"/>
      <c r="O239" s="485"/>
      <c r="P239" s="485"/>
      <c r="Q239" s="485"/>
    </row>
    <row r="240">
      <c r="N240" s="506"/>
      <c r="O240" s="485"/>
      <c r="P240" s="485"/>
      <c r="Q240" s="485"/>
    </row>
    <row r="241">
      <c r="N241" s="506"/>
      <c r="O241" s="485"/>
      <c r="P241" s="485"/>
      <c r="Q241" s="485"/>
    </row>
    <row r="242">
      <c r="N242" s="506"/>
      <c r="O242" s="485"/>
      <c r="P242" s="485"/>
      <c r="Q242" s="485"/>
    </row>
    <row r="243">
      <c r="N243" s="506"/>
      <c r="O243" s="485"/>
      <c r="P243" s="485"/>
      <c r="Q243" s="485"/>
    </row>
    <row r="244">
      <c r="N244" s="506"/>
      <c r="O244" s="485"/>
      <c r="P244" s="485"/>
      <c r="Q244" s="485"/>
    </row>
    <row r="245">
      <c r="N245" s="506"/>
      <c r="O245" s="485"/>
      <c r="P245" s="485"/>
      <c r="Q245" s="485"/>
    </row>
    <row r="246">
      <c r="N246" s="506"/>
      <c r="O246" s="485"/>
      <c r="P246" s="485"/>
      <c r="Q246" s="485"/>
    </row>
    <row r="247">
      <c r="N247" s="506"/>
      <c r="O247" s="485"/>
      <c r="P247" s="485"/>
      <c r="Q247" s="485"/>
    </row>
    <row r="248">
      <c r="N248" s="506"/>
      <c r="O248" s="485"/>
      <c r="P248" s="485"/>
      <c r="Q248" s="485"/>
    </row>
    <row r="249">
      <c r="N249" s="506"/>
      <c r="O249" s="485"/>
      <c r="P249" s="485"/>
      <c r="Q249" s="485"/>
    </row>
    <row r="250">
      <c r="N250" s="506"/>
      <c r="O250" s="485"/>
      <c r="P250" s="485"/>
      <c r="Q250" s="485"/>
    </row>
    <row r="251">
      <c r="N251" s="506"/>
      <c r="O251" s="485"/>
      <c r="P251" s="485"/>
      <c r="Q251" s="485"/>
    </row>
    <row r="252">
      <c r="N252" s="506"/>
      <c r="O252" s="485"/>
      <c r="P252" s="485"/>
      <c r="Q252" s="485"/>
    </row>
    <row r="253">
      <c r="N253" s="506"/>
      <c r="O253" s="485"/>
      <c r="P253" s="485"/>
      <c r="Q253" s="485"/>
    </row>
    <row r="254">
      <c r="N254" s="506"/>
      <c r="O254" s="485"/>
      <c r="P254" s="485"/>
      <c r="Q254" s="485"/>
    </row>
    <row r="255">
      <c r="N255" s="506"/>
      <c r="O255" s="485"/>
      <c r="P255" s="485"/>
      <c r="Q255" s="485"/>
    </row>
    <row r="256">
      <c r="N256" s="506"/>
      <c r="O256" s="485"/>
      <c r="P256" s="485"/>
      <c r="Q256" s="485"/>
    </row>
    <row r="257">
      <c r="N257" s="506"/>
      <c r="O257" s="485"/>
      <c r="P257" s="485"/>
      <c r="Q257" s="485"/>
    </row>
    <row r="258">
      <c r="N258" s="506"/>
      <c r="O258" s="485"/>
      <c r="P258" s="485"/>
      <c r="Q258" s="485"/>
    </row>
    <row r="259">
      <c r="N259" s="506"/>
      <c r="O259" s="485"/>
      <c r="P259" s="485"/>
      <c r="Q259" s="485"/>
    </row>
    <row r="260">
      <c r="N260" s="506"/>
      <c r="O260" s="485"/>
      <c r="P260" s="485"/>
      <c r="Q260" s="485"/>
    </row>
    <row r="261">
      <c r="N261" s="506"/>
      <c r="O261" s="485"/>
      <c r="P261" s="485"/>
      <c r="Q261" s="485"/>
    </row>
    <row r="262">
      <c r="N262" s="506"/>
      <c r="O262" s="485"/>
      <c r="P262" s="485"/>
      <c r="Q262" s="485"/>
    </row>
    <row r="263">
      <c r="N263" s="506"/>
      <c r="O263" s="485"/>
      <c r="P263" s="485"/>
      <c r="Q263" s="485"/>
    </row>
    <row r="264">
      <c r="N264" s="506"/>
      <c r="O264" s="485"/>
      <c r="P264" s="485"/>
      <c r="Q264" s="485"/>
    </row>
    <row r="265">
      <c r="N265" s="506"/>
      <c r="O265" s="485"/>
      <c r="P265" s="485"/>
      <c r="Q265" s="485"/>
    </row>
    <row r="266">
      <c r="N266" s="506"/>
      <c r="O266" s="485"/>
      <c r="P266" s="485"/>
      <c r="Q266" s="485"/>
    </row>
    <row r="267">
      <c r="N267" s="506"/>
      <c r="O267" s="485"/>
      <c r="P267" s="485"/>
      <c r="Q267" s="485"/>
    </row>
    <row r="268">
      <c r="N268" s="506"/>
      <c r="O268" s="485"/>
      <c r="P268" s="485"/>
      <c r="Q268" s="485"/>
    </row>
    <row r="269">
      <c r="N269" s="506"/>
      <c r="O269" s="485"/>
      <c r="P269" s="485"/>
      <c r="Q269" s="485"/>
    </row>
    <row r="270">
      <c r="N270" s="506"/>
      <c r="O270" s="485"/>
      <c r="P270" s="485"/>
      <c r="Q270" s="485"/>
    </row>
    <row r="271">
      <c r="N271" s="506"/>
      <c r="O271" s="485"/>
      <c r="P271" s="485"/>
      <c r="Q271" s="485"/>
    </row>
    <row r="272">
      <c r="N272" s="506"/>
      <c r="O272" s="485"/>
      <c r="P272" s="485"/>
      <c r="Q272" s="485"/>
    </row>
    <row r="273">
      <c r="N273" s="506"/>
      <c r="O273" s="485"/>
      <c r="P273" s="485"/>
      <c r="Q273" s="485"/>
    </row>
    <row r="274">
      <c r="N274" s="506"/>
      <c r="O274" s="485"/>
      <c r="P274" s="485"/>
      <c r="Q274" s="485"/>
    </row>
    <row r="275">
      <c r="N275" s="506"/>
      <c r="O275" s="485"/>
      <c r="P275" s="485"/>
      <c r="Q275" s="485"/>
    </row>
    <row r="276">
      <c r="N276" s="506"/>
      <c r="O276" s="485"/>
      <c r="P276" s="485"/>
      <c r="Q276" s="485"/>
    </row>
    <row r="277">
      <c r="N277" s="506"/>
      <c r="O277" s="485"/>
      <c r="P277" s="485"/>
      <c r="Q277" s="485"/>
    </row>
    <row r="278">
      <c r="N278" s="506"/>
      <c r="O278" s="485"/>
      <c r="P278" s="485"/>
      <c r="Q278" s="485"/>
    </row>
    <row r="279">
      <c r="N279" s="506"/>
      <c r="O279" s="485"/>
      <c r="P279" s="485"/>
      <c r="Q279" s="485"/>
    </row>
    <row r="280">
      <c r="N280" s="506"/>
      <c r="O280" s="485"/>
      <c r="P280" s="485"/>
      <c r="Q280" s="485"/>
    </row>
    <row r="281">
      <c r="N281" s="506"/>
      <c r="O281" s="485"/>
      <c r="P281" s="485"/>
      <c r="Q281" s="485"/>
    </row>
    <row r="282">
      <c r="N282" s="506"/>
      <c r="O282" s="485"/>
      <c r="P282" s="485"/>
      <c r="Q282" s="485"/>
    </row>
    <row r="283">
      <c r="N283" s="506"/>
      <c r="O283" s="485"/>
      <c r="P283" s="485"/>
      <c r="Q283" s="485"/>
    </row>
    <row r="284">
      <c r="N284" s="506"/>
      <c r="O284" s="485"/>
      <c r="P284" s="485"/>
      <c r="Q284" s="485"/>
    </row>
    <row r="285">
      <c r="N285" s="506"/>
      <c r="O285" s="485"/>
      <c r="P285" s="485"/>
      <c r="Q285" s="485"/>
    </row>
    <row r="286">
      <c r="N286" s="506"/>
      <c r="O286" s="485"/>
      <c r="P286" s="485"/>
      <c r="Q286" s="485"/>
    </row>
    <row r="287">
      <c r="N287" s="506"/>
      <c r="O287" s="485"/>
      <c r="P287" s="485"/>
      <c r="Q287" s="485"/>
    </row>
    <row r="288">
      <c r="N288" s="506"/>
      <c r="O288" s="485"/>
      <c r="P288" s="485"/>
      <c r="Q288" s="485"/>
    </row>
    <row r="289">
      <c r="N289" s="506"/>
      <c r="O289" s="485"/>
      <c r="P289" s="485"/>
      <c r="Q289" s="485"/>
    </row>
    <row r="290">
      <c r="N290" s="506"/>
      <c r="O290" s="485"/>
      <c r="P290" s="485"/>
      <c r="Q290" s="485"/>
    </row>
    <row r="291">
      <c r="N291" s="506"/>
      <c r="O291" s="485"/>
      <c r="P291" s="485"/>
      <c r="Q291" s="485"/>
    </row>
    <row r="292">
      <c r="N292" s="506"/>
      <c r="O292" s="485"/>
      <c r="P292" s="485"/>
      <c r="Q292" s="485"/>
    </row>
    <row r="293">
      <c r="N293" s="506"/>
      <c r="O293" s="485"/>
      <c r="P293" s="485"/>
      <c r="Q293" s="485"/>
    </row>
    <row r="294">
      <c r="N294" s="506"/>
      <c r="O294" s="485"/>
      <c r="P294" s="485"/>
      <c r="Q294" s="485"/>
    </row>
    <row r="295">
      <c r="N295" s="506"/>
      <c r="O295" s="485"/>
      <c r="P295" s="485"/>
      <c r="Q295" s="485"/>
    </row>
    <row r="296">
      <c r="N296" s="506"/>
      <c r="O296" s="485"/>
      <c r="P296" s="485"/>
      <c r="Q296" s="485"/>
    </row>
    <row r="297">
      <c r="N297" s="506"/>
      <c r="O297" s="485"/>
      <c r="P297" s="485"/>
      <c r="Q297" s="485"/>
    </row>
    <row r="298">
      <c r="N298" s="506"/>
      <c r="O298" s="485"/>
      <c r="P298" s="485"/>
      <c r="Q298" s="485"/>
    </row>
    <row r="299">
      <c r="N299" s="506"/>
      <c r="O299" s="485"/>
      <c r="P299" s="485"/>
      <c r="Q299" s="485"/>
    </row>
    <row r="300">
      <c r="N300" s="506"/>
      <c r="O300" s="485"/>
      <c r="P300" s="485"/>
      <c r="Q300" s="485"/>
    </row>
    <row r="301">
      <c r="N301" s="506"/>
      <c r="O301" s="485"/>
      <c r="P301" s="485"/>
      <c r="Q301" s="485"/>
    </row>
    <row r="302">
      <c r="N302" s="506"/>
      <c r="O302" s="485"/>
      <c r="P302" s="485"/>
      <c r="Q302" s="485"/>
    </row>
    <row r="303">
      <c r="N303" s="506"/>
      <c r="O303" s="485"/>
      <c r="P303" s="485"/>
      <c r="Q303" s="485"/>
    </row>
    <row r="304">
      <c r="N304" s="506"/>
      <c r="O304" s="485"/>
      <c r="P304" s="485"/>
      <c r="Q304" s="485"/>
    </row>
    <row r="305">
      <c r="N305" s="506"/>
      <c r="O305" s="485"/>
      <c r="P305" s="485"/>
      <c r="Q305" s="485"/>
    </row>
    <row r="306">
      <c r="N306" s="506"/>
      <c r="O306" s="485"/>
      <c r="P306" s="485"/>
      <c r="Q306" s="485"/>
    </row>
    <row r="307">
      <c r="N307" s="506"/>
      <c r="O307" s="485"/>
      <c r="P307" s="485"/>
      <c r="Q307" s="485"/>
    </row>
    <row r="308">
      <c r="N308" s="506"/>
      <c r="O308" s="485"/>
      <c r="P308" s="485"/>
      <c r="Q308" s="485"/>
    </row>
    <row r="309">
      <c r="N309" s="506"/>
      <c r="O309" s="485"/>
      <c r="P309" s="485"/>
      <c r="Q309" s="485"/>
    </row>
    <row r="310">
      <c r="N310" s="506"/>
      <c r="O310" s="485"/>
      <c r="P310" s="485"/>
      <c r="Q310" s="485"/>
    </row>
    <row r="311">
      <c r="N311" s="506"/>
      <c r="O311" s="485"/>
      <c r="P311" s="485"/>
      <c r="Q311" s="485"/>
    </row>
    <row r="312">
      <c r="N312" s="506"/>
      <c r="O312" s="485"/>
      <c r="P312" s="485"/>
      <c r="Q312" s="485"/>
    </row>
    <row r="313">
      <c r="N313" s="506"/>
      <c r="O313" s="485"/>
      <c r="P313" s="485"/>
      <c r="Q313" s="485"/>
    </row>
    <row r="314">
      <c r="N314" s="506"/>
      <c r="O314" s="485"/>
      <c r="P314" s="485"/>
      <c r="Q314" s="485"/>
    </row>
    <row r="315">
      <c r="N315" s="506"/>
      <c r="O315" s="485"/>
      <c r="P315" s="485"/>
      <c r="Q315" s="485"/>
    </row>
    <row r="316">
      <c r="N316" s="506"/>
      <c r="O316" s="485"/>
      <c r="P316" s="485"/>
      <c r="Q316" s="485"/>
    </row>
    <row r="317">
      <c r="N317" s="506"/>
      <c r="O317" s="485"/>
      <c r="P317" s="485"/>
      <c r="Q317" s="485"/>
    </row>
    <row r="318">
      <c r="N318" s="506"/>
      <c r="O318" s="485"/>
      <c r="P318" s="485"/>
      <c r="Q318" s="485"/>
    </row>
    <row r="319">
      <c r="N319" s="506"/>
      <c r="O319" s="485"/>
      <c r="P319" s="485"/>
      <c r="Q319" s="485"/>
    </row>
    <row r="320">
      <c r="N320" s="506"/>
      <c r="O320" s="485"/>
      <c r="P320" s="485"/>
      <c r="Q320" s="485"/>
    </row>
    <row r="321">
      <c r="N321" s="506"/>
      <c r="O321" s="485"/>
      <c r="P321" s="485"/>
      <c r="Q321" s="485"/>
    </row>
    <row r="322">
      <c r="N322" s="506"/>
      <c r="O322" s="485"/>
      <c r="P322" s="485"/>
      <c r="Q322" s="485"/>
    </row>
    <row r="323">
      <c r="N323" s="506"/>
      <c r="O323" s="485"/>
      <c r="P323" s="485"/>
      <c r="Q323" s="485"/>
    </row>
    <row r="324">
      <c r="N324" s="506"/>
      <c r="O324" s="485"/>
      <c r="P324" s="485"/>
      <c r="Q324" s="485"/>
    </row>
    <row r="325">
      <c r="N325" s="506"/>
      <c r="O325" s="485"/>
      <c r="P325" s="485"/>
      <c r="Q325" s="485"/>
    </row>
    <row r="326">
      <c r="N326" s="506"/>
      <c r="O326" s="485"/>
      <c r="P326" s="485"/>
      <c r="Q326" s="485"/>
    </row>
    <row r="327">
      <c r="N327" s="506"/>
      <c r="O327" s="485"/>
      <c r="P327" s="485"/>
      <c r="Q327" s="485"/>
    </row>
    <row r="328">
      <c r="N328" s="506"/>
      <c r="O328" s="485"/>
      <c r="P328" s="485"/>
      <c r="Q328" s="485"/>
    </row>
    <row r="329">
      <c r="N329" s="506"/>
      <c r="O329" s="485"/>
      <c r="P329" s="485"/>
      <c r="Q329" s="485"/>
    </row>
    <row r="330">
      <c r="N330" s="506"/>
      <c r="O330" s="485"/>
      <c r="P330" s="485"/>
      <c r="Q330" s="485"/>
    </row>
    <row r="331">
      <c r="N331" s="506"/>
      <c r="O331" s="485"/>
      <c r="P331" s="485"/>
      <c r="Q331" s="485"/>
    </row>
    <row r="332">
      <c r="N332" s="506"/>
      <c r="O332" s="485"/>
      <c r="P332" s="485"/>
      <c r="Q332" s="485"/>
    </row>
    <row r="333">
      <c r="N333" s="506"/>
      <c r="O333" s="485"/>
      <c r="P333" s="485"/>
      <c r="Q333" s="485"/>
    </row>
    <row r="334">
      <c r="N334" s="506"/>
      <c r="O334" s="485"/>
      <c r="P334" s="485"/>
      <c r="Q334" s="485"/>
    </row>
    <row r="335">
      <c r="N335" s="506"/>
      <c r="O335" s="485"/>
      <c r="P335" s="485"/>
      <c r="Q335" s="485"/>
    </row>
    <row r="336">
      <c r="N336" s="506"/>
      <c r="O336" s="485"/>
      <c r="P336" s="485"/>
      <c r="Q336" s="485"/>
    </row>
    <row r="337">
      <c r="N337" s="506"/>
      <c r="O337" s="485"/>
      <c r="P337" s="485"/>
      <c r="Q337" s="485"/>
    </row>
    <row r="338">
      <c r="N338" s="506"/>
      <c r="O338" s="485"/>
      <c r="P338" s="485"/>
      <c r="Q338" s="485"/>
    </row>
    <row r="339">
      <c r="N339" s="506"/>
      <c r="O339" s="485"/>
      <c r="P339" s="485"/>
      <c r="Q339" s="485"/>
    </row>
    <row r="340">
      <c r="N340" s="506"/>
      <c r="O340" s="485"/>
      <c r="P340" s="485"/>
      <c r="Q340" s="485"/>
    </row>
    <row r="341">
      <c r="N341" s="506"/>
      <c r="O341" s="485"/>
      <c r="P341" s="485"/>
      <c r="Q341" s="485"/>
    </row>
    <row r="342">
      <c r="N342" s="506"/>
      <c r="O342" s="485"/>
      <c r="P342" s="485"/>
      <c r="Q342" s="485"/>
    </row>
    <row r="343">
      <c r="N343" s="506"/>
      <c r="O343" s="485"/>
      <c r="P343" s="485"/>
      <c r="Q343" s="485"/>
    </row>
    <row r="344">
      <c r="N344" s="506"/>
      <c r="O344" s="485"/>
      <c r="P344" s="485"/>
      <c r="Q344" s="485"/>
    </row>
    <row r="345">
      <c r="N345" s="506"/>
      <c r="O345" s="485"/>
      <c r="P345" s="485"/>
      <c r="Q345" s="485"/>
    </row>
    <row r="346">
      <c r="N346" s="506"/>
      <c r="O346" s="485"/>
      <c r="P346" s="485"/>
      <c r="Q346" s="485"/>
    </row>
    <row r="347">
      <c r="N347" s="506"/>
      <c r="O347" s="485"/>
      <c r="P347" s="485"/>
      <c r="Q347" s="485"/>
    </row>
    <row r="348">
      <c r="N348" s="506"/>
      <c r="O348" s="485"/>
      <c r="P348" s="485"/>
      <c r="Q348" s="485"/>
    </row>
    <row r="349">
      <c r="N349" s="506"/>
      <c r="O349" s="485"/>
      <c r="P349" s="485"/>
      <c r="Q349" s="485"/>
    </row>
    <row r="350">
      <c r="N350" s="506"/>
      <c r="O350" s="485"/>
      <c r="P350" s="485"/>
      <c r="Q350" s="485"/>
    </row>
    <row r="351">
      <c r="N351" s="506"/>
      <c r="O351" s="485"/>
      <c r="P351" s="485"/>
      <c r="Q351" s="485"/>
    </row>
    <row r="352">
      <c r="N352" s="506"/>
      <c r="O352" s="485"/>
      <c r="P352" s="485"/>
      <c r="Q352" s="485"/>
    </row>
    <row r="353">
      <c r="N353" s="506"/>
      <c r="O353" s="485"/>
      <c r="P353" s="485"/>
      <c r="Q353" s="485"/>
    </row>
    <row r="354">
      <c r="N354" s="506"/>
      <c r="O354" s="485"/>
      <c r="P354" s="485"/>
      <c r="Q354" s="485"/>
    </row>
    <row r="355">
      <c r="N355" s="506"/>
      <c r="O355" s="485"/>
      <c r="P355" s="485"/>
      <c r="Q355" s="485"/>
    </row>
    <row r="356">
      <c r="N356" s="506"/>
      <c r="O356" s="485"/>
      <c r="P356" s="485"/>
      <c r="Q356" s="485"/>
    </row>
    <row r="357">
      <c r="N357" s="506"/>
      <c r="O357" s="485"/>
      <c r="P357" s="485"/>
      <c r="Q357" s="485"/>
    </row>
    <row r="358">
      <c r="N358" s="506"/>
      <c r="O358" s="485"/>
      <c r="P358" s="485"/>
      <c r="Q358" s="485"/>
    </row>
    <row r="359">
      <c r="N359" s="506"/>
      <c r="O359" s="485"/>
      <c r="P359" s="485"/>
      <c r="Q359" s="485"/>
    </row>
    <row r="360">
      <c r="N360" s="506"/>
      <c r="O360" s="485"/>
      <c r="P360" s="485"/>
      <c r="Q360" s="485"/>
    </row>
    <row r="361">
      <c r="N361" s="506"/>
      <c r="O361" s="485"/>
      <c r="P361" s="485"/>
      <c r="Q361" s="485"/>
    </row>
    <row r="362">
      <c r="N362" s="506"/>
      <c r="O362" s="485"/>
      <c r="P362" s="485"/>
      <c r="Q362" s="485"/>
    </row>
    <row r="363">
      <c r="N363" s="506"/>
      <c r="O363" s="485"/>
      <c r="P363" s="485"/>
      <c r="Q363" s="485"/>
    </row>
    <row r="364">
      <c r="N364" s="506"/>
      <c r="O364" s="485"/>
      <c r="P364" s="485"/>
      <c r="Q364" s="485"/>
    </row>
    <row r="365">
      <c r="N365" s="506"/>
      <c r="O365" s="485"/>
      <c r="P365" s="485"/>
      <c r="Q365" s="485"/>
    </row>
    <row r="366">
      <c r="N366" s="506"/>
      <c r="O366" s="485"/>
      <c r="P366" s="485"/>
      <c r="Q366" s="485"/>
    </row>
    <row r="367">
      <c r="N367" s="506"/>
      <c r="O367" s="485"/>
      <c r="P367" s="485"/>
      <c r="Q367" s="485"/>
    </row>
    <row r="368">
      <c r="N368" s="506"/>
      <c r="O368" s="485"/>
      <c r="P368" s="485"/>
      <c r="Q368" s="485"/>
    </row>
    <row r="369">
      <c r="N369" s="506"/>
      <c r="O369" s="485"/>
      <c r="P369" s="485"/>
      <c r="Q369" s="485"/>
    </row>
    <row r="370">
      <c r="N370" s="506"/>
      <c r="O370" s="485"/>
      <c r="P370" s="485"/>
      <c r="Q370" s="485"/>
    </row>
    <row r="371">
      <c r="N371" s="506"/>
      <c r="O371" s="485"/>
      <c r="P371" s="485"/>
      <c r="Q371" s="485"/>
    </row>
    <row r="372">
      <c r="N372" s="506"/>
      <c r="O372" s="485"/>
      <c r="P372" s="485"/>
      <c r="Q372" s="485"/>
    </row>
    <row r="373">
      <c r="N373" s="506"/>
      <c r="O373" s="485"/>
      <c r="P373" s="485"/>
      <c r="Q373" s="485"/>
    </row>
    <row r="374">
      <c r="N374" s="506"/>
      <c r="O374" s="485"/>
      <c r="P374" s="485"/>
      <c r="Q374" s="485"/>
    </row>
    <row r="375">
      <c r="N375" s="506"/>
      <c r="O375" s="485"/>
      <c r="P375" s="485"/>
      <c r="Q375" s="485"/>
    </row>
    <row r="376">
      <c r="N376" s="506"/>
      <c r="O376" s="485"/>
      <c r="P376" s="485"/>
      <c r="Q376" s="485"/>
    </row>
    <row r="377">
      <c r="N377" s="506"/>
      <c r="O377" s="485"/>
      <c r="P377" s="485"/>
      <c r="Q377" s="485"/>
    </row>
    <row r="378">
      <c r="N378" s="506"/>
      <c r="O378" s="485"/>
      <c r="P378" s="485"/>
      <c r="Q378" s="485"/>
    </row>
    <row r="379">
      <c r="N379" s="506"/>
      <c r="O379" s="485"/>
      <c r="P379" s="485"/>
      <c r="Q379" s="485"/>
    </row>
    <row r="380">
      <c r="N380" s="506"/>
      <c r="O380" s="485"/>
      <c r="P380" s="485"/>
      <c r="Q380" s="485"/>
    </row>
    <row r="381">
      <c r="N381" s="506"/>
      <c r="O381" s="485"/>
      <c r="P381" s="485"/>
      <c r="Q381" s="485"/>
    </row>
    <row r="382">
      <c r="N382" s="506"/>
      <c r="O382" s="485"/>
      <c r="P382" s="485"/>
      <c r="Q382" s="485"/>
    </row>
    <row r="383">
      <c r="N383" s="506"/>
      <c r="O383" s="485"/>
      <c r="P383" s="485"/>
      <c r="Q383" s="485"/>
    </row>
    <row r="384">
      <c r="N384" s="506"/>
      <c r="O384" s="485"/>
      <c r="P384" s="485"/>
      <c r="Q384" s="485"/>
    </row>
    <row r="385">
      <c r="N385" s="506"/>
      <c r="O385" s="485"/>
      <c r="P385" s="485"/>
      <c r="Q385" s="485"/>
    </row>
    <row r="386">
      <c r="N386" s="506"/>
      <c r="O386" s="485"/>
      <c r="P386" s="485"/>
      <c r="Q386" s="485"/>
    </row>
    <row r="387">
      <c r="N387" s="506"/>
      <c r="O387" s="485"/>
      <c r="P387" s="485"/>
      <c r="Q387" s="485"/>
    </row>
    <row r="388">
      <c r="N388" s="506"/>
      <c r="O388" s="485"/>
      <c r="P388" s="485"/>
      <c r="Q388" s="485"/>
    </row>
    <row r="389">
      <c r="N389" s="506"/>
      <c r="O389" s="485"/>
      <c r="P389" s="485"/>
      <c r="Q389" s="485"/>
    </row>
    <row r="390">
      <c r="N390" s="506"/>
      <c r="O390" s="485"/>
      <c r="P390" s="485"/>
      <c r="Q390" s="485"/>
    </row>
    <row r="391">
      <c r="N391" s="506"/>
      <c r="O391" s="485"/>
      <c r="P391" s="485"/>
      <c r="Q391" s="485"/>
    </row>
    <row r="392">
      <c r="N392" s="506"/>
      <c r="O392" s="485"/>
      <c r="P392" s="485"/>
      <c r="Q392" s="485"/>
    </row>
    <row r="393">
      <c r="N393" s="506"/>
      <c r="O393" s="485"/>
      <c r="P393" s="485"/>
      <c r="Q393" s="485"/>
    </row>
    <row r="394">
      <c r="N394" s="506"/>
      <c r="O394" s="485"/>
      <c r="P394" s="485"/>
      <c r="Q394" s="485"/>
    </row>
    <row r="395">
      <c r="N395" s="506"/>
      <c r="O395" s="485"/>
      <c r="P395" s="485"/>
      <c r="Q395" s="485"/>
    </row>
    <row r="396">
      <c r="N396" s="506"/>
      <c r="O396" s="485"/>
      <c r="P396" s="485"/>
      <c r="Q396" s="485"/>
    </row>
    <row r="397">
      <c r="N397" s="506"/>
      <c r="O397" s="485"/>
      <c r="P397" s="485"/>
      <c r="Q397" s="485"/>
    </row>
    <row r="398">
      <c r="N398" s="506"/>
      <c r="O398" s="485"/>
      <c r="P398" s="485"/>
      <c r="Q398" s="485"/>
    </row>
    <row r="399">
      <c r="N399" s="506"/>
      <c r="O399" s="485"/>
      <c r="P399" s="485"/>
      <c r="Q399" s="485"/>
    </row>
    <row r="400">
      <c r="N400" s="506"/>
      <c r="O400" s="485"/>
      <c r="P400" s="485"/>
      <c r="Q400" s="485"/>
    </row>
    <row r="401">
      <c r="N401" s="506"/>
      <c r="O401" s="485"/>
      <c r="P401" s="485"/>
      <c r="Q401" s="485"/>
    </row>
    <row r="402">
      <c r="N402" s="506"/>
      <c r="O402" s="485"/>
      <c r="P402" s="485"/>
      <c r="Q402" s="485"/>
    </row>
    <row r="403">
      <c r="N403" s="506"/>
      <c r="O403" s="485"/>
      <c r="P403" s="485"/>
      <c r="Q403" s="485"/>
    </row>
    <row r="404">
      <c r="N404" s="506"/>
      <c r="O404" s="485"/>
      <c r="P404" s="485"/>
      <c r="Q404" s="485"/>
    </row>
    <row r="405">
      <c r="N405" s="506"/>
      <c r="O405" s="485"/>
      <c r="P405" s="485"/>
      <c r="Q405" s="485"/>
    </row>
    <row r="406">
      <c r="N406" s="506"/>
      <c r="O406" s="485"/>
      <c r="P406" s="485"/>
      <c r="Q406" s="485"/>
    </row>
    <row r="407">
      <c r="N407" s="506"/>
      <c r="O407" s="485"/>
      <c r="P407" s="485"/>
      <c r="Q407" s="485"/>
    </row>
    <row r="408">
      <c r="N408" s="506"/>
      <c r="O408" s="485"/>
      <c r="P408" s="485"/>
      <c r="Q408" s="485"/>
    </row>
    <row r="409">
      <c r="N409" s="506"/>
      <c r="O409" s="485"/>
      <c r="P409" s="485"/>
      <c r="Q409" s="485"/>
    </row>
    <row r="410">
      <c r="N410" s="506"/>
      <c r="O410" s="485"/>
      <c r="P410" s="485"/>
      <c r="Q410" s="485"/>
    </row>
    <row r="411">
      <c r="N411" s="506"/>
      <c r="O411" s="485"/>
      <c r="P411" s="485"/>
      <c r="Q411" s="485"/>
    </row>
    <row r="412">
      <c r="N412" s="506"/>
      <c r="O412" s="485"/>
      <c r="P412" s="485"/>
      <c r="Q412" s="485"/>
    </row>
    <row r="413">
      <c r="N413" s="506"/>
      <c r="O413" s="485"/>
      <c r="P413" s="485"/>
      <c r="Q413" s="485"/>
    </row>
    <row r="414">
      <c r="N414" s="506"/>
      <c r="O414" s="485"/>
      <c r="P414" s="485"/>
      <c r="Q414" s="485"/>
    </row>
    <row r="415">
      <c r="N415" s="506"/>
      <c r="O415" s="485"/>
      <c r="P415" s="485"/>
      <c r="Q415" s="485"/>
    </row>
    <row r="416">
      <c r="N416" s="506"/>
      <c r="O416" s="485"/>
      <c r="P416" s="485"/>
      <c r="Q416" s="485"/>
    </row>
    <row r="417">
      <c r="N417" s="506"/>
      <c r="O417" s="485"/>
      <c r="P417" s="485"/>
      <c r="Q417" s="485"/>
    </row>
    <row r="418">
      <c r="N418" s="506"/>
      <c r="O418" s="485"/>
      <c r="P418" s="485"/>
      <c r="Q418" s="485"/>
    </row>
    <row r="419">
      <c r="N419" s="506"/>
      <c r="O419" s="485"/>
      <c r="P419" s="485"/>
      <c r="Q419" s="485"/>
    </row>
    <row r="420">
      <c r="N420" s="506"/>
      <c r="O420" s="485"/>
      <c r="P420" s="485"/>
      <c r="Q420" s="485"/>
    </row>
    <row r="421">
      <c r="N421" s="506"/>
      <c r="O421" s="485"/>
      <c r="P421" s="485"/>
      <c r="Q421" s="485"/>
    </row>
    <row r="422">
      <c r="N422" s="506"/>
      <c r="O422" s="485"/>
      <c r="P422" s="485"/>
      <c r="Q422" s="485"/>
    </row>
    <row r="423">
      <c r="N423" s="506"/>
      <c r="O423" s="485"/>
      <c r="P423" s="485"/>
      <c r="Q423" s="485"/>
    </row>
    <row r="424">
      <c r="N424" s="506"/>
      <c r="O424" s="485"/>
      <c r="P424" s="485"/>
      <c r="Q424" s="485"/>
    </row>
    <row r="425">
      <c r="N425" s="506"/>
      <c r="O425" s="485"/>
      <c r="P425" s="485"/>
      <c r="Q425" s="485"/>
    </row>
    <row r="426">
      <c r="N426" s="506"/>
      <c r="O426" s="485"/>
      <c r="P426" s="485"/>
      <c r="Q426" s="485"/>
    </row>
    <row r="427">
      <c r="N427" s="506"/>
      <c r="O427" s="485"/>
      <c r="P427" s="485"/>
      <c r="Q427" s="485"/>
    </row>
    <row r="428">
      <c r="N428" s="506"/>
      <c r="O428" s="485"/>
      <c r="P428" s="485"/>
      <c r="Q428" s="485"/>
    </row>
    <row r="429">
      <c r="N429" s="506"/>
      <c r="O429" s="485"/>
      <c r="P429" s="485"/>
      <c r="Q429" s="485"/>
    </row>
    <row r="430">
      <c r="N430" s="506"/>
      <c r="O430" s="485"/>
      <c r="P430" s="485"/>
      <c r="Q430" s="485"/>
    </row>
    <row r="431">
      <c r="N431" s="506"/>
      <c r="O431" s="485"/>
      <c r="P431" s="485"/>
      <c r="Q431" s="485"/>
    </row>
    <row r="432">
      <c r="N432" s="506"/>
      <c r="O432" s="485"/>
      <c r="P432" s="485"/>
      <c r="Q432" s="485"/>
    </row>
    <row r="433">
      <c r="N433" s="506"/>
      <c r="O433" s="485"/>
      <c r="P433" s="485"/>
      <c r="Q433" s="485"/>
    </row>
    <row r="434">
      <c r="N434" s="506"/>
      <c r="O434" s="485"/>
      <c r="P434" s="485"/>
      <c r="Q434" s="485"/>
    </row>
    <row r="435">
      <c r="N435" s="506"/>
      <c r="O435" s="485"/>
      <c r="P435" s="485"/>
      <c r="Q435" s="485"/>
    </row>
    <row r="436">
      <c r="N436" s="506"/>
      <c r="O436" s="485"/>
      <c r="P436" s="485"/>
      <c r="Q436" s="485"/>
    </row>
    <row r="437">
      <c r="N437" s="506"/>
      <c r="O437" s="485"/>
      <c r="P437" s="485"/>
      <c r="Q437" s="485"/>
    </row>
    <row r="438">
      <c r="N438" s="506"/>
      <c r="O438" s="485"/>
      <c r="P438" s="485"/>
      <c r="Q438" s="485"/>
    </row>
    <row r="439">
      <c r="N439" s="506"/>
      <c r="O439" s="485"/>
      <c r="P439" s="485"/>
      <c r="Q439" s="485"/>
    </row>
    <row r="440">
      <c r="N440" s="506"/>
      <c r="O440" s="485"/>
      <c r="P440" s="485"/>
      <c r="Q440" s="485"/>
    </row>
    <row r="441">
      <c r="N441" s="506"/>
      <c r="O441" s="485"/>
      <c r="P441" s="485"/>
      <c r="Q441" s="485"/>
    </row>
    <row r="442">
      <c r="N442" s="506"/>
      <c r="O442" s="485"/>
      <c r="P442" s="485"/>
      <c r="Q442" s="485"/>
    </row>
    <row r="443">
      <c r="N443" s="506"/>
      <c r="O443" s="485"/>
      <c r="P443" s="485"/>
      <c r="Q443" s="485"/>
    </row>
    <row r="444">
      <c r="N444" s="506"/>
      <c r="O444" s="485"/>
      <c r="P444" s="485"/>
      <c r="Q444" s="485"/>
    </row>
    <row r="445">
      <c r="N445" s="506"/>
      <c r="O445" s="485"/>
      <c r="P445" s="485"/>
      <c r="Q445" s="485"/>
    </row>
    <row r="446">
      <c r="N446" s="506"/>
      <c r="O446" s="485"/>
      <c r="P446" s="485"/>
      <c r="Q446" s="485"/>
    </row>
    <row r="447">
      <c r="N447" s="506"/>
      <c r="O447" s="485"/>
      <c r="P447" s="485"/>
      <c r="Q447" s="485"/>
    </row>
    <row r="448">
      <c r="N448" s="506"/>
      <c r="O448" s="485"/>
      <c r="P448" s="485"/>
      <c r="Q448" s="485"/>
    </row>
    <row r="449">
      <c r="N449" s="506"/>
      <c r="O449" s="485"/>
      <c r="P449" s="485"/>
      <c r="Q449" s="485"/>
    </row>
    <row r="450">
      <c r="N450" s="506"/>
      <c r="O450" s="485"/>
      <c r="P450" s="485"/>
      <c r="Q450" s="485"/>
    </row>
    <row r="451">
      <c r="N451" s="506"/>
      <c r="O451" s="485"/>
      <c r="P451" s="485"/>
      <c r="Q451" s="485"/>
    </row>
    <row r="452">
      <c r="N452" s="506"/>
      <c r="O452" s="485"/>
      <c r="P452" s="485"/>
      <c r="Q452" s="485"/>
    </row>
    <row r="453">
      <c r="N453" s="506"/>
      <c r="O453" s="485"/>
      <c r="P453" s="485"/>
      <c r="Q453" s="485"/>
    </row>
    <row r="454">
      <c r="N454" s="506"/>
      <c r="O454" s="485"/>
      <c r="P454" s="485"/>
      <c r="Q454" s="485"/>
    </row>
    <row r="455">
      <c r="N455" s="506"/>
      <c r="O455" s="485"/>
      <c r="P455" s="485"/>
      <c r="Q455" s="485"/>
    </row>
    <row r="456">
      <c r="N456" s="506"/>
      <c r="O456" s="485"/>
      <c r="P456" s="485"/>
      <c r="Q456" s="485"/>
    </row>
    <row r="457">
      <c r="N457" s="506"/>
      <c r="O457" s="485"/>
      <c r="P457" s="485"/>
      <c r="Q457" s="485"/>
    </row>
    <row r="458">
      <c r="N458" s="506"/>
      <c r="O458" s="485"/>
      <c r="P458" s="485"/>
      <c r="Q458" s="485"/>
    </row>
    <row r="459">
      <c r="N459" s="506"/>
      <c r="O459" s="485"/>
      <c r="P459" s="485"/>
      <c r="Q459" s="485"/>
    </row>
    <row r="460">
      <c r="N460" s="506"/>
      <c r="O460" s="485"/>
      <c r="P460" s="485"/>
      <c r="Q460" s="485"/>
    </row>
    <row r="461">
      <c r="N461" s="506"/>
      <c r="O461" s="485"/>
      <c r="P461" s="485"/>
      <c r="Q461" s="485"/>
    </row>
    <row r="462">
      <c r="N462" s="506"/>
      <c r="O462" s="485"/>
      <c r="P462" s="485"/>
      <c r="Q462" s="485"/>
    </row>
    <row r="463">
      <c r="N463" s="506"/>
      <c r="O463" s="485"/>
      <c r="P463" s="485"/>
      <c r="Q463" s="485"/>
    </row>
    <row r="464">
      <c r="N464" s="506"/>
      <c r="O464" s="485"/>
      <c r="P464" s="485"/>
      <c r="Q464" s="485"/>
    </row>
    <row r="465">
      <c r="N465" s="506"/>
      <c r="O465" s="485"/>
      <c r="P465" s="485"/>
      <c r="Q465" s="485"/>
    </row>
    <row r="466">
      <c r="N466" s="506"/>
      <c r="O466" s="485"/>
      <c r="P466" s="485"/>
      <c r="Q466" s="485"/>
    </row>
    <row r="467">
      <c r="N467" s="506"/>
      <c r="O467" s="485"/>
      <c r="P467" s="485"/>
      <c r="Q467" s="485"/>
    </row>
    <row r="468">
      <c r="N468" s="506"/>
      <c r="O468" s="485"/>
      <c r="P468" s="485"/>
      <c r="Q468" s="485"/>
    </row>
    <row r="469">
      <c r="N469" s="506"/>
      <c r="O469" s="485"/>
      <c r="P469" s="485"/>
      <c r="Q469" s="485"/>
    </row>
    <row r="470">
      <c r="N470" s="506"/>
      <c r="O470" s="485"/>
      <c r="P470" s="485"/>
      <c r="Q470" s="485"/>
    </row>
    <row r="471">
      <c r="N471" s="506"/>
      <c r="O471" s="485"/>
      <c r="P471" s="485"/>
      <c r="Q471" s="485"/>
    </row>
    <row r="472">
      <c r="N472" s="506"/>
      <c r="O472" s="485"/>
      <c r="P472" s="485"/>
      <c r="Q472" s="485"/>
    </row>
    <row r="473">
      <c r="N473" s="506"/>
      <c r="O473" s="485"/>
      <c r="P473" s="485"/>
      <c r="Q473" s="485"/>
    </row>
    <row r="474">
      <c r="N474" s="506"/>
      <c r="O474" s="485"/>
      <c r="P474" s="485"/>
      <c r="Q474" s="485"/>
    </row>
    <row r="475">
      <c r="N475" s="506"/>
      <c r="O475" s="485"/>
      <c r="P475" s="485"/>
      <c r="Q475" s="485"/>
    </row>
    <row r="476">
      <c r="N476" s="506"/>
      <c r="O476" s="485"/>
      <c r="P476" s="485"/>
      <c r="Q476" s="485"/>
    </row>
    <row r="477">
      <c r="N477" s="506"/>
      <c r="O477" s="485"/>
      <c r="P477" s="485"/>
      <c r="Q477" s="485"/>
    </row>
    <row r="478">
      <c r="N478" s="506"/>
      <c r="O478" s="485"/>
      <c r="P478" s="485"/>
      <c r="Q478" s="485"/>
    </row>
    <row r="479">
      <c r="N479" s="506"/>
      <c r="O479" s="485"/>
      <c r="P479" s="485"/>
      <c r="Q479" s="485"/>
    </row>
    <row r="480">
      <c r="N480" s="506"/>
      <c r="O480" s="485"/>
      <c r="P480" s="485"/>
      <c r="Q480" s="485"/>
    </row>
    <row r="481">
      <c r="N481" s="506"/>
      <c r="O481" s="485"/>
      <c r="P481" s="485"/>
      <c r="Q481" s="485"/>
    </row>
    <row r="482">
      <c r="N482" s="506"/>
      <c r="O482" s="485"/>
      <c r="P482" s="485"/>
      <c r="Q482" s="485"/>
    </row>
    <row r="483">
      <c r="N483" s="506"/>
      <c r="O483" s="485"/>
      <c r="P483" s="485"/>
      <c r="Q483" s="485"/>
    </row>
    <row r="484">
      <c r="N484" s="506"/>
      <c r="O484" s="485"/>
      <c r="P484" s="485"/>
      <c r="Q484" s="485"/>
    </row>
    <row r="485">
      <c r="N485" s="506"/>
      <c r="O485" s="485"/>
      <c r="P485" s="485"/>
      <c r="Q485" s="485"/>
    </row>
    <row r="486">
      <c r="N486" s="506"/>
      <c r="O486" s="485"/>
      <c r="P486" s="485"/>
      <c r="Q486" s="485"/>
    </row>
    <row r="487">
      <c r="N487" s="506"/>
      <c r="O487" s="485"/>
      <c r="P487" s="485"/>
      <c r="Q487" s="485"/>
    </row>
    <row r="488">
      <c r="N488" s="506"/>
      <c r="O488" s="485"/>
      <c r="P488" s="485"/>
      <c r="Q488" s="485"/>
    </row>
    <row r="489">
      <c r="N489" s="506"/>
      <c r="O489" s="485"/>
      <c r="P489" s="485"/>
      <c r="Q489" s="485"/>
    </row>
    <row r="490">
      <c r="N490" s="506"/>
      <c r="O490" s="485"/>
      <c r="P490" s="485"/>
      <c r="Q490" s="485"/>
    </row>
    <row r="491">
      <c r="N491" s="506"/>
      <c r="O491" s="485"/>
      <c r="P491" s="485"/>
      <c r="Q491" s="485"/>
    </row>
    <row r="492">
      <c r="N492" s="506"/>
      <c r="O492" s="485"/>
      <c r="P492" s="485"/>
      <c r="Q492" s="485"/>
    </row>
    <row r="493">
      <c r="N493" s="506"/>
      <c r="O493" s="485"/>
      <c r="P493" s="485"/>
      <c r="Q493" s="485"/>
    </row>
    <row r="494">
      <c r="N494" s="506"/>
      <c r="O494" s="485"/>
      <c r="P494" s="485"/>
      <c r="Q494" s="485"/>
    </row>
    <row r="495">
      <c r="N495" s="506"/>
      <c r="O495" s="485"/>
      <c r="P495" s="485"/>
      <c r="Q495" s="485"/>
    </row>
    <row r="496">
      <c r="N496" s="506"/>
      <c r="O496" s="485"/>
      <c r="P496" s="485"/>
      <c r="Q496" s="485"/>
    </row>
    <row r="497">
      <c r="N497" s="506"/>
      <c r="O497" s="485"/>
      <c r="P497" s="485"/>
      <c r="Q497" s="485"/>
    </row>
    <row r="498">
      <c r="N498" s="506"/>
      <c r="O498" s="485"/>
      <c r="P498" s="485"/>
      <c r="Q498" s="485"/>
    </row>
    <row r="499">
      <c r="N499" s="506"/>
      <c r="O499" s="485"/>
      <c r="P499" s="485"/>
      <c r="Q499" s="485"/>
    </row>
    <row r="500">
      <c r="N500" s="506"/>
      <c r="O500" s="485"/>
      <c r="P500" s="485"/>
      <c r="Q500" s="485"/>
    </row>
    <row r="501">
      <c r="N501" s="506"/>
      <c r="O501" s="485"/>
      <c r="P501" s="485"/>
      <c r="Q501" s="485"/>
    </row>
    <row r="502">
      <c r="N502" s="506"/>
      <c r="O502" s="485"/>
      <c r="P502" s="485"/>
      <c r="Q502" s="485"/>
    </row>
    <row r="503">
      <c r="N503" s="506"/>
      <c r="O503" s="485"/>
      <c r="P503" s="485"/>
      <c r="Q503" s="485"/>
    </row>
    <row r="504">
      <c r="N504" s="506"/>
      <c r="O504" s="485"/>
      <c r="P504" s="485"/>
      <c r="Q504" s="485"/>
    </row>
    <row r="505">
      <c r="N505" s="506"/>
      <c r="O505" s="485"/>
      <c r="P505" s="485"/>
      <c r="Q505" s="485"/>
    </row>
    <row r="506">
      <c r="N506" s="506"/>
      <c r="O506" s="485"/>
      <c r="P506" s="485"/>
      <c r="Q506" s="485"/>
    </row>
    <row r="507">
      <c r="N507" s="506"/>
      <c r="O507" s="485"/>
      <c r="P507" s="485"/>
      <c r="Q507" s="485"/>
    </row>
    <row r="508">
      <c r="N508" s="506"/>
      <c r="O508" s="485"/>
      <c r="P508" s="485"/>
      <c r="Q508" s="485"/>
    </row>
    <row r="509">
      <c r="N509" s="506"/>
      <c r="O509" s="485"/>
      <c r="P509" s="485"/>
      <c r="Q509" s="485"/>
    </row>
    <row r="510">
      <c r="N510" s="506"/>
      <c r="O510" s="485"/>
      <c r="P510" s="485"/>
      <c r="Q510" s="485"/>
    </row>
    <row r="511">
      <c r="N511" s="506"/>
      <c r="O511" s="485"/>
      <c r="P511" s="485"/>
      <c r="Q511" s="485"/>
    </row>
    <row r="512">
      <c r="N512" s="506"/>
      <c r="O512" s="485"/>
      <c r="P512" s="485"/>
      <c r="Q512" s="485"/>
    </row>
    <row r="513">
      <c r="N513" s="506"/>
      <c r="O513" s="485"/>
      <c r="P513" s="485"/>
      <c r="Q513" s="485"/>
    </row>
    <row r="514">
      <c r="N514" s="506"/>
      <c r="O514" s="485"/>
      <c r="P514" s="485"/>
      <c r="Q514" s="485"/>
    </row>
    <row r="515">
      <c r="N515" s="506"/>
      <c r="O515" s="485"/>
      <c r="P515" s="485"/>
      <c r="Q515" s="485"/>
    </row>
    <row r="516">
      <c r="N516" s="506"/>
      <c r="O516" s="485"/>
      <c r="P516" s="485"/>
      <c r="Q516" s="485"/>
    </row>
    <row r="517">
      <c r="N517" s="506"/>
      <c r="O517" s="485"/>
      <c r="P517" s="485"/>
      <c r="Q517" s="485"/>
    </row>
    <row r="518">
      <c r="N518" s="506"/>
      <c r="O518" s="485"/>
      <c r="P518" s="485"/>
      <c r="Q518" s="485"/>
    </row>
    <row r="519">
      <c r="N519" s="506"/>
      <c r="O519" s="485"/>
      <c r="P519" s="485"/>
      <c r="Q519" s="485"/>
    </row>
    <row r="520">
      <c r="N520" s="506"/>
      <c r="O520" s="485"/>
      <c r="P520" s="485"/>
      <c r="Q520" s="485"/>
    </row>
    <row r="521">
      <c r="N521" s="506"/>
      <c r="O521" s="485"/>
      <c r="P521" s="485"/>
      <c r="Q521" s="485"/>
    </row>
    <row r="522">
      <c r="N522" s="506"/>
      <c r="O522" s="485"/>
      <c r="P522" s="485"/>
      <c r="Q522" s="485"/>
    </row>
    <row r="523">
      <c r="N523" s="506"/>
      <c r="O523" s="485"/>
      <c r="P523" s="485"/>
      <c r="Q523" s="485"/>
    </row>
    <row r="524">
      <c r="N524" s="506"/>
      <c r="O524" s="485"/>
      <c r="P524" s="485"/>
      <c r="Q524" s="485"/>
    </row>
    <row r="525">
      <c r="N525" s="506"/>
      <c r="O525" s="485"/>
      <c r="P525" s="485"/>
      <c r="Q525" s="485"/>
    </row>
    <row r="526">
      <c r="N526" s="506"/>
      <c r="O526" s="485"/>
      <c r="P526" s="485"/>
      <c r="Q526" s="485"/>
    </row>
    <row r="527">
      <c r="N527" s="506"/>
      <c r="O527" s="485"/>
      <c r="P527" s="485"/>
      <c r="Q527" s="485"/>
    </row>
    <row r="528">
      <c r="N528" s="506"/>
      <c r="O528" s="485"/>
      <c r="P528" s="485"/>
      <c r="Q528" s="485"/>
    </row>
    <row r="529">
      <c r="N529" s="506"/>
      <c r="O529" s="485"/>
      <c r="P529" s="485"/>
      <c r="Q529" s="485"/>
    </row>
    <row r="530">
      <c r="N530" s="506"/>
      <c r="O530" s="485"/>
      <c r="P530" s="485"/>
      <c r="Q530" s="485"/>
    </row>
    <row r="531">
      <c r="N531" s="506"/>
      <c r="O531" s="485"/>
      <c r="P531" s="485"/>
      <c r="Q531" s="485"/>
    </row>
    <row r="532">
      <c r="N532" s="506"/>
      <c r="O532" s="485"/>
      <c r="P532" s="485"/>
      <c r="Q532" s="485"/>
    </row>
    <row r="533">
      <c r="N533" s="506"/>
      <c r="O533" s="485"/>
      <c r="P533" s="485"/>
      <c r="Q533" s="485"/>
    </row>
    <row r="534">
      <c r="N534" s="506"/>
      <c r="O534" s="485"/>
      <c r="P534" s="485"/>
      <c r="Q534" s="485"/>
    </row>
    <row r="535">
      <c r="N535" s="506"/>
      <c r="O535" s="485"/>
      <c r="P535" s="485"/>
      <c r="Q535" s="485"/>
    </row>
    <row r="536">
      <c r="N536" s="506"/>
      <c r="O536" s="485"/>
      <c r="P536" s="485"/>
      <c r="Q536" s="485"/>
    </row>
    <row r="537">
      <c r="N537" s="506"/>
      <c r="O537" s="485"/>
      <c r="P537" s="485"/>
      <c r="Q537" s="485"/>
    </row>
    <row r="538">
      <c r="N538" s="506"/>
      <c r="O538" s="485"/>
      <c r="P538" s="485"/>
      <c r="Q538" s="485"/>
    </row>
    <row r="539">
      <c r="N539" s="506"/>
      <c r="O539" s="485"/>
      <c r="P539" s="485"/>
      <c r="Q539" s="485"/>
    </row>
    <row r="540">
      <c r="N540" s="506"/>
      <c r="O540" s="485"/>
      <c r="P540" s="485"/>
      <c r="Q540" s="485"/>
    </row>
    <row r="541">
      <c r="N541" s="506"/>
      <c r="O541" s="485"/>
      <c r="P541" s="485"/>
      <c r="Q541" s="485"/>
    </row>
    <row r="542">
      <c r="N542" s="506"/>
      <c r="O542" s="485"/>
      <c r="P542" s="485"/>
      <c r="Q542" s="485"/>
    </row>
    <row r="543">
      <c r="N543" s="506"/>
      <c r="O543" s="485"/>
      <c r="P543" s="485"/>
      <c r="Q543" s="485"/>
    </row>
    <row r="544">
      <c r="N544" s="506"/>
      <c r="O544" s="485"/>
      <c r="P544" s="485"/>
      <c r="Q544" s="485"/>
    </row>
    <row r="545">
      <c r="N545" s="506"/>
      <c r="O545" s="485"/>
      <c r="P545" s="485"/>
      <c r="Q545" s="485"/>
    </row>
    <row r="546">
      <c r="N546" s="506"/>
      <c r="O546" s="485"/>
      <c r="P546" s="485"/>
      <c r="Q546" s="485"/>
    </row>
    <row r="547">
      <c r="N547" s="506"/>
      <c r="O547" s="485"/>
      <c r="P547" s="485"/>
      <c r="Q547" s="485"/>
    </row>
    <row r="548">
      <c r="N548" s="506"/>
      <c r="O548" s="485"/>
      <c r="P548" s="485"/>
      <c r="Q548" s="485"/>
    </row>
    <row r="549">
      <c r="N549" s="506"/>
      <c r="O549" s="485"/>
      <c r="P549" s="485"/>
      <c r="Q549" s="485"/>
    </row>
    <row r="550">
      <c r="N550" s="506"/>
      <c r="O550" s="485"/>
      <c r="P550" s="485"/>
      <c r="Q550" s="485"/>
    </row>
    <row r="551">
      <c r="N551" s="506"/>
      <c r="O551" s="485"/>
      <c r="P551" s="485"/>
      <c r="Q551" s="485"/>
    </row>
    <row r="552">
      <c r="N552" s="506"/>
      <c r="O552" s="485"/>
      <c r="P552" s="485"/>
      <c r="Q552" s="485"/>
    </row>
    <row r="553">
      <c r="N553" s="506"/>
      <c r="O553" s="485"/>
      <c r="P553" s="485"/>
      <c r="Q553" s="485"/>
    </row>
    <row r="554">
      <c r="N554" s="506"/>
      <c r="O554" s="485"/>
      <c r="P554" s="485"/>
      <c r="Q554" s="485"/>
    </row>
    <row r="555">
      <c r="N555" s="506"/>
      <c r="O555" s="485"/>
      <c r="P555" s="485"/>
      <c r="Q555" s="485"/>
    </row>
    <row r="556">
      <c r="N556" s="506"/>
      <c r="O556" s="485"/>
      <c r="P556" s="485"/>
      <c r="Q556" s="485"/>
    </row>
    <row r="557">
      <c r="N557" s="506"/>
      <c r="O557" s="485"/>
      <c r="P557" s="485"/>
      <c r="Q557" s="485"/>
    </row>
    <row r="558">
      <c r="N558" s="506"/>
      <c r="O558" s="485"/>
      <c r="P558" s="485"/>
      <c r="Q558" s="485"/>
    </row>
    <row r="559">
      <c r="N559" s="506"/>
      <c r="O559" s="485"/>
      <c r="P559" s="485"/>
      <c r="Q559" s="485"/>
    </row>
    <row r="560">
      <c r="N560" s="506"/>
      <c r="O560" s="485"/>
      <c r="P560" s="485"/>
      <c r="Q560" s="485"/>
    </row>
    <row r="561">
      <c r="N561" s="506"/>
      <c r="O561" s="485"/>
      <c r="P561" s="485"/>
      <c r="Q561" s="485"/>
    </row>
    <row r="562">
      <c r="N562" s="506"/>
      <c r="O562" s="485"/>
      <c r="P562" s="485"/>
      <c r="Q562" s="485"/>
    </row>
    <row r="563">
      <c r="N563" s="506"/>
      <c r="O563" s="485"/>
      <c r="P563" s="485"/>
      <c r="Q563" s="485"/>
    </row>
    <row r="564">
      <c r="N564" s="506"/>
      <c r="O564" s="485"/>
      <c r="P564" s="485"/>
      <c r="Q564" s="485"/>
    </row>
    <row r="565">
      <c r="N565" s="506"/>
      <c r="O565" s="485"/>
      <c r="P565" s="485"/>
      <c r="Q565" s="485"/>
    </row>
    <row r="566">
      <c r="N566" s="506"/>
      <c r="O566" s="485"/>
      <c r="P566" s="485"/>
      <c r="Q566" s="485"/>
    </row>
    <row r="567">
      <c r="N567" s="506"/>
      <c r="O567" s="485"/>
      <c r="P567" s="485"/>
      <c r="Q567" s="485"/>
    </row>
    <row r="568">
      <c r="N568" s="506"/>
      <c r="O568" s="485"/>
      <c r="P568" s="485"/>
      <c r="Q568" s="485"/>
    </row>
    <row r="569">
      <c r="N569" s="506"/>
      <c r="O569" s="485"/>
      <c r="P569" s="485"/>
      <c r="Q569" s="485"/>
    </row>
    <row r="570">
      <c r="N570" s="506"/>
      <c r="O570" s="485"/>
      <c r="P570" s="485"/>
      <c r="Q570" s="485"/>
    </row>
    <row r="571">
      <c r="N571" s="506"/>
      <c r="O571" s="485"/>
      <c r="P571" s="485"/>
      <c r="Q571" s="485"/>
    </row>
    <row r="572">
      <c r="N572" s="506"/>
      <c r="O572" s="485"/>
      <c r="P572" s="485"/>
      <c r="Q572" s="485"/>
    </row>
    <row r="573">
      <c r="N573" s="506"/>
      <c r="O573" s="485"/>
      <c r="P573" s="485"/>
      <c r="Q573" s="485"/>
    </row>
    <row r="574">
      <c r="N574" s="506"/>
      <c r="O574" s="485"/>
      <c r="P574" s="485"/>
      <c r="Q574" s="485"/>
    </row>
    <row r="575">
      <c r="N575" s="506"/>
      <c r="O575" s="485"/>
      <c r="P575" s="485"/>
      <c r="Q575" s="485"/>
    </row>
    <row r="576">
      <c r="N576" s="506"/>
      <c r="O576" s="485"/>
      <c r="P576" s="485"/>
      <c r="Q576" s="485"/>
    </row>
    <row r="577">
      <c r="N577" s="506"/>
      <c r="O577" s="485"/>
      <c r="P577" s="485"/>
      <c r="Q577" s="485"/>
    </row>
    <row r="578">
      <c r="N578" s="506"/>
      <c r="O578" s="485"/>
      <c r="P578" s="485"/>
      <c r="Q578" s="485"/>
    </row>
    <row r="579">
      <c r="N579" s="506"/>
      <c r="O579" s="485"/>
      <c r="P579" s="485"/>
      <c r="Q579" s="485"/>
    </row>
    <row r="580">
      <c r="N580" s="506"/>
      <c r="O580" s="485"/>
      <c r="P580" s="485"/>
      <c r="Q580" s="485"/>
    </row>
    <row r="581">
      <c r="N581" s="506"/>
      <c r="O581" s="485"/>
      <c r="P581" s="485"/>
      <c r="Q581" s="485"/>
    </row>
    <row r="582">
      <c r="N582" s="506"/>
      <c r="O582" s="485"/>
      <c r="P582" s="485"/>
      <c r="Q582" s="485"/>
    </row>
    <row r="583">
      <c r="N583" s="506"/>
      <c r="O583" s="485"/>
      <c r="P583" s="485"/>
      <c r="Q583" s="485"/>
    </row>
    <row r="584">
      <c r="N584" s="506"/>
      <c r="O584" s="485"/>
      <c r="P584" s="485"/>
      <c r="Q584" s="485"/>
    </row>
    <row r="585">
      <c r="N585" s="506"/>
      <c r="O585" s="485"/>
      <c r="P585" s="485"/>
      <c r="Q585" s="485"/>
    </row>
    <row r="586">
      <c r="N586" s="506"/>
      <c r="O586" s="485"/>
      <c r="P586" s="485"/>
      <c r="Q586" s="485"/>
    </row>
    <row r="587">
      <c r="N587" s="506"/>
      <c r="O587" s="485"/>
      <c r="P587" s="485"/>
      <c r="Q587" s="485"/>
    </row>
    <row r="588">
      <c r="N588" s="506"/>
      <c r="O588" s="485"/>
      <c r="P588" s="485"/>
      <c r="Q588" s="485"/>
    </row>
    <row r="589">
      <c r="N589" s="506"/>
      <c r="O589" s="485"/>
      <c r="P589" s="485"/>
      <c r="Q589" s="485"/>
    </row>
    <row r="590">
      <c r="N590" s="506"/>
      <c r="O590" s="485"/>
      <c r="P590" s="485"/>
      <c r="Q590" s="485"/>
    </row>
    <row r="591">
      <c r="N591" s="506"/>
      <c r="O591" s="485"/>
      <c r="P591" s="485"/>
      <c r="Q591" s="485"/>
    </row>
    <row r="592">
      <c r="N592" s="506"/>
      <c r="O592" s="485"/>
      <c r="P592" s="485"/>
      <c r="Q592" s="485"/>
    </row>
    <row r="593">
      <c r="N593" s="506"/>
      <c r="O593" s="485"/>
      <c r="P593" s="485"/>
      <c r="Q593" s="485"/>
    </row>
    <row r="594">
      <c r="N594" s="506"/>
      <c r="O594" s="485"/>
      <c r="P594" s="485"/>
      <c r="Q594" s="485"/>
    </row>
    <row r="595">
      <c r="N595" s="506"/>
      <c r="O595" s="485"/>
      <c r="P595" s="485"/>
      <c r="Q595" s="485"/>
    </row>
    <row r="596">
      <c r="N596" s="506"/>
      <c r="O596" s="485"/>
      <c r="P596" s="485"/>
      <c r="Q596" s="485"/>
    </row>
    <row r="597">
      <c r="N597" s="506"/>
      <c r="O597" s="485"/>
      <c r="P597" s="485"/>
      <c r="Q597" s="485"/>
    </row>
    <row r="598">
      <c r="N598" s="506"/>
      <c r="O598" s="485"/>
      <c r="P598" s="485"/>
      <c r="Q598" s="485"/>
    </row>
    <row r="599">
      <c r="N599" s="506"/>
      <c r="O599" s="485"/>
      <c r="P599" s="485"/>
      <c r="Q599" s="485"/>
    </row>
    <row r="600">
      <c r="N600" s="506"/>
      <c r="O600" s="485"/>
      <c r="P600" s="485"/>
      <c r="Q600" s="485"/>
    </row>
    <row r="601">
      <c r="N601" s="506"/>
      <c r="O601" s="485"/>
      <c r="P601" s="485"/>
      <c r="Q601" s="485"/>
    </row>
    <row r="602">
      <c r="N602" s="506"/>
      <c r="O602" s="485"/>
      <c r="P602" s="485"/>
      <c r="Q602" s="485"/>
    </row>
    <row r="603">
      <c r="N603" s="506"/>
      <c r="O603" s="485"/>
      <c r="P603" s="485"/>
      <c r="Q603" s="485"/>
    </row>
    <row r="604">
      <c r="N604" s="506"/>
      <c r="O604" s="485"/>
      <c r="P604" s="485"/>
      <c r="Q604" s="485"/>
    </row>
    <row r="605">
      <c r="N605" s="506"/>
      <c r="O605" s="485"/>
      <c r="P605" s="485"/>
      <c r="Q605" s="485"/>
    </row>
    <row r="606">
      <c r="N606" s="506"/>
      <c r="O606" s="485"/>
      <c r="P606" s="485"/>
      <c r="Q606" s="485"/>
    </row>
    <row r="607">
      <c r="N607" s="506"/>
      <c r="O607" s="485"/>
      <c r="P607" s="485"/>
      <c r="Q607" s="485"/>
    </row>
    <row r="608">
      <c r="N608" s="506"/>
      <c r="O608" s="485"/>
      <c r="P608" s="485"/>
      <c r="Q608" s="485"/>
    </row>
    <row r="609">
      <c r="N609" s="506"/>
      <c r="O609" s="485"/>
      <c r="P609" s="485"/>
      <c r="Q609" s="485"/>
    </row>
    <row r="610">
      <c r="N610" s="506"/>
      <c r="O610" s="485"/>
      <c r="P610" s="485"/>
      <c r="Q610" s="485"/>
    </row>
    <row r="611">
      <c r="N611" s="506"/>
      <c r="O611" s="485"/>
      <c r="P611" s="485"/>
      <c r="Q611" s="485"/>
    </row>
    <row r="612">
      <c r="N612" s="506"/>
      <c r="O612" s="485"/>
      <c r="P612" s="485"/>
      <c r="Q612" s="485"/>
    </row>
    <row r="613">
      <c r="N613" s="506"/>
      <c r="O613" s="485"/>
      <c r="P613" s="485"/>
      <c r="Q613" s="485"/>
    </row>
    <row r="614">
      <c r="N614" s="506"/>
      <c r="O614" s="485"/>
      <c r="P614" s="485"/>
      <c r="Q614" s="485"/>
    </row>
    <row r="615">
      <c r="N615" s="506"/>
      <c r="O615" s="485"/>
      <c r="P615" s="485"/>
      <c r="Q615" s="485"/>
    </row>
    <row r="616">
      <c r="N616" s="506"/>
      <c r="O616" s="485"/>
      <c r="P616" s="485"/>
      <c r="Q616" s="485"/>
    </row>
    <row r="617">
      <c r="N617" s="506"/>
      <c r="O617" s="485"/>
      <c r="P617" s="485"/>
      <c r="Q617" s="485"/>
    </row>
    <row r="618">
      <c r="N618" s="506"/>
      <c r="O618" s="485"/>
      <c r="P618" s="485"/>
      <c r="Q618" s="485"/>
    </row>
    <row r="619">
      <c r="N619" s="506"/>
      <c r="O619" s="485"/>
      <c r="P619" s="485"/>
      <c r="Q619" s="485"/>
    </row>
    <row r="620">
      <c r="N620" s="506"/>
      <c r="O620" s="485"/>
      <c r="P620" s="485"/>
      <c r="Q620" s="485"/>
    </row>
    <row r="621">
      <c r="N621" s="506"/>
      <c r="O621" s="485"/>
      <c r="P621" s="485"/>
      <c r="Q621" s="485"/>
    </row>
    <row r="622">
      <c r="N622" s="506"/>
      <c r="O622" s="485"/>
      <c r="P622" s="485"/>
      <c r="Q622" s="485"/>
    </row>
    <row r="623">
      <c r="N623" s="506"/>
      <c r="O623" s="485"/>
      <c r="P623" s="485"/>
      <c r="Q623" s="485"/>
    </row>
    <row r="624">
      <c r="N624" s="506"/>
      <c r="O624" s="485"/>
      <c r="P624" s="485"/>
      <c r="Q624" s="485"/>
    </row>
    <row r="625">
      <c r="N625" s="506"/>
      <c r="O625" s="485"/>
      <c r="P625" s="485"/>
      <c r="Q625" s="485"/>
    </row>
    <row r="626">
      <c r="N626" s="506"/>
      <c r="O626" s="485"/>
      <c r="P626" s="485"/>
      <c r="Q626" s="485"/>
    </row>
    <row r="627">
      <c r="N627" s="506"/>
      <c r="O627" s="485"/>
      <c r="P627" s="485"/>
      <c r="Q627" s="485"/>
    </row>
    <row r="628">
      <c r="N628" s="506"/>
      <c r="O628" s="485"/>
      <c r="P628" s="485"/>
      <c r="Q628" s="485"/>
    </row>
    <row r="629">
      <c r="N629" s="506"/>
      <c r="O629" s="485"/>
      <c r="P629" s="485"/>
      <c r="Q629" s="485"/>
    </row>
    <row r="630">
      <c r="N630" s="506"/>
      <c r="O630" s="485"/>
      <c r="P630" s="485"/>
      <c r="Q630" s="485"/>
    </row>
    <row r="631">
      <c r="N631" s="506"/>
      <c r="O631" s="485"/>
      <c r="P631" s="485"/>
      <c r="Q631" s="485"/>
    </row>
    <row r="632">
      <c r="N632" s="506"/>
      <c r="O632" s="485"/>
      <c r="P632" s="485"/>
      <c r="Q632" s="485"/>
    </row>
    <row r="633">
      <c r="N633" s="506"/>
      <c r="O633" s="485"/>
      <c r="P633" s="485"/>
      <c r="Q633" s="485"/>
    </row>
    <row r="634">
      <c r="N634" s="506"/>
      <c r="O634" s="485"/>
      <c r="P634" s="485"/>
      <c r="Q634" s="485"/>
    </row>
    <row r="635">
      <c r="N635" s="506"/>
      <c r="O635" s="485"/>
      <c r="P635" s="485"/>
      <c r="Q635" s="485"/>
    </row>
    <row r="636">
      <c r="N636" s="506"/>
      <c r="O636" s="485"/>
      <c r="P636" s="485"/>
      <c r="Q636" s="485"/>
    </row>
    <row r="637">
      <c r="N637" s="506"/>
      <c r="O637" s="485"/>
      <c r="P637" s="485"/>
      <c r="Q637" s="485"/>
    </row>
    <row r="638">
      <c r="N638" s="506"/>
      <c r="O638" s="485"/>
      <c r="P638" s="485"/>
      <c r="Q638" s="485"/>
    </row>
    <row r="639">
      <c r="N639" s="506"/>
      <c r="O639" s="485"/>
      <c r="P639" s="485"/>
      <c r="Q639" s="485"/>
    </row>
    <row r="640">
      <c r="N640" s="506"/>
      <c r="O640" s="485"/>
      <c r="P640" s="485"/>
      <c r="Q640" s="485"/>
    </row>
    <row r="641">
      <c r="N641" s="506"/>
      <c r="O641" s="485"/>
      <c r="P641" s="485"/>
      <c r="Q641" s="485"/>
    </row>
    <row r="642">
      <c r="N642" s="506"/>
      <c r="O642" s="485"/>
      <c r="P642" s="485"/>
      <c r="Q642" s="485"/>
    </row>
    <row r="643">
      <c r="N643" s="506"/>
      <c r="O643" s="485"/>
      <c r="P643" s="485"/>
      <c r="Q643" s="485"/>
    </row>
    <row r="644">
      <c r="N644" s="506"/>
      <c r="O644" s="485"/>
      <c r="P644" s="485"/>
      <c r="Q644" s="485"/>
    </row>
    <row r="645">
      <c r="N645" s="506"/>
      <c r="O645" s="485"/>
      <c r="P645" s="485"/>
      <c r="Q645" s="485"/>
    </row>
    <row r="646">
      <c r="N646" s="506"/>
      <c r="O646" s="485"/>
      <c r="P646" s="485"/>
      <c r="Q646" s="485"/>
    </row>
    <row r="647">
      <c r="N647" s="506"/>
      <c r="O647" s="485"/>
      <c r="P647" s="485"/>
      <c r="Q647" s="485"/>
    </row>
    <row r="648">
      <c r="N648" s="506"/>
      <c r="O648" s="485"/>
      <c r="P648" s="485"/>
      <c r="Q648" s="485"/>
    </row>
    <row r="649">
      <c r="N649" s="506"/>
      <c r="O649" s="485"/>
      <c r="P649" s="485"/>
      <c r="Q649" s="485"/>
    </row>
    <row r="650">
      <c r="N650" s="506"/>
      <c r="O650" s="485"/>
      <c r="P650" s="485"/>
      <c r="Q650" s="485"/>
    </row>
    <row r="651">
      <c r="N651" s="506"/>
      <c r="O651" s="485"/>
      <c r="P651" s="485"/>
      <c r="Q651" s="485"/>
    </row>
    <row r="652">
      <c r="N652" s="506"/>
      <c r="O652" s="485"/>
      <c r="P652" s="485"/>
      <c r="Q652" s="485"/>
    </row>
    <row r="653">
      <c r="N653" s="506"/>
      <c r="O653" s="485"/>
      <c r="P653" s="485"/>
      <c r="Q653" s="485"/>
    </row>
    <row r="654">
      <c r="N654" s="506"/>
      <c r="O654" s="485"/>
      <c r="P654" s="485"/>
      <c r="Q654" s="485"/>
    </row>
    <row r="655">
      <c r="N655" s="506"/>
      <c r="O655" s="485"/>
      <c r="P655" s="485"/>
      <c r="Q655" s="485"/>
    </row>
    <row r="656">
      <c r="N656" s="506"/>
      <c r="O656" s="485"/>
      <c r="P656" s="485"/>
      <c r="Q656" s="485"/>
    </row>
    <row r="657">
      <c r="N657" s="506"/>
      <c r="O657" s="485"/>
      <c r="P657" s="485"/>
      <c r="Q657" s="485"/>
    </row>
    <row r="658">
      <c r="N658" s="506"/>
      <c r="O658" s="485"/>
      <c r="P658" s="485"/>
      <c r="Q658" s="485"/>
    </row>
    <row r="659">
      <c r="N659" s="506"/>
      <c r="O659" s="485"/>
      <c r="P659" s="485"/>
      <c r="Q659" s="485"/>
    </row>
    <row r="660">
      <c r="N660" s="506"/>
      <c r="O660" s="485"/>
      <c r="P660" s="485"/>
      <c r="Q660" s="485"/>
    </row>
    <row r="661">
      <c r="N661" s="506"/>
      <c r="O661" s="485"/>
      <c r="P661" s="485"/>
      <c r="Q661" s="485"/>
    </row>
    <row r="662">
      <c r="N662" s="506"/>
      <c r="O662" s="485"/>
      <c r="P662" s="485"/>
      <c r="Q662" s="485"/>
    </row>
    <row r="663">
      <c r="N663" s="506"/>
      <c r="O663" s="485"/>
      <c r="P663" s="485"/>
      <c r="Q663" s="485"/>
    </row>
    <row r="664">
      <c r="N664" s="506"/>
      <c r="O664" s="485"/>
      <c r="P664" s="485"/>
      <c r="Q664" s="485"/>
    </row>
    <row r="665">
      <c r="N665" s="506"/>
      <c r="O665" s="485"/>
      <c r="P665" s="485"/>
      <c r="Q665" s="485"/>
    </row>
    <row r="666">
      <c r="N666" s="506"/>
      <c r="O666" s="485"/>
      <c r="P666" s="485"/>
      <c r="Q666" s="485"/>
    </row>
    <row r="667">
      <c r="N667" s="506"/>
      <c r="O667" s="485"/>
      <c r="P667" s="485"/>
      <c r="Q667" s="485"/>
    </row>
    <row r="668">
      <c r="N668" s="506"/>
      <c r="O668" s="485"/>
      <c r="P668" s="485"/>
      <c r="Q668" s="485"/>
    </row>
    <row r="669">
      <c r="N669" s="506"/>
      <c r="O669" s="485"/>
      <c r="P669" s="485"/>
      <c r="Q669" s="485"/>
    </row>
    <row r="670">
      <c r="N670" s="506"/>
      <c r="O670" s="485"/>
      <c r="P670" s="485"/>
      <c r="Q670" s="485"/>
    </row>
    <row r="671">
      <c r="N671" s="506"/>
      <c r="O671" s="485"/>
      <c r="P671" s="485"/>
      <c r="Q671" s="485"/>
    </row>
    <row r="672">
      <c r="N672" s="506"/>
      <c r="O672" s="485"/>
      <c r="P672" s="485"/>
      <c r="Q672" s="485"/>
    </row>
    <row r="673">
      <c r="N673" s="506"/>
      <c r="O673" s="485"/>
      <c r="P673" s="485"/>
      <c r="Q673" s="485"/>
    </row>
    <row r="674">
      <c r="N674" s="506"/>
      <c r="O674" s="485"/>
      <c r="P674" s="485"/>
      <c r="Q674" s="485"/>
    </row>
    <row r="675">
      <c r="N675" s="506"/>
      <c r="O675" s="485"/>
      <c r="P675" s="485"/>
      <c r="Q675" s="485"/>
    </row>
    <row r="676">
      <c r="N676" s="506"/>
      <c r="O676" s="485"/>
      <c r="P676" s="485"/>
      <c r="Q676" s="485"/>
    </row>
    <row r="677">
      <c r="N677" s="506"/>
      <c r="O677" s="485"/>
      <c r="P677" s="485"/>
      <c r="Q677" s="485"/>
    </row>
    <row r="678">
      <c r="N678" s="506"/>
      <c r="O678" s="485"/>
      <c r="P678" s="485"/>
      <c r="Q678" s="485"/>
    </row>
    <row r="679">
      <c r="N679" s="506"/>
      <c r="O679" s="485"/>
      <c r="P679" s="485"/>
      <c r="Q679" s="485"/>
    </row>
    <row r="680">
      <c r="N680" s="506"/>
      <c r="O680" s="485"/>
      <c r="P680" s="485"/>
      <c r="Q680" s="485"/>
    </row>
    <row r="681">
      <c r="N681" s="506"/>
      <c r="O681" s="485"/>
      <c r="P681" s="485"/>
      <c r="Q681" s="485"/>
    </row>
    <row r="682">
      <c r="N682" s="506"/>
      <c r="O682" s="485"/>
      <c r="P682" s="485"/>
      <c r="Q682" s="485"/>
    </row>
    <row r="683">
      <c r="N683" s="506"/>
      <c r="O683" s="485"/>
      <c r="P683" s="485"/>
      <c r="Q683" s="485"/>
    </row>
    <row r="684">
      <c r="N684" s="506"/>
      <c r="O684" s="485"/>
      <c r="P684" s="485"/>
      <c r="Q684" s="485"/>
    </row>
    <row r="685">
      <c r="N685" s="506"/>
      <c r="O685" s="485"/>
      <c r="P685" s="485"/>
      <c r="Q685" s="485"/>
    </row>
    <row r="686">
      <c r="N686" s="506"/>
      <c r="O686" s="485"/>
      <c r="P686" s="485"/>
      <c r="Q686" s="485"/>
    </row>
    <row r="687">
      <c r="N687" s="506"/>
      <c r="O687" s="485"/>
      <c r="P687" s="485"/>
      <c r="Q687" s="485"/>
    </row>
    <row r="688">
      <c r="N688" s="506"/>
      <c r="O688" s="485"/>
      <c r="P688" s="485"/>
      <c r="Q688" s="485"/>
    </row>
    <row r="689">
      <c r="N689" s="506"/>
      <c r="O689" s="485"/>
      <c r="P689" s="485"/>
      <c r="Q689" s="485"/>
    </row>
    <row r="690">
      <c r="N690" s="506"/>
      <c r="O690" s="485"/>
      <c r="P690" s="485"/>
      <c r="Q690" s="485"/>
    </row>
    <row r="691">
      <c r="N691" s="506"/>
      <c r="O691" s="485"/>
      <c r="P691" s="485"/>
      <c r="Q691" s="485"/>
    </row>
    <row r="692">
      <c r="N692" s="506"/>
      <c r="O692" s="485"/>
      <c r="P692" s="485"/>
      <c r="Q692" s="485"/>
    </row>
    <row r="693">
      <c r="N693" s="506"/>
      <c r="O693" s="485"/>
      <c r="P693" s="485"/>
      <c r="Q693" s="485"/>
    </row>
    <row r="694">
      <c r="N694" s="506"/>
      <c r="O694" s="485"/>
      <c r="P694" s="485"/>
      <c r="Q694" s="485"/>
    </row>
    <row r="695">
      <c r="N695" s="506"/>
      <c r="O695" s="485"/>
      <c r="P695" s="485"/>
      <c r="Q695" s="485"/>
    </row>
    <row r="696">
      <c r="N696" s="506"/>
      <c r="O696" s="485"/>
      <c r="P696" s="485"/>
      <c r="Q696" s="485"/>
    </row>
    <row r="697">
      <c r="N697" s="506"/>
      <c r="O697" s="485"/>
      <c r="P697" s="485"/>
      <c r="Q697" s="485"/>
    </row>
    <row r="698">
      <c r="N698" s="506"/>
      <c r="O698" s="485"/>
      <c r="P698" s="485"/>
      <c r="Q698" s="485"/>
    </row>
    <row r="699">
      <c r="N699" s="506"/>
      <c r="O699" s="485"/>
      <c r="P699" s="485"/>
      <c r="Q699" s="485"/>
    </row>
    <row r="700">
      <c r="N700" s="506"/>
      <c r="O700" s="485"/>
      <c r="P700" s="485"/>
      <c r="Q700" s="485"/>
    </row>
    <row r="701">
      <c r="N701" s="506"/>
      <c r="O701" s="485"/>
      <c r="P701" s="485"/>
      <c r="Q701" s="485"/>
    </row>
    <row r="702">
      <c r="N702" s="506"/>
      <c r="O702" s="485"/>
      <c r="P702" s="485"/>
      <c r="Q702" s="485"/>
    </row>
    <row r="703">
      <c r="N703" s="506"/>
      <c r="O703" s="485"/>
      <c r="P703" s="485"/>
      <c r="Q703" s="485"/>
    </row>
    <row r="704">
      <c r="N704" s="506"/>
      <c r="O704" s="485"/>
      <c r="P704" s="485"/>
      <c r="Q704" s="485"/>
    </row>
    <row r="705">
      <c r="N705" s="506"/>
      <c r="O705" s="485"/>
      <c r="P705" s="485"/>
      <c r="Q705" s="485"/>
    </row>
    <row r="706">
      <c r="N706" s="506"/>
      <c r="O706" s="485"/>
      <c r="P706" s="485"/>
      <c r="Q706" s="485"/>
    </row>
    <row r="707">
      <c r="N707" s="506"/>
      <c r="O707" s="485"/>
      <c r="P707" s="485"/>
      <c r="Q707" s="485"/>
    </row>
    <row r="708">
      <c r="N708" s="506"/>
      <c r="O708" s="485"/>
      <c r="P708" s="485"/>
      <c r="Q708" s="485"/>
    </row>
    <row r="709">
      <c r="N709" s="506"/>
      <c r="O709" s="485"/>
      <c r="P709" s="485"/>
      <c r="Q709" s="485"/>
    </row>
    <row r="710">
      <c r="N710" s="506"/>
      <c r="O710" s="485"/>
      <c r="P710" s="485"/>
      <c r="Q710" s="485"/>
    </row>
    <row r="711">
      <c r="N711" s="506"/>
      <c r="O711" s="485"/>
      <c r="P711" s="485"/>
      <c r="Q711" s="485"/>
    </row>
    <row r="712">
      <c r="N712" s="506"/>
      <c r="O712" s="485"/>
      <c r="P712" s="485"/>
      <c r="Q712" s="485"/>
    </row>
    <row r="713">
      <c r="N713" s="506"/>
      <c r="O713" s="485"/>
      <c r="P713" s="485"/>
      <c r="Q713" s="485"/>
    </row>
    <row r="714">
      <c r="N714" s="506"/>
      <c r="O714" s="485"/>
      <c r="P714" s="485"/>
      <c r="Q714" s="485"/>
    </row>
    <row r="715">
      <c r="N715" s="506"/>
      <c r="O715" s="485"/>
      <c r="P715" s="485"/>
      <c r="Q715" s="485"/>
    </row>
    <row r="716">
      <c r="N716" s="506"/>
      <c r="O716" s="485"/>
      <c r="P716" s="485"/>
      <c r="Q716" s="485"/>
    </row>
    <row r="717">
      <c r="N717" s="506"/>
      <c r="O717" s="485"/>
      <c r="P717" s="485"/>
      <c r="Q717" s="485"/>
    </row>
    <row r="718">
      <c r="N718" s="506"/>
      <c r="O718" s="485"/>
      <c r="P718" s="485"/>
      <c r="Q718" s="485"/>
    </row>
    <row r="719">
      <c r="N719" s="506"/>
      <c r="O719" s="485"/>
      <c r="P719" s="485"/>
      <c r="Q719" s="485"/>
    </row>
    <row r="720">
      <c r="N720" s="506"/>
      <c r="O720" s="485"/>
      <c r="P720" s="485"/>
      <c r="Q720" s="485"/>
    </row>
    <row r="721">
      <c r="N721" s="506"/>
      <c r="O721" s="485"/>
      <c r="P721" s="485"/>
      <c r="Q721" s="485"/>
    </row>
    <row r="722">
      <c r="N722" s="506"/>
      <c r="O722" s="485"/>
      <c r="P722" s="485"/>
      <c r="Q722" s="485"/>
    </row>
    <row r="723">
      <c r="N723" s="506"/>
      <c r="O723" s="485"/>
      <c r="P723" s="485"/>
      <c r="Q723" s="485"/>
    </row>
    <row r="724">
      <c r="N724" s="506"/>
      <c r="O724" s="485"/>
      <c r="P724" s="485"/>
      <c r="Q724" s="485"/>
    </row>
    <row r="725">
      <c r="N725" s="506"/>
      <c r="O725" s="485"/>
      <c r="P725" s="485"/>
      <c r="Q725" s="485"/>
    </row>
    <row r="726">
      <c r="N726" s="506"/>
      <c r="O726" s="485"/>
      <c r="P726" s="485"/>
      <c r="Q726" s="485"/>
    </row>
    <row r="727">
      <c r="N727" s="506"/>
      <c r="O727" s="485"/>
      <c r="P727" s="485"/>
      <c r="Q727" s="485"/>
    </row>
    <row r="728">
      <c r="N728" s="506"/>
      <c r="O728" s="485"/>
      <c r="P728" s="485"/>
      <c r="Q728" s="485"/>
    </row>
    <row r="729">
      <c r="N729" s="506"/>
      <c r="O729" s="485"/>
      <c r="P729" s="485"/>
      <c r="Q729" s="485"/>
    </row>
    <row r="730">
      <c r="N730" s="506"/>
      <c r="O730" s="485"/>
      <c r="P730" s="485"/>
      <c r="Q730" s="485"/>
    </row>
    <row r="731">
      <c r="N731" s="506"/>
      <c r="O731" s="485"/>
      <c r="P731" s="485"/>
      <c r="Q731" s="485"/>
    </row>
    <row r="732">
      <c r="N732" s="506"/>
      <c r="O732" s="485"/>
      <c r="P732" s="485"/>
      <c r="Q732" s="485"/>
    </row>
    <row r="733">
      <c r="N733" s="506"/>
      <c r="O733" s="485"/>
      <c r="P733" s="485"/>
      <c r="Q733" s="485"/>
    </row>
    <row r="734">
      <c r="N734" s="506"/>
      <c r="O734" s="485"/>
      <c r="P734" s="485"/>
      <c r="Q734" s="485"/>
    </row>
    <row r="735">
      <c r="N735" s="506"/>
      <c r="O735" s="485"/>
      <c r="P735" s="485"/>
      <c r="Q735" s="485"/>
    </row>
    <row r="736">
      <c r="N736" s="506"/>
      <c r="O736" s="485"/>
      <c r="P736" s="485"/>
      <c r="Q736" s="485"/>
    </row>
    <row r="737">
      <c r="N737" s="506"/>
      <c r="O737" s="485"/>
      <c r="P737" s="485"/>
      <c r="Q737" s="485"/>
    </row>
    <row r="738">
      <c r="N738" s="506"/>
      <c r="O738" s="485"/>
      <c r="P738" s="485"/>
      <c r="Q738" s="485"/>
    </row>
    <row r="739">
      <c r="N739" s="506"/>
      <c r="O739" s="485"/>
      <c r="P739" s="485"/>
      <c r="Q739" s="485"/>
    </row>
    <row r="740">
      <c r="N740" s="506"/>
      <c r="O740" s="485"/>
      <c r="P740" s="485"/>
      <c r="Q740" s="485"/>
    </row>
    <row r="741">
      <c r="N741" s="506"/>
      <c r="O741" s="485"/>
      <c r="P741" s="485"/>
      <c r="Q741" s="485"/>
    </row>
    <row r="742">
      <c r="N742" s="506"/>
      <c r="O742" s="485"/>
      <c r="P742" s="485"/>
      <c r="Q742" s="485"/>
    </row>
    <row r="743">
      <c r="N743" s="506"/>
      <c r="O743" s="485"/>
      <c r="P743" s="485"/>
      <c r="Q743" s="485"/>
    </row>
    <row r="744">
      <c r="N744" s="506"/>
      <c r="O744" s="485"/>
      <c r="P744" s="485"/>
      <c r="Q744" s="485"/>
    </row>
    <row r="745">
      <c r="N745" s="506"/>
      <c r="O745" s="485"/>
      <c r="P745" s="485"/>
      <c r="Q745" s="485"/>
    </row>
    <row r="746">
      <c r="N746" s="506"/>
      <c r="O746" s="485"/>
      <c r="P746" s="485"/>
      <c r="Q746" s="485"/>
    </row>
    <row r="747">
      <c r="N747" s="506"/>
      <c r="O747" s="485"/>
      <c r="P747" s="485"/>
      <c r="Q747" s="485"/>
    </row>
    <row r="748">
      <c r="N748" s="506"/>
      <c r="O748" s="485"/>
      <c r="P748" s="485"/>
      <c r="Q748" s="485"/>
    </row>
    <row r="749">
      <c r="N749" s="506"/>
      <c r="O749" s="485"/>
      <c r="P749" s="485"/>
      <c r="Q749" s="485"/>
    </row>
    <row r="750">
      <c r="N750" s="506"/>
      <c r="O750" s="485"/>
      <c r="P750" s="485"/>
      <c r="Q750" s="485"/>
    </row>
    <row r="751">
      <c r="N751" s="506"/>
      <c r="O751" s="485"/>
      <c r="P751" s="485"/>
      <c r="Q751" s="485"/>
    </row>
    <row r="752">
      <c r="N752" s="506"/>
      <c r="O752" s="485"/>
      <c r="P752" s="485"/>
      <c r="Q752" s="485"/>
    </row>
    <row r="753">
      <c r="N753" s="506"/>
      <c r="O753" s="485"/>
      <c r="P753" s="485"/>
      <c r="Q753" s="485"/>
    </row>
    <row r="754">
      <c r="N754" s="506"/>
      <c r="O754" s="485"/>
      <c r="P754" s="485"/>
      <c r="Q754" s="485"/>
    </row>
    <row r="755">
      <c r="N755" s="506"/>
      <c r="O755" s="485"/>
      <c r="P755" s="485"/>
      <c r="Q755" s="485"/>
    </row>
    <row r="756">
      <c r="N756" s="506"/>
      <c r="O756" s="485"/>
      <c r="P756" s="485"/>
      <c r="Q756" s="485"/>
    </row>
    <row r="757">
      <c r="N757" s="506"/>
      <c r="O757" s="485"/>
      <c r="P757" s="485"/>
      <c r="Q757" s="485"/>
    </row>
    <row r="758">
      <c r="N758" s="506"/>
      <c r="O758" s="485"/>
      <c r="P758" s="485"/>
      <c r="Q758" s="485"/>
    </row>
    <row r="759">
      <c r="N759" s="506"/>
      <c r="O759" s="485"/>
      <c r="P759" s="485"/>
      <c r="Q759" s="485"/>
    </row>
    <row r="760">
      <c r="N760" s="506"/>
      <c r="O760" s="485"/>
      <c r="P760" s="485"/>
      <c r="Q760" s="485"/>
    </row>
    <row r="761">
      <c r="N761" s="506"/>
      <c r="O761" s="485"/>
      <c r="P761" s="485"/>
      <c r="Q761" s="485"/>
    </row>
    <row r="762">
      <c r="N762" s="506"/>
      <c r="O762" s="485"/>
      <c r="P762" s="485"/>
      <c r="Q762" s="485"/>
    </row>
    <row r="763">
      <c r="N763" s="506"/>
      <c r="O763" s="485"/>
      <c r="P763" s="485"/>
      <c r="Q763" s="485"/>
    </row>
    <row r="764">
      <c r="N764" s="506"/>
      <c r="O764" s="485"/>
      <c r="P764" s="485"/>
      <c r="Q764" s="485"/>
    </row>
    <row r="765">
      <c r="N765" s="506"/>
      <c r="O765" s="485"/>
      <c r="P765" s="485"/>
      <c r="Q765" s="485"/>
    </row>
    <row r="766">
      <c r="N766" s="506"/>
      <c r="O766" s="485"/>
      <c r="P766" s="485"/>
      <c r="Q766" s="485"/>
    </row>
    <row r="767">
      <c r="N767" s="506"/>
      <c r="O767" s="485"/>
      <c r="P767" s="485"/>
      <c r="Q767" s="485"/>
    </row>
    <row r="768">
      <c r="N768" s="506"/>
      <c r="O768" s="485"/>
      <c r="P768" s="485"/>
      <c r="Q768" s="485"/>
    </row>
    <row r="769">
      <c r="N769" s="506"/>
      <c r="O769" s="485"/>
      <c r="P769" s="485"/>
      <c r="Q769" s="485"/>
    </row>
    <row r="770">
      <c r="N770" s="506"/>
      <c r="O770" s="485"/>
      <c r="P770" s="485"/>
      <c r="Q770" s="485"/>
    </row>
    <row r="771">
      <c r="N771" s="506"/>
      <c r="O771" s="485"/>
      <c r="P771" s="485"/>
      <c r="Q771" s="485"/>
    </row>
    <row r="772">
      <c r="N772" s="506"/>
      <c r="O772" s="485"/>
      <c r="P772" s="485"/>
      <c r="Q772" s="485"/>
    </row>
    <row r="773">
      <c r="N773" s="506"/>
      <c r="O773" s="485"/>
      <c r="P773" s="485"/>
      <c r="Q773" s="485"/>
    </row>
    <row r="774">
      <c r="N774" s="506"/>
      <c r="O774" s="485"/>
      <c r="P774" s="485"/>
      <c r="Q774" s="485"/>
    </row>
    <row r="775">
      <c r="N775" s="506"/>
      <c r="O775" s="485"/>
      <c r="P775" s="485"/>
      <c r="Q775" s="485"/>
    </row>
    <row r="776">
      <c r="N776" s="506"/>
      <c r="O776" s="485"/>
      <c r="P776" s="485"/>
      <c r="Q776" s="485"/>
    </row>
    <row r="777">
      <c r="N777" s="506"/>
      <c r="O777" s="485"/>
      <c r="P777" s="485"/>
      <c r="Q777" s="485"/>
    </row>
    <row r="778">
      <c r="N778" s="506"/>
      <c r="O778" s="485"/>
      <c r="P778" s="485"/>
      <c r="Q778" s="485"/>
    </row>
    <row r="779">
      <c r="N779" s="506"/>
      <c r="O779" s="485"/>
      <c r="P779" s="485"/>
      <c r="Q779" s="485"/>
    </row>
    <row r="780">
      <c r="N780" s="506"/>
      <c r="O780" s="485"/>
      <c r="P780" s="485"/>
      <c r="Q780" s="485"/>
    </row>
    <row r="781">
      <c r="N781" s="506"/>
      <c r="O781" s="485"/>
      <c r="P781" s="485"/>
      <c r="Q781" s="485"/>
    </row>
    <row r="782">
      <c r="N782" s="506"/>
      <c r="O782" s="485"/>
      <c r="P782" s="485"/>
      <c r="Q782" s="485"/>
    </row>
    <row r="783">
      <c r="N783" s="506"/>
      <c r="O783" s="485"/>
      <c r="P783" s="485"/>
      <c r="Q783" s="485"/>
    </row>
    <row r="784">
      <c r="N784" s="506"/>
      <c r="O784" s="485"/>
      <c r="P784" s="485"/>
      <c r="Q784" s="485"/>
    </row>
    <row r="785">
      <c r="N785" s="506"/>
      <c r="O785" s="485"/>
      <c r="P785" s="485"/>
      <c r="Q785" s="485"/>
    </row>
    <row r="786">
      <c r="N786" s="506"/>
      <c r="O786" s="485"/>
      <c r="P786" s="485"/>
      <c r="Q786" s="485"/>
    </row>
    <row r="787">
      <c r="N787" s="506"/>
      <c r="O787" s="485"/>
      <c r="P787" s="485"/>
      <c r="Q787" s="485"/>
    </row>
    <row r="788">
      <c r="N788" s="506"/>
      <c r="O788" s="485"/>
      <c r="P788" s="485"/>
      <c r="Q788" s="485"/>
    </row>
    <row r="789">
      <c r="N789" s="506"/>
      <c r="O789" s="485"/>
      <c r="P789" s="485"/>
      <c r="Q789" s="485"/>
    </row>
    <row r="790">
      <c r="N790" s="506"/>
      <c r="O790" s="485"/>
      <c r="P790" s="485"/>
      <c r="Q790" s="485"/>
    </row>
    <row r="791">
      <c r="N791" s="506"/>
      <c r="O791" s="485"/>
      <c r="P791" s="485"/>
      <c r="Q791" s="485"/>
    </row>
    <row r="792">
      <c r="N792" s="506"/>
      <c r="O792" s="485"/>
      <c r="P792" s="485"/>
      <c r="Q792" s="485"/>
    </row>
    <row r="793">
      <c r="N793" s="506"/>
      <c r="O793" s="485"/>
      <c r="P793" s="485"/>
      <c r="Q793" s="485"/>
    </row>
    <row r="794">
      <c r="N794" s="506"/>
      <c r="O794" s="485"/>
      <c r="P794" s="485"/>
      <c r="Q794" s="485"/>
    </row>
    <row r="795">
      <c r="N795" s="506"/>
      <c r="O795" s="485"/>
      <c r="P795" s="485"/>
      <c r="Q795" s="485"/>
    </row>
    <row r="796">
      <c r="N796" s="506"/>
      <c r="O796" s="485"/>
      <c r="P796" s="485"/>
      <c r="Q796" s="485"/>
    </row>
    <row r="797">
      <c r="N797" s="506"/>
      <c r="O797" s="485"/>
      <c r="P797" s="485"/>
      <c r="Q797" s="485"/>
    </row>
    <row r="798">
      <c r="N798" s="506"/>
      <c r="O798" s="485"/>
      <c r="P798" s="485"/>
      <c r="Q798" s="485"/>
    </row>
    <row r="799">
      <c r="N799" s="506"/>
      <c r="O799" s="485"/>
      <c r="P799" s="485"/>
      <c r="Q799" s="485"/>
    </row>
    <row r="800">
      <c r="N800" s="506"/>
      <c r="O800" s="485"/>
      <c r="P800" s="485"/>
      <c r="Q800" s="485"/>
    </row>
    <row r="801">
      <c r="N801" s="506"/>
      <c r="O801" s="485"/>
      <c r="P801" s="485"/>
      <c r="Q801" s="485"/>
    </row>
    <row r="802">
      <c r="N802" s="506"/>
      <c r="O802" s="485"/>
      <c r="P802" s="485"/>
      <c r="Q802" s="485"/>
    </row>
    <row r="803">
      <c r="N803" s="506"/>
      <c r="O803" s="485"/>
      <c r="P803" s="485"/>
      <c r="Q803" s="485"/>
    </row>
    <row r="804">
      <c r="N804" s="506"/>
      <c r="O804" s="485"/>
      <c r="P804" s="485"/>
      <c r="Q804" s="485"/>
    </row>
    <row r="805">
      <c r="N805" s="506"/>
      <c r="O805" s="485"/>
      <c r="P805" s="485"/>
      <c r="Q805" s="485"/>
    </row>
    <row r="806">
      <c r="N806" s="506"/>
      <c r="O806" s="485"/>
      <c r="P806" s="485"/>
      <c r="Q806" s="485"/>
    </row>
    <row r="807">
      <c r="N807" s="506"/>
      <c r="O807" s="485"/>
      <c r="P807" s="485"/>
      <c r="Q807" s="485"/>
    </row>
    <row r="808">
      <c r="N808" s="506"/>
      <c r="O808" s="485"/>
      <c r="P808" s="485"/>
      <c r="Q808" s="485"/>
    </row>
    <row r="809">
      <c r="N809" s="506"/>
      <c r="O809" s="485"/>
      <c r="P809" s="485"/>
      <c r="Q809" s="485"/>
    </row>
    <row r="810">
      <c r="N810" s="506"/>
      <c r="O810" s="485"/>
      <c r="P810" s="485"/>
      <c r="Q810" s="485"/>
    </row>
    <row r="811">
      <c r="N811" s="506"/>
      <c r="O811" s="485"/>
      <c r="P811" s="485"/>
      <c r="Q811" s="485"/>
    </row>
    <row r="812">
      <c r="N812" s="506"/>
      <c r="O812" s="485"/>
      <c r="P812" s="485"/>
      <c r="Q812" s="485"/>
    </row>
    <row r="813">
      <c r="N813" s="506"/>
      <c r="O813" s="485"/>
      <c r="P813" s="485"/>
      <c r="Q813" s="485"/>
    </row>
    <row r="814">
      <c r="N814" s="506"/>
      <c r="O814" s="485"/>
      <c r="P814" s="485"/>
      <c r="Q814" s="485"/>
    </row>
    <row r="815">
      <c r="N815" s="506"/>
      <c r="O815" s="485"/>
      <c r="P815" s="485"/>
      <c r="Q815" s="485"/>
    </row>
    <row r="816">
      <c r="N816" s="506"/>
      <c r="O816" s="485"/>
      <c r="P816" s="485"/>
      <c r="Q816" s="485"/>
    </row>
    <row r="817">
      <c r="N817" s="506"/>
      <c r="O817" s="485"/>
      <c r="P817" s="485"/>
      <c r="Q817" s="485"/>
    </row>
    <row r="818">
      <c r="N818" s="506"/>
      <c r="O818" s="485"/>
      <c r="P818" s="485"/>
      <c r="Q818" s="485"/>
    </row>
    <row r="819">
      <c r="N819" s="506"/>
      <c r="O819" s="485"/>
      <c r="P819" s="485"/>
      <c r="Q819" s="485"/>
    </row>
    <row r="820">
      <c r="N820" s="506"/>
      <c r="O820" s="485"/>
      <c r="P820" s="485"/>
      <c r="Q820" s="485"/>
    </row>
    <row r="821">
      <c r="N821" s="506"/>
      <c r="O821" s="485"/>
      <c r="P821" s="485"/>
      <c r="Q821" s="485"/>
    </row>
    <row r="822">
      <c r="N822" s="506"/>
      <c r="O822" s="485"/>
      <c r="P822" s="485"/>
      <c r="Q822" s="485"/>
    </row>
    <row r="823">
      <c r="N823" s="506"/>
      <c r="O823" s="485"/>
      <c r="P823" s="485"/>
      <c r="Q823" s="485"/>
    </row>
    <row r="824">
      <c r="N824" s="506"/>
      <c r="O824" s="485"/>
      <c r="P824" s="485"/>
      <c r="Q824" s="485"/>
    </row>
    <row r="825">
      <c r="N825" s="506"/>
      <c r="O825" s="485"/>
      <c r="P825" s="485"/>
      <c r="Q825" s="485"/>
    </row>
    <row r="826">
      <c r="N826" s="506"/>
      <c r="O826" s="485"/>
      <c r="P826" s="485"/>
      <c r="Q826" s="485"/>
    </row>
    <row r="827">
      <c r="N827" s="506"/>
      <c r="O827" s="485"/>
      <c r="P827" s="485"/>
      <c r="Q827" s="485"/>
    </row>
    <row r="828">
      <c r="N828" s="506"/>
      <c r="O828" s="485"/>
      <c r="P828" s="485"/>
      <c r="Q828" s="485"/>
    </row>
    <row r="829">
      <c r="N829" s="506"/>
      <c r="O829" s="485"/>
      <c r="P829" s="485"/>
      <c r="Q829" s="485"/>
    </row>
    <row r="830">
      <c r="N830" s="506"/>
      <c r="O830" s="485"/>
      <c r="P830" s="485"/>
      <c r="Q830" s="485"/>
    </row>
    <row r="831">
      <c r="N831" s="506"/>
      <c r="O831" s="485"/>
      <c r="P831" s="485"/>
      <c r="Q831" s="485"/>
    </row>
    <row r="832">
      <c r="N832" s="506"/>
      <c r="O832" s="485"/>
      <c r="P832" s="485"/>
      <c r="Q832" s="485"/>
    </row>
    <row r="833">
      <c r="N833" s="506"/>
      <c r="O833" s="485"/>
      <c r="P833" s="485"/>
      <c r="Q833" s="485"/>
    </row>
    <row r="834">
      <c r="N834" s="506"/>
      <c r="O834" s="485"/>
      <c r="P834" s="485"/>
      <c r="Q834" s="485"/>
    </row>
    <row r="835">
      <c r="N835" s="506"/>
      <c r="O835" s="485"/>
      <c r="P835" s="485"/>
      <c r="Q835" s="485"/>
    </row>
    <row r="836">
      <c r="N836" s="506"/>
      <c r="O836" s="485"/>
      <c r="P836" s="485"/>
      <c r="Q836" s="485"/>
    </row>
    <row r="837">
      <c r="N837" s="506"/>
      <c r="O837" s="485"/>
      <c r="P837" s="485"/>
      <c r="Q837" s="485"/>
    </row>
    <row r="838">
      <c r="N838" s="506"/>
      <c r="O838" s="485"/>
      <c r="P838" s="485"/>
      <c r="Q838" s="485"/>
    </row>
    <row r="839">
      <c r="N839" s="506"/>
      <c r="O839" s="485"/>
      <c r="P839" s="485"/>
      <c r="Q839" s="485"/>
    </row>
    <row r="840">
      <c r="N840" s="506"/>
      <c r="O840" s="485"/>
      <c r="P840" s="485"/>
      <c r="Q840" s="485"/>
    </row>
    <row r="841">
      <c r="N841" s="506"/>
      <c r="O841" s="485"/>
      <c r="P841" s="485"/>
      <c r="Q841" s="485"/>
    </row>
    <row r="842">
      <c r="N842" s="506"/>
      <c r="O842" s="485"/>
      <c r="P842" s="485"/>
      <c r="Q842" s="485"/>
    </row>
    <row r="843">
      <c r="N843" s="506"/>
      <c r="O843" s="485"/>
      <c r="P843" s="485"/>
      <c r="Q843" s="485"/>
    </row>
    <row r="844">
      <c r="N844" s="506"/>
      <c r="O844" s="485"/>
      <c r="P844" s="485"/>
      <c r="Q844" s="485"/>
    </row>
    <row r="845">
      <c r="N845" s="506"/>
      <c r="O845" s="485"/>
      <c r="P845" s="485"/>
      <c r="Q845" s="485"/>
    </row>
    <row r="846">
      <c r="N846" s="506"/>
      <c r="O846" s="485"/>
      <c r="P846" s="485"/>
      <c r="Q846" s="485"/>
    </row>
    <row r="847">
      <c r="N847" s="506"/>
      <c r="O847" s="485"/>
      <c r="P847" s="485"/>
      <c r="Q847" s="485"/>
    </row>
    <row r="848">
      <c r="N848" s="506"/>
      <c r="O848" s="485"/>
      <c r="P848" s="485"/>
      <c r="Q848" s="485"/>
    </row>
    <row r="849">
      <c r="N849" s="506"/>
      <c r="O849" s="485"/>
      <c r="P849" s="485"/>
      <c r="Q849" s="485"/>
    </row>
    <row r="850">
      <c r="N850" s="506"/>
      <c r="O850" s="485"/>
      <c r="P850" s="485"/>
      <c r="Q850" s="485"/>
    </row>
    <row r="851">
      <c r="N851" s="506"/>
      <c r="O851" s="485"/>
      <c r="P851" s="485"/>
      <c r="Q851" s="485"/>
    </row>
    <row r="852">
      <c r="N852" s="506"/>
      <c r="O852" s="485"/>
      <c r="P852" s="485"/>
      <c r="Q852" s="485"/>
    </row>
    <row r="853">
      <c r="N853" s="506"/>
      <c r="O853" s="485"/>
      <c r="P853" s="485"/>
      <c r="Q853" s="485"/>
    </row>
    <row r="854">
      <c r="N854" s="506"/>
      <c r="O854" s="485"/>
      <c r="P854" s="485"/>
      <c r="Q854" s="485"/>
    </row>
    <row r="855">
      <c r="N855" s="506"/>
      <c r="O855" s="485"/>
      <c r="P855" s="485"/>
      <c r="Q855" s="485"/>
    </row>
    <row r="856">
      <c r="N856" s="506"/>
      <c r="O856" s="485"/>
      <c r="P856" s="485"/>
      <c r="Q856" s="485"/>
    </row>
    <row r="857">
      <c r="N857" s="506"/>
      <c r="O857" s="485"/>
      <c r="P857" s="485"/>
      <c r="Q857" s="485"/>
    </row>
    <row r="858">
      <c r="N858" s="506"/>
      <c r="O858" s="485"/>
      <c r="P858" s="485"/>
      <c r="Q858" s="485"/>
    </row>
    <row r="859">
      <c r="N859" s="506"/>
      <c r="O859" s="485"/>
      <c r="P859" s="485"/>
      <c r="Q859" s="485"/>
    </row>
    <row r="860">
      <c r="N860" s="506"/>
      <c r="O860" s="485"/>
      <c r="P860" s="485"/>
      <c r="Q860" s="485"/>
    </row>
    <row r="861">
      <c r="N861" s="506"/>
      <c r="O861" s="485"/>
      <c r="P861" s="485"/>
      <c r="Q861" s="485"/>
    </row>
    <row r="862">
      <c r="N862" s="506"/>
      <c r="O862" s="485"/>
      <c r="P862" s="485"/>
      <c r="Q862" s="485"/>
    </row>
    <row r="863">
      <c r="N863" s="506"/>
      <c r="O863" s="485"/>
      <c r="P863" s="485"/>
      <c r="Q863" s="485"/>
    </row>
    <row r="864">
      <c r="N864" s="506"/>
      <c r="O864" s="485"/>
      <c r="P864" s="485"/>
      <c r="Q864" s="485"/>
    </row>
    <row r="865">
      <c r="N865" s="506"/>
      <c r="O865" s="485"/>
      <c r="P865" s="485"/>
      <c r="Q865" s="485"/>
    </row>
    <row r="866">
      <c r="N866" s="506"/>
      <c r="O866" s="485"/>
      <c r="P866" s="485"/>
      <c r="Q866" s="485"/>
    </row>
    <row r="867">
      <c r="N867" s="506"/>
      <c r="O867" s="485"/>
      <c r="P867" s="485"/>
      <c r="Q867" s="485"/>
    </row>
    <row r="868">
      <c r="N868" s="506"/>
      <c r="O868" s="485"/>
      <c r="P868" s="485"/>
      <c r="Q868" s="485"/>
    </row>
    <row r="869">
      <c r="N869" s="506"/>
      <c r="O869" s="485"/>
      <c r="P869" s="485"/>
      <c r="Q869" s="485"/>
    </row>
    <row r="870">
      <c r="N870" s="506"/>
      <c r="O870" s="485"/>
      <c r="P870" s="485"/>
      <c r="Q870" s="485"/>
    </row>
    <row r="871">
      <c r="N871" s="506"/>
      <c r="O871" s="485"/>
      <c r="P871" s="485"/>
      <c r="Q871" s="485"/>
    </row>
    <row r="872">
      <c r="N872" s="506"/>
      <c r="O872" s="485"/>
      <c r="P872" s="485"/>
      <c r="Q872" s="485"/>
    </row>
    <row r="873">
      <c r="N873" s="506"/>
      <c r="O873" s="485"/>
      <c r="P873" s="485"/>
      <c r="Q873" s="485"/>
    </row>
    <row r="874">
      <c r="N874" s="506"/>
      <c r="O874" s="485"/>
      <c r="P874" s="485"/>
      <c r="Q874" s="485"/>
    </row>
    <row r="875">
      <c r="N875" s="506"/>
      <c r="O875" s="485"/>
      <c r="P875" s="485"/>
      <c r="Q875" s="485"/>
    </row>
    <row r="876">
      <c r="N876" s="506"/>
      <c r="O876" s="485"/>
      <c r="P876" s="485"/>
      <c r="Q876" s="485"/>
    </row>
    <row r="877">
      <c r="N877" s="506"/>
      <c r="O877" s="485"/>
      <c r="P877" s="485"/>
      <c r="Q877" s="485"/>
    </row>
    <row r="878">
      <c r="N878" s="506"/>
      <c r="O878" s="485"/>
      <c r="P878" s="485"/>
      <c r="Q878" s="485"/>
    </row>
    <row r="879">
      <c r="N879" s="506"/>
      <c r="O879" s="485"/>
      <c r="P879" s="485"/>
      <c r="Q879" s="485"/>
    </row>
    <row r="880">
      <c r="N880" s="506"/>
      <c r="O880" s="485"/>
      <c r="P880" s="485"/>
      <c r="Q880" s="485"/>
    </row>
    <row r="881">
      <c r="N881" s="506"/>
      <c r="O881" s="485"/>
      <c r="P881" s="485"/>
      <c r="Q881" s="485"/>
    </row>
    <row r="882">
      <c r="N882" s="506"/>
      <c r="O882" s="485"/>
      <c r="P882" s="485"/>
      <c r="Q882" s="485"/>
    </row>
    <row r="883">
      <c r="N883" s="506"/>
      <c r="O883" s="485"/>
      <c r="P883" s="485"/>
      <c r="Q883" s="485"/>
    </row>
    <row r="884">
      <c r="N884" s="506"/>
      <c r="O884" s="485"/>
      <c r="P884" s="485"/>
      <c r="Q884" s="485"/>
    </row>
    <row r="885">
      <c r="N885" s="506"/>
      <c r="O885" s="485"/>
      <c r="P885" s="485"/>
      <c r="Q885" s="485"/>
    </row>
    <row r="886">
      <c r="N886" s="506"/>
      <c r="O886" s="485"/>
      <c r="P886" s="485"/>
      <c r="Q886" s="485"/>
    </row>
    <row r="887">
      <c r="N887" s="506"/>
      <c r="O887" s="485"/>
      <c r="P887" s="485"/>
      <c r="Q887" s="485"/>
    </row>
    <row r="888">
      <c r="N888" s="506"/>
      <c r="O888" s="485"/>
      <c r="P888" s="485"/>
      <c r="Q888" s="485"/>
    </row>
    <row r="889">
      <c r="N889" s="506"/>
      <c r="O889" s="485"/>
      <c r="P889" s="485"/>
      <c r="Q889" s="485"/>
    </row>
    <row r="890">
      <c r="N890" s="506"/>
      <c r="O890" s="485"/>
      <c r="P890" s="485"/>
      <c r="Q890" s="485"/>
    </row>
    <row r="891">
      <c r="N891" s="506"/>
      <c r="O891" s="485"/>
      <c r="P891" s="485"/>
      <c r="Q891" s="485"/>
    </row>
    <row r="892">
      <c r="N892" s="506"/>
      <c r="O892" s="485"/>
      <c r="P892" s="485"/>
      <c r="Q892" s="485"/>
    </row>
    <row r="893">
      <c r="N893" s="506"/>
      <c r="O893" s="485"/>
      <c r="P893" s="485"/>
      <c r="Q893" s="485"/>
    </row>
    <row r="894">
      <c r="N894" s="506"/>
      <c r="O894" s="485"/>
      <c r="P894" s="485"/>
      <c r="Q894" s="485"/>
    </row>
    <row r="895">
      <c r="N895" s="506"/>
      <c r="O895" s="485"/>
      <c r="P895" s="485"/>
      <c r="Q895" s="485"/>
    </row>
    <row r="896">
      <c r="N896" s="506"/>
      <c r="O896" s="485"/>
      <c r="P896" s="485"/>
      <c r="Q896" s="485"/>
    </row>
    <row r="897">
      <c r="N897" s="506"/>
      <c r="O897" s="485"/>
      <c r="P897" s="485"/>
      <c r="Q897" s="485"/>
    </row>
    <row r="898">
      <c r="N898" s="506"/>
      <c r="O898" s="485"/>
      <c r="P898" s="485"/>
      <c r="Q898" s="485"/>
    </row>
    <row r="899">
      <c r="N899" s="506"/>
      <c r="O899" s="485"/>
      <c r="P899" s="485"/>
      <c r="Q899" s="485"/>
    </row>
    <row r="900">
      <c r="N900" s="506"/>
      <c r="O900" s="485"/>
      <c r="P900" s="485"/>
      <c r="Q900" s="485"/>
    </row>
    <row r="901">
      <c r="N901" s="506"/>
      <c r="O901" s="485"/>
      <c r="P901" s="485"/>
      <c r="Q901" s="485"/>
    </row>
    <row r="902">
      <c r="N902" s="506"/>
      <c r="O902" s="485"/>
      <c r="P902" s="485"/>
      <c r="Q902" s="485"/>
    </row>
    <row r="903">
      <c r="N903" s="506"/>
      <c r="O903" s="485"/>
      <c r="P903" s="485"/>
      <c r="Q903" s="485"/>
    </row>
    <row r="904">
      <c r="N904" s="506"/>
      <c r="O904" s="485"/>
      <c r="P904" s="485"/>
      <c r="Q904" s="485"/>
    </row>
    <row r="905">
      <c r="N905" s="506"/>
      <c r="O905" s="485"/>
      <c r="P905" s="485"/>
      <c r="Q905" s="485"/>
    </row>
    <row r="906">
      <c r="N906" s="506"/>
      <c r="O906" s="485"/>
      <c r="P906" s="485"/>
      <c r="Q906" s="485"/>
    </row>
    <row r="907">
      <c r="N907" s="506"/>
      <c r="O907" s="485"/>
      <c r="P907" s="485"/>
      <c r="Q907" s="485"/>
    </row>
    <row r="908">
      <c r="N908" s="506"/>
      <c r="O908" s="485"/>
      <c r="P908" s="485"/>
      <c r="Q908" s="485"/>
    </row>
    <row r="909">
      <c r="N909" s="506"/>
      <c r="O909" s="485"/>
      <c r="P909" s="485"/>
      <c r="Q909" s="485"/>
    </row>
    <row r="910">
      <c r="N910" s="506"/>
      <c r="O910" s="485"/>
      <c r="P910" s="485"/>
      <c r="Q910" s="485"/>
    </row>
    <row r="911">
      <c r="N911" s="506"/>
      <c r="O911" s="485"/>
      <c r="P911" s="485"/>
      <c r="Q911" s="485"/>
    </row>
    <row r="912">
      <c r="N912" s="506"/>
      <c r="O912" s="485"/>
      <c r="P912" s="485"/>
      <c r="Q912" s="485"/>
    </row>
    <row r="913">
      <c r="N913" s="506"/>
      <c r="O913" s="485"/>
      <c r="P913" s="485"/>
      <c r="Q913" s="485"/>
    </row>
    <row r="914">
      <c r="N914" s="506"/>
      <c r="O914" s="485"/>
      <c r="P914" s="485"/>
      <c r="Q914" s="485"/>
    </row>
    <row r="915">
      <c r="N915" s="506"/>
      <c r="O915" s="485"/>
      <c r="P915" s="485"/>
      <c r="Q915" s="485"/>
    </row>
    <row r="916">
      <c r="N916" s="506"/>
      <c r="O916" s="485"/>
      <c r="P916" s="485"/>
      <c r="Q916" s="485"/>
    </row>
    <row r="917">
      <c r="N917" s="506"/>
      <c r="O917" s="485"/>
      <c r="P917" s="485"/>
      <c r="Q917" s="485"/>
    </row>
    <row r="918">
      <c r="N918" s="506"/>
      <c r="O918" s="485"/>
      <c r="P918" s="485"/>
      <c r="Q918" s="485"/>
    </row>
    <row r="919">
      <c r="N919" s="506"/>
      <c r="O919" s="485"/>
      <c r="P919" s="485"/>
      <c r="Q919" s="485"/>
    </row>
    <row r="920">
      <c r="N920" s="506"/>
      <c r="O920" s="485"/>
      <c r="P920" s="485"/>
      <c r="Q920" s="485"/>
    </row>
    <row r="921">
      <c r="N921" s="506"/>
      <c r="O921" s="485"/>
      <c r="P921" s="485"/>
      <c r="Q921" s="485"/>
    </row>
    <row r="922">
      <c r="N922" s="506"/>
      <c r="O922" s="485"/>
      <c r="P922" s="485"/>
      <c r="Q922" s="485"/>
    </row>
    <row r="923">
      <c r="N923" s="506"/>
      <c r="O923" s="485"/>
      <c r="P923" s="485"/>
      <c r="Q923" s="485"/>
    </row>
    <row r="924">
      <c r="N924" s="506"/>
      <c r="O924" s="485"/>
      <c r="P924" s="485"/>
      <c r="Q924" s="485"/>
    </row>
    <row r="925">
      <c r="N925" s="506"/>
      <c r="O925" s="485"/>
      <c r="P925" s="485"/>
      <c r="Q925" s="485"/>
    </row>
    <row r="926">
      <c r="N926" s="506"/>
      <c r="O926" s="485"/>
      <c r="P926" s="485"/>
      <c r="Q926" s="485"/>
    </row>
    <row r="927">
      <c r="N927" s="506"/>
      <c r="O927" s="485"/>
      <c r="P927" s="485"/>
      <c r="Q927" s="485"/>
    </row>
    <row r="928">
      <c r="N928" s="506"/>
      <c r="O928" s="485"/>
      <c r="P928" s="485"/>
      <c r="Q928" s="485"/>
    </row>
    <row r="929">
      <c r="N929" s="506"/>
      <c r="O929" s="485"/>
      <c r="P929" s="485"/>
      <c r="Q929" s="485"/>
    </row>
    <row r="930">
      <c r="N930" s="506"/>
      <c r="O930" s="485"/>
      <c r="P930" s="485"/>
      <c r="Q930" s="485"/>
    </row>
    <row r="931">
      <c r="N931" s="506"/>
      <c r="O931" s="485"/>
      <c r="P931" s="485"/>
      <c r="Q931" s="485"/>
    </row>
    <row r="932">
      <c r="N932" s="506"/>
      <c r="O932" s="485"/>
      <c r="P932" s="485"/>
      <c r="Q932" s="485"/>
    </row>
    <row r="933">
      <c r="N933" s="506"/>
      <c r="O933" s="485"/>
      <c r="P933" s="485"/>
      <c r="Q933" s="485"/>
    </row>
    <row r="934">
      <c r="N934" s="506"/>
      <c r="O934" s="485"/>
      <c r="P934" s="485"/>
      <c r="Q934" s="485"/>
    </row>
    <row r="935">
      <c r="N935" s="506"/>
      <c r="O935" s="485"/>
      <c r="P935" s="485"/>
      <c r="Q935" s="485"/>
    </row>
    <row r="936">
      <c r="N936" s="506"/>
      <c r="O936" s="485"/>
      <c r="P936" s="485"/>
      <c r="Q936" s="485"/>
    </row>
    <row r="937">
      <c r="N937" s="506"/>
      <c r="O937" s="485"/>
      <c r="P937" s="485"/>
      <c r="Q937" s="485"/>
    </row>
    <row r="938">
      <c r="N938" s="506"/>
      <c r="O938" s="485"/>
      <c r="P938" s="485"/>
      <c r="Q938" s="485"/>
    </row>
    <row r="939">
      <c r="N939" s="506"/>
      <c r="O939" s="485"/>
      <c r="P939" s="485"/>
      <c r="Q939" s="485"/>
    </row>
    <row r="940">
      <c r="N940" s="506"/>
      <c r="O940" s="485"/>
      <c r="P940" s="485"/>
      <c r="Q940" s="485"/>
    </row>
    <row r="941">
      <c r="N941" s="506"/>
      <c r="O941" s="485"/>
      <c r="P941" s="485"/>
      <c r="Q941" s="485"/>
    </row>
    <row r="942">
      <c r="N942" s="506"/>
      <c r="O942" s="485"/>
      <c r="P942" s="485"/>
      <c r="Q942" s="485"/>
    </row>
    <row r="943">
      <c r="N943" s="506"/>
      <c r="O943" s="485"/>
      <c r="P943" s="485"/>
      <c r="Q943" s="485"/>
    </row>
    <row r="944">
      <c r="N944" s="506"/>
      <c r="O944" s="485"/>
      <c r="P944" s="485"/>
      <c r="Q944" s="485"/>
    </row>
    <row r="945">
      <c r="N945" s="506"/>
      <c r="O945" s="485"/>
      <c r="P945" s="485"/>
      <c r="Q945" s="485"/>
    </row>
    <row r="946">
      <c r="N946" s="506"/>
      <c r="O946" s="485"/>
      <c r="P946" s="485"/>
      <c r="Q946" s="485"/>
    </row>
    <row r="947">
      <c r="N947" s="506"/>
      <c r="O947" s="485"/>
      <c r="P947" s="485"/>
      <c r="Q947" s="485"/>
    </row>
    <row r="948">
      <c r="N948" s="506"/>
      <c r="O948" s="485"/>
      <c r="P948" s="485"/>
      <c r="Q948" s="485"/>
    </row>
    <row r="949">
      <c r="N949" s="506"/>
      <c r="O949" s="485"/>
      <c r="P949" s="485"/>
      <c r="Q949" s="485"/>
    </row>
    <row r="950">
      <c r="N950" s="506"/>
      <c r="O950" s="485"/>
      <c r="P950" s="485"/>
      <c r="Q950" s="485"/>
    </row>
    <row r="951">
      <c r="N951" s="506"/>
      <c r="O951" s="485"/>
      <c r="P951" s="485"/>
      <c r="Q951" s="485"/>
    </row>
    <row r="952">
      <c r="N952" s="506"/>
      <c r="O952" s="485"/>
      <c r="P952" s="485"/>
      <c r="Q952" s="485"/>
    </row>
    <row r="953">
      <c r="N953" s="506"/>
      <c r="O953" s="485"/>
      <c r="P953" s="485"/>
      <c r="Q953" s="485"/>
    </row>
    <row r="954">
      <c r="N954" s="506"/>
      <c r="O954" s="485"/>
      <c r="P954" s="485"/>
      <c r="Q954" s="485"/>
    </row>
    <row r="955">
      <c r="N955" s="506"/>
      <c r="O955" s="485"/>
      <c r="P955" s="485"/>
      <c r="Q955" s="485"/>
    </row>
    <row r="956">
      <c r="N956" s="506"/>
      <c r="O956" s="485"/>
      <c r="P956" s="485"/>
      <c r="Q956" s="485"/>
    </row>
    <row r="957">
      <c r="N957" s="506"/>
      <c r="O957" s="485"/>
      <c r="P957" s="485"/>
      <c r="Q957" s="485"/>
    </row>
    <row r="958">
      <c r="N958" s="506"/>
      <c r="O958" s="485"/>
      <c r="P958" s="485"/>
      <c r="Q958" s="485"/>
    </row>
    <row r="959">
      <c r="N959" s="506"/>
      <c r="O959" s="485"/>
      <c r="P959" s="485"/>
      <c r="Q959" s="485"/>
    </row>
    <row r="960">
      <c r="N960" s="506"/>
      <c r="O960" s="485"/>
      <c r="P960" s="485"/>
      <c r="Q960" s="485"/>
    </row>
    <row r="961">
      <c r="N961" s="506"/>
      <c r="O961" s="485"/>
      <c r="P961" s="485"/>
      <c r="Q961" s="485"/>
    </row>
    <row r="962">
      <c r="N962" s="506"/>
      <c r="O962" s="485"/>
      <c r="P962" s="485"/>
      <c r="Q962" s="485"/>
    </row>
    <row r="963">
      <c r="N963" s="506"/>
      <c r="O963" s="485"/>
      <c r="P963" s="485"/>
      <c r="Q963" s="485"/>
    </row>
    <row r="964">
      <c r="N964" s="506"/>
      <c r="O964" s="485"/>
      <c r="P964" s="485"/>
      <c r="Q964" s="485"/>
    </row>
    <row r="965">
      <c r="N965" s="506"/>
      <c r="O965" s="485"/>
      <c r="P965" s="485"/>
      <c r="Q965" s="485"/>
    </row>
    <row r="966">
      <c r="N966" s="506"/>
      <c r="O966" s="485"/>
      <c r="P966" s="485"/>
      <c r="Q966" s="485"/>
    </row>
    <row r="967">
      <c r="N967" s="506"/>
      <c r="O967" s="485"/>
      <c r="P967" s="485"/>
      <c r="Q967" s="485"/>
    </row>
    <row r="968">
      <c r="N968" s="506"/>
      <c r="O968" s="485"/>
      <c r="P968" s="485"/>
      <c r="Q968" s="485"/>
    </row>
    <row r="969">
      <c r="N969" s="506"/>
      <c r="O969" s="485"/>
      <c r="P969" s="485"/>
      <c r="Q969" s="485"/>
    </row>
    <row r="970">
      <c r="N970" s="506"/>
      <c r="O970" s="485"/>
      <c r="P970" s="485"/>
      <c r="Q970" s="485"/>
    </row>
    <row r="971">
      <c r="N971" s="506"/>
      <c r="O971" s="485"/>
      <c r="P971" s="485"/>
      <c r="Q971" s="485"/>
    </row>
    <row r="972">
      <c r="N972" s="506"/>
      <c r="O972" s="485"/>
      <c r="P972" s="485"/>
      <c r="Q972" s="485"/>
    </row>
    <row r="973">
      <c r="N973" s="506"/>
      <c r="O973" s="485"/>
      <c r="P973" s="485"/>
      <c r="Q973" s="485"/>
    </row>
    <row r="974">
      <c r="N974" s="506"/>
      <c r="O974" s="485"/>
      <c r="P974" s="485"/>
      <c r="Q974" s="485"/>
    </row>
    <row r="975">
      <c r="N975" s="506"/>
      <c r="O975" s="485"/>
      <c r="P975" s="485"/>
      <c r="Q975" s="485"/>
    </row>
    <row r="976">
      <c r="N976" s="506"/>
      <c r="O976" s="485"/>
      <c r="P976" s="485"/>
      <c r="Q976" s="485"/>
    </row>
    <row r="977">
      <c r="N977" s="506"/>
      <c r="O977" s="485"/>
      <c r="P977" s="485"/>
      <c r="Q977" s="485"/>
    </row>
    <row r="978">
      <c r="N978" s="506"/>
      <c r="O978" s="485"/>
      <c r="P978" s="485"/>
      <c r="Q978" s="485"/>
    </row>
    <row r="979">
      <c r="N979" s="506"/>
      <c r="O979" s="485"/>
      <c r="P979" s="485"/>
      <c r="Q979" s="485"/>
    </row>
    <row r="980">
      <c r="N980" s="506"/>
      <c r="O980" s="485"/>
      <c r="P980" s="485"/>
      <c r="Q980" s="485"/>
    </row>
    <row r="981">
      <c r="N981" s="506"/>
      <c r="O981" s="485"/>
      <c r="P981" s="485"/>
      <c r="Q981" s="485"/>
    </row>
    <row r="982">
      <c r="N982" s="506"/>
      <c r="O982" s="485"/>
      <c r="P982" s="485"/>
      <c r="Q982" s="485"/>
    </row>
    <row r="983">
      <c r="N983" s="506"/>
      <c r="O983" s="485"/>
      <c r="P983" s="485"/>
      <c r="Q983" s="485"/>
    </row>
    <row r="984">
      <c r="N984" s="506"/>
      <c r="O984" s="485"/>
      <c r="P984" s="485"/>
      <c r="Q984" s="485"/>
    </row>
    <row r="985">
      <c r="N985" s="506"/>
      <c r="O985" s="485"/>
      <c r="P985" s="485"/>
      <c r="Q985" s="485"/>
    </row>
    <row r="986">
      <c r="N986" s="506"/>
      <c r="O986" s="485"/>
      <c r="P986" s="485"/>
      <c r="Q986" s="485"/>
    </row>
    <row r="987">
      <c r="N987" s="506"/>
      <c r="O987" s="485"/>
      <c r="P987" s="485"/>
      <c r="Q987" s="485"/>
    </row>
    <row r="988">
      <c r="N988" s="506"/>
      <c r="O988" s="485"/>
      <c r="P988" s="485"/>
      <c r="Q988" s="485"/>
    </row>
    <row r="989">
      <c r="N989" s="506"/>
      <c r="O989" s="485"/>
      <c r="P989" s="485"/>
      <c r="Q989" s="485"/>
    </row>
    <row r="990">
      <c r="N990" s="506"/>
      <c r="O990" s="485"/>
      <c r="P990" s="485"/>
      <c r="Q990" s="485"/>
    </row>
    <row r="991">
      <c r="N991" s="506"/>
      <c r="O991" s="485"/>
      <c r="P991" s="485"/>
      <c r="Q991" s="485"/>
    </row>
    <row r="992">
      <c r="N992" s="506"/>
      <c r="O992" s="485"/>
      <c r="P992" s="485"/>
      <c r="Q992" s="485"/>
    </row>
    <row r="993">
      <c r="N993" s="506"/>
      <c r="O993" s="485"/>
      <c r="P993" s="485"/>
      <c r="Q993" s="485"/>
    </row>
  </sheetData>
  <mergeCells count="107">
    <mergeCell ref="C1:D1"/>
    <mergeCell ref="C8:D8"/>
    <mergeCell ref="D10:D13"/>
    <mergeCell ref="A1:B1"/>
    <mergeCell ref="B3:B6"/>
    <mergeCell ref="A8:B8"/>
    <mergeCell ref="B10:B13"/>
    <mergeCell ref="A20:C20"/>
    <mergeCell ref="A22:C22"/>
    <mergeCell ref="A24:B24"/>
    <mergeCell ref="D60:G60"/>
    <mergeCell ref="D61:G61"/>
    <mergeCell ref="D62:G62"/>
    <mergeCell ref="D63:G63"/>
    <mergeCell ref="D64:G64"/>
    <mergeCell ref="A56:C56"/>
    <mergeCell ref="D56:G56"/>
    <mergeCell ref="A57:C57"/>
    <mergeCell ref="D57:G57"/>
    <mergeCell ref="A58:C58"/>
    <mergeCell ref="D58:G58"/>
    <mergeCell ref="D59:G59"/>
    <mergeCell ref="A59:C59"/>
    <mergeCell ref="A60:C60"/>
    <mergeCell ref="A61:C61"/>
    <mergeCell ref="A62:C62"/>
    <mergeCell ref="A63:C63"/>
    <mergeCell ref="A64:C64"/>
    <mergeCell ref="A66:D66"/>
    <mergeCell ref="A74:D74"/>
    <mergeCell ref="A75:D75"/>
    <mergeCell ref="A76:D76"/>
    <mergeCell ref="A67:D67"/>
    <mergeCell ref="A68:D68"/>
    <mergeCell ref="A69:D69"/>
    <mergeCell ref="A70:D70"/>
    <mergeCell ref="A71:D71"/>
    <mergeCell ref="A72:D72"/>
    <mergeCell ref="A73:D73"/>
    <mergeCell ref="D3:D6"/>
    <mergeCell ref="F3:F6"/>
    <mergeCell ref="A7:I7"/>
    <mergeCell ref="E8:F8"/>
    <mergeCell ref="G8:H8"/>
    <mergeCell ref="H3:H6"/>
    <mergeCell ref="H10:H13"/>
    <mergeCell ref="H15:I15"/>
    <mergeCell ref="H16:I16"/>
    <mergeCell ref="H17:I17"/>
    <mergeCell ref="Q20:Q21"/>
    <mergeCell ref="A21:E21"/>
    <mergeCell ref="A25:B25"/>
    <mergeCell ref="A26:B26"/>
    <mergeCell ref="A27:B27"/>
    <mergeCell ref="A28:B28"/>
    <mergeCell ref="A29:B29"/>
    <mergeCell ref="A30:B30"/>
    <mergeCell ref="A31:B31"/>
    <mergeCell ref="A32:B32"/>
    <mergeCell ref="A33:B33"/>
    <mergeCell ref="A53:K53"/>
    <mergeCell ref="A54:C54"/>
    <mergeCell ref="D54:G54"/>
    <mergeCell ref="A55:C55"/>
    <mergeCell ref="D55:G55"/>
    <mergeCell ref="H55:K55"/>
    <mergeCell ref="H56:K56"/>
    <mergeCell ref="H57:K57"/>
    <mergeCell ref="H58:K58"/>
    <mergeCell ref="H59:K59"/>
    <mergeCell ref="H60:K60"/>
    <mergeCell ref="H61:K61"/>
    <mergeCell ref="H62:K62"/>
    <mergeCell ref="H63:K63"/>
    <mergeCell ref="H64:K64"/>
    <mergeCell ref="E66:H66"/>
    <mergeCell ref="I66:L66"/>
    <mergeCell ref="E67:H67"/>
    <mergeCell ref="I67:L67"/>
    <mergeCell ref="J1:L13"/>
    <mergeCell ref="H54:K54"/>
    <mergeCell ref="E75:H75"/>
    <mergeCell ref="I75:L75"/>
    <mergeCell ref="E76:H76"/>
    <mergeCell ref="I76:L76"/>
    <mergeCell ref="E1:F1"/>
    <mergeCell ref="G1:H1"/>
    <mergeCell ref="M1:M993"/>
    <mergeCell ref="N1:O1"/>
    <mergeCell ref="T1:V1"/>
    <mergeCell ref="F10:F13"/>
    <mergeCell ref="Q25:Q26"/>
    <mergeCell ref="T110:U110"/>
    <mergeCell ref="E68:H68"/>
    <mergeCell ref="I68:L68"/>
    <mergeCell ref="E69:H69"/>
    <mergeCell ref="I69:L69"/>
    <mergeCell ref="E70:H70"/>
    <mergeCell ref="I70:L70"/>
    <mergeCell ref="E71:H71"/>
    <mergeCell ref="I71:L71"/>
    <mergeCell ref="E72:H72"/>
    <mergeCell ref="I72:L72"/>
    <mergeCell ref="E73:H73"/>
    <mergeCell ref="I73:L73"/>
    <mergeCell ref="E74:H74"/>
    <mergeCell ref="I74:L7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88"/>
    <col customWidth="1" min="2" max="2" width="2.25"/>
    <col customWidth="1" min="3" max="3" width="19.13"/>
    <col customWidth="1" min="4" max="4" width="2.75"/>
    <col customWidth="1" min="5" max="5" width="19.63"/>
    <col customWidth="1" min="6" max="6" width="2.63"/>
    <col customWidth="1" min="7" max="7" width="17.88"/>
    <col customWidth="1" min="8" max="8" width="2.5"/>
    <col customWidth="1" min="9" max="9" width="20.13"/>
    <col customWidth="1" min="10" max="10" width="3.88"/>
    <col customWidth="1" min="11" max="11" width="15.38"/>
    <col customWidth="1" min="12" max="12" width="3.63"/>
    <col customWidth="1" min="13" max="13" width="1.5"/>
    <col customWidth="1" min="14" max="14" width="28.0"/>
    <col customWidth="1" min="15" max="15" width="4.38"/>
    <col customWidth="1" min="16" max="16" width="32.5"/>
    <col customWidth="1" min="17" max="17" width="4.88"/>
    <col customWidth="1" min="18" max="18" width="26.25"/>
    <col customWidth="1" min="19" max="19" width="20.63"/>
    <col customWidth="1" min="20" max="20" width="9.75"/>
    <col customWidth="1" min="21" max="21" width="26.13"/>
  </cols>
  <sheetData>
    <row r="1">
      <c r="A1" s="492" t="s">
        <v>1638</v>
      </c>
      <c r="B1" s="2"/>
      <c r="C1" s="492" t="s">
        <v>1639</v>
      </c>
      <c r="D1" s="3"/>
      <c r="E1" s="492" t="s">
        <v>1318</v>
      </c>
      <c r="F1" s="2"/>
      <c r="G1" s="570" t="s">
        <v>1640</v>
      </c>
      <c r="H1" s="2"/>
      <c r="I1" s="493" t="s">
        <v>1641</v>
      </c>
      <c r="J1" s="6">
        <v>2021.0</v>
      </c>
      <c r="K1" s="7"/>
      <c r="L1" s="8"/>
      <c r="M1" s="9"/>
      <c r="N1" s="571" t="s">
        <v>1642</v>
      </c>
      <c r="O1" s="354"/>
      <c r="P1" s="572" t="s">
        <v>1643</v>
      </c>
      <c r="Q1" s="13"/>
      <c r="R1" s="41"/>
      <c r="S1" s="424" t="s">
        <v>1644</v>
      </c>
      <c r="T1" s="7"/>
      <c r="U1" s="7"/>
    </row>
    <row r="2">
      <c r="A2" s="18" t="s">
        <v>128</v>
      </c>
      <c r="B2" s="573"/>
      <c r="C2" s="18" t="s">
        <v>46</v>
      </c>
      <c r="D2" s="573"/>
      <c r="E2" s="18" t="s">
        <v>18</v>
      </c>
      <c r="F2" s="573"/>
      <c r="G2" s="18" t="s">
        <v>14</v>
      </c>
      <c r="H2" s="573"/>
      <c r="I2" s="18" t="s">
        <v>45</v>
      </c>
      <c r="J2" s="19"/>
      <c r="L2" s="20"/>
      <c r="N2" s="574" t="s">
        <v>1645</v>
      </c>
      <c r="O2" s="521" t="s">
        <v>11</v>
      </c>
      <c r="P2" s="575" t="s">
        <v>1646</v>
      </c>
      <c r="Q2" s="24"/>
      <c r="R2" s="18" t="s">
        <v>1647</v>
      </c>
      <c r="S2" s="576" t="s">
        <v>1648</v>
      </c>
      <c r="T2" s="577" t="s">
        <v>11</v>
      </c>
      <c r="U2" s="578" t="s">
        <v>1649</v>
      </c>
    </row>
    <row r="3">
      <c r="A3" s="18" t="s">
        <v>393</v>
      </c>
      <c r="B3" s="25"/>
      <c r="D3" s="25"/>
      <c r="E3" s="31" t="s">
        <v>15</v>
      </c>
      <c r="F3" s="25"/>
      <c r="G3" s="18" t="s">
        <v>396</v>
      </c>
      <c r="H3" s="25"/>
      <c r="I3" s="31" t="s">
        <v>1037</v>
      </c>
      <c r="J3" s="19"/>
      <c r="L3" s="20"/>
      <c r="N3" s="579" t="s">
        <v>1650</v>
      </c>
      <c r="O3" s="580"/>
      <c r="P3" s="581" t="s">
        <v>1651</v>
      </c>
      <c r="Q3" s="24"/>
      <c r="R3" s="24"/>
      <c r="S3" s="582" t="s">
        <v>1652</v>
      </c>
      <c r="T3" s="583"/>
      <c r="U3" s="377" t="s">
        <v>1653</v>
      </c>
    </row>
    <row r="4">
      <c r="B4" s="30"/>
      <c r="D4" s="30"/>
      <c r="F4" s="30"/>
      <c r="H4" s="30"/>
      <c r="I4" s="18" t="s">
        <v>19</v>
      </c>
      <c r="J4" s="19"/>
      <c r="L4" s="20"/>
      <c r="N4" s="579" t="s">
        <v>1654</v>
      </c>
      <c r="P4" s="581" t="s">
        <v>1655</v>
      </c>
      <c r="Q4" s="24"/>
      <c r="R4" s="24"/>
      <c r="S4" s="584" t="s">
        <v>1656</v>
      </c>
      <c r="T4" s="585"/>
      <c r="U4" s="402"/>
    </row>
    <row r="5">
      <c r="B5" s="30"/>
      <c r="C5" s="24"/>
      <c r="D5" s="30"/>
      <c r="E5" s="18"/>
      <c r="F5" s="30"/>
      <c r="H5" s="30"/>
      <c r="J5" s="19"/>
      <c r="L5" s="20"/>
      <c r="N5" s="579" t="s">
        <v>1657</v>
      </c>
      <c r="O5" s="41"/>
      <c r="P5" s="586" t="s">
        <v>1658</v>
      </c>
      <c r="Q5" s="24"/>
    </row>
    <row r="6">
      <c r="B6" s="40"/>
      <c r="D6" s="40"/>
      <c r="F6" s="40"/>
      <c r="H6" s="40"/>
      <c r="J6" s="19"/>
      <c r="L6" s="20"/>
      <c r="N6" s="587" t="s">
        <v>1659</v>
      </c>
      <c r="O6" s="65"/>
      <c r="P6" s="588"/>
      <c r="S6" s="33" t="s">
        <v>1660</v>
      </c>
      <c r="T6" s="577" t="s">
        <v>11</v>
      </c>
      <c r="U6" s="35" t="s">
        <v>1661</v>
      </c>
    </row>
    <row r="7">
      <c r="A7" s="42" t="s">
        <v>1662</v>
      </c>
      <c r="B7" s="43"/>
      <c r="C7" s="43"/>
      <c r="D7" s="43"/>
      <c r="E7" s="43"/>
      <c r="F7" s="43"/>
      <c r="G7" s="43"/>
      <c r="H7" s="43"/>
      <c r="I7" s="44"/>
      <c r="J7" s="19"/>
      <c r="L7" s="20"/>
      <c r="O7" s="41"/>
      <c r="S7" s="36"/>
      <c r="T7" s="61"/>
      <c r="U7" s="62" t="s">
        <v>1663</v>
      </c>
    </row>
    <row r="8">
      <c r="A8" s="514" t="s">
        <v>1664</v>
      </c>
      <c r="B8" s="46"/>
      <c r="C8" s="515" t="s">
        <v>1346</v>
      </c>
      <c r="D8" s="46"/>
      <c r="E8" s="514" t="s">
        <v>1665</v>
      </c>
      <c r="F8" s="46"/>
      <c r="G8" s="515" t="s">
        <v>1348</v>
      </c>
      <c r="H8" s="46"/>
      <c r="I8" s="516" t="s">
        <v>1666</v>
      </c>
      <c r="J8" s="19"/>
      <c r="L8" s="20"/>
      <c r="N8" s="33" t="s">
        <v>1667</v>
      </c>
      <c r="O8" s="521" t="s">
        <v>11</v>
      </c>
      <c r="P8" s="35" t="s">
        <v>1668</v>
      </c>
    </row>
    <row r="9">
      <c r="A9" s="18" t="s">
        <v>119</v>
      </c>
      <c r="B9" s="589"/>
      <c r="C9" s="134" t="s">
        <v>36</v>
      </c>
      <c r="D9" s="589"/>
      <c r="E9" s="18" t="s">
        <v>9</v>
      </c>
      <c r="F9" s="589"/>
      <c r="G9" s="134" t="s">
        <v>40</v>
      </c>
      <c r="H9" s="589"/>
      <c r="I9" s="18" t="s">
        <v>32</v>
      </c>
      <c r="J9" s="19"/>
      <c r="L9" s="20"/>
      <c r="N9" s="51" t="s">
        <v>1669</v>
      </c>
      <c r="P9" s="53" t="s">
        <v>1670</v>
      </c>
    </row>
    <row r="10">
      <c r="A10" s="18" t="s">
        <v>39</v>
      </c>
      <c r="B10" s="25"/>
      <c r="C10" s="18" t="s">
        <v>1671</v>
      </c>
      <c r="D10" s="25"/>
      <c r="E10" s="31" t="s">
        <v>35</v>
      </c>
      <c r="F10" s="25"/>
      <c r="G10" s="18" t="s">
        <v>42</v>
      </c>
      <c r="H10" s="25"/>
      <c r="J10" s="19"/>
      <c r="L10" s="20"/>
      <c r="N10" s="36"/>
      <c r="O10" s="61"/>
      <c r="P10" s="62" t="s">
        <v>1672</v>
      </c>
      <c r="T10" s="216" t="s">
        <v>1673</v>
      </c>
    </row>
    <row r="11">
      <c r="A11" s="18"/>
      <c r="B11" s="30"/>
      <c r="C11" s="18" t="s">
        <v>43</v>
      </c>
      <c r="D11" s="30"/>
      <c r="F11" s="30"/>
      <c r="G11" s="18"/>
      <c r="H11" s="30"/>
      <c r="I11" s="18"/>
      <c r="J11" s="19"/>
      <c r="L11" s="20"/>
      <c r="N11" s="41"/>
      <c r="O11" s="41"/>
      <c r="P11" s="41"/>
      <c r="S11" s="590" t="s">
        <v>1674</v>
      </c>
      <c r="T11" s="15"/>
      <c r="U11" s="2"/>
    </row>
    <row r="12">
      <c r="B12" s="30"/>
      <c r="D12" s="30"/>
      <c r="F12" s="30"/>
      <c r="G12" s="24"/>
      <c r="H12" s="30"/>
      <c r="I12" s="24"/>
      <c r="J12" s="19"/>
      <c r="L12" s="20"/>
      <c r="N12" s="33" t="s">
        <v>1675</v>
      </c>
      <c r="O12" s="521" t="s">
        <v>11</v>
      </c>
      <c r="P12" s="35" t="s">
        <v>1676</v>
      </c>
      <c r="S12" s="591" t="s">
        <v>1677</v>
      </c>
      <c r="T12" s="592" t="s">
        <v>11</v>
      </c>
      <c r="U12" s="591" t="s">
        <v>1678</v>
      </c>
    </row>
    <row r="13">
      <c r="A13" s="24"/>
      <c r="B13" s="40"/>
      <c r="C13" s="24"/>
      <c r="D13" s="40"/>
      <c r="F13" s="40"/>
      <c r="G13" s="41"/>
      <c r="H13" s="40"/>
      <c r="I13" s="41"/>
      <c r="J13" s="63"/>
      <c r="K13" s="64"/>
      <c r="L13" s="46"/>
      <c r="N13" s="126" t="s">
        <v>1679</v>
      </c>
      <c r="O13" s="435"/>
      <c r="P13" s="142"/>
      <c r="S13" s="591" t="s">
        <v>1680</v>
      </c>
      <c r="T13" s="95"/>
      <c r="U13" s="593"/>
    </row>
    <row r="14">
      <c r="A14" s="18" t="s">
        <v>48</v>
      </c>
      <c r="B14" s="24"/>
      <c r="C14" s="24"/>
      <c r="D14" s="24"/>
      <c r="E14" s="24"/>
      <c r="F14" s="24"/>
      <c r="G14" s="24"/>
      <c r="H14" s="24"/>
      <c r="I14" s="24"/>
      <c r="N14" s="41"/>
      <c r="S14" s="386"/>
      <c r="T14" s="594"/>
      <c r="U14" s="386"/>
    </row>
    <row r="15">
      <c r="A15" s="18"/>
      <c r="B15" s="18"/>
      <c r="C15" s="72"/>
      <c r="D15" s="18"/>
      <c r="E15" s="18"/>
      <c r="F15" s="24"/>
      <c r="G15" s="18"/>
      <c r="H15" s="73" t="s">
        <v>49</v>
      </c>
      <c r="I15" s="74"/>
      <c r="N15" s="246" t="s">
        <v>1681</v>
      </c>
      <c r="O15" s="24"/>
      <c r="P15" s="519" t="s">
        <v>1682</v>
      </c>
      <c r="Q15" s="24"/>
      <c r="R15" s="450" t="s">
        <v>1683</v>
      </c>
      <c r="S15" s="591" t="s">
        <v>1684</v>
      </c>
      <c r="T15" s="592" t="s">
        <v>11</v>
      </c>
      <c r="U15" s="591" t="s">
        <v>1685</v>
      </c>
    </row>
    <row r="16">
      <c r="A16" s="18"/>
      <c r="B16" s="24"/>
      <c r="C16" s="72"/>
      <c r="D16" s="18"/>
      <c r="E16" s="18"/>
      <c r="F16" s="18"/>
      <c r="G16" s="18"/>
      <c r="H16" s="140" t="s">
        <v>142</v>
      </c>
      <c r="I16" s="76"/>
      <c r="N16" s="595" t="s">
        <v>1686</v>
      </c>
      <c r="O16" s="521"/>
      <c r="P16" s="522" t="s">
        <v>1687</v>
      </c>
      <c r="Q16" s="456"/>
      <c r="R16" s="457" t="s">
        <v>1688</v>
      </c>
      <c r="S16" s="591" t="s">
        <v>1689</v>
      </c>
      <c r="T16" s="95"/>
      <c r="U16" s="593"/>
    </row>
    <row r="17">
      <c r="A17" s="18"/>
      <c r="B17" s="18"/>
      <c r="C17" s="72"/>
      <c r="D17" s="18"/>
      <c r="E17" s="18"/>
      <c r="F17" s="18"/>
      <c r="G17" s="18"/>
      <c r="H17" s="141" t="s">
        <v>53</v>
      </c>
      <c r="I17" s="78"/>
      <c r="L17" s="79"/>
      <c r="N17" s="596" t="s">
        <v>1690</v>
      </c>
      <c r="O17" s="525"/>
      <c r="P17" s="526" t="s">
        <v>1691</v>
      </c>
      <c r="Q17" s="527"/>
      <c r="R17" s="458" t="s">
        <v>1692</v>
      </c>
      <c r="S17" s="386"/>
      <c r="T17" s="386"/>
      <c r="U17" s="386"/>
    </row>
    <row r="18">
      <c r="A18" s="80"/>
      <c r="B18" s="81"/>
      <c r="C18" s="82"/>
      <c r="D18" s="24"/>
      <c r="E18" s="24"/>
      <c r="F18" s="18"/>
      <c r="G18" s="18"/>
      <c r="H18" s="24"/>
      <c r="I18" s="24"/>
      <c r="L18" s="79"/>
      <c r="N18" s="597"/>
      <c r="O18" s="527"/>
      <c r="P18" s="598"/>
      <c r="Q18" s="527"/>
    </row>
    <row r="19">
      <c r="A19" s="84"/>
      <c r="L19" s="79"/>
      <c r="N19" s="41"/>
      <c r="O19" s="41"/>
      <c r="P19" s="41"/>
      <c r="Q19" s="83"/>
    </row>
    <row r="20">
      <c r="A20" s="386"/>
      <c r="B20" s="386"/>
      <c r="C20" s="386"/>
      <c r="D20" s="386"/>
      <c r="E20" s="386"/>
      <c r="F20" s="157"/>
      <c r="G20" s="157"/>
      <c r="H20" s="386"/>
      <c r="I20" s="386"/>
      <c r="J20" s="386"/>
      <c r="K20" s="386"/>
      <c r="N20" s="33" t="s">
        <v>1693</v>
      </c>
      <c r="O20" s="34" t="s">
        <v>11</v>
      </c>
      <c r="P20" s="35" t="s">
        <v>1694</v>
      </c>
    </row>
    <row r="21">
      <c r="A21" s="599"/>
      <c r="B21" s="139"/>
      <c r="C21" s="139"/>
      <c r="D21" s="139"/>
      <c r="E21" s="139"/>
      <c r="F21" s="139"/>
      <c r="G21" s="139"/>
      <c r="H21" s="139"/>
      <c r="I21" s="139"/>
      <c r="J21" s="139"/>
      <c r="K21" s="222"/>
      <c r="N21" s="126" t="s">
        <v>144</v>
      </c>
      <c r="O21" s="61"/>
      <c r="P21" s="62" t="s">
        <v>1695</v>
      </c>
      <c r="Q21" s="83"/>
    </row>
    <row r="22">
      <c r="A22" s="600"/>
      <c r="B22" s="600"/>
      <c r="C22" s="600"/>
      <c r="D22" s="600"/>
      <c r="E22" s="600"/>
      <c r="F22" s="601"/>
      <c r="G22" s="601"/>
      <c r="H22" s="600"/>
      <c r="I22" s="600"/>
      <c r="J22" s="600"/>
      <c r="K22" s="600"/>
      <c r="N22" s="41"/>
      <c r="O22" s="41"/>
      <c r="P22" s="41"/>
    </row>
    <row r="23">
      <c r="A23" s="602" t="s">
        <v>1696</v>
      </c>
      <c r="B23" s="157"/>
      <c r="C23" s="443" t="s">
        <v>1107</v>
      </c>
      <c r="D23" s="157"/>
      <c r="E23" s="158" t="s">
        <v>1108</v>
      </c>
      <c r="F23" s="157"/>
      <c r="G23" s="158" t="s">
        <v>1109</v>
      </c>
      <c r="H23" s="157"/>
      <c r="J23" s="600"/>
      <c r="K23" s="603" t="s">
        <v>1697</v>
      </c>
      <c r="N23" s="396" t="s">
        <v>1698</v>
      </c>
      <c r="O23" s="360" t="s">
        <v>11</v>
      </c>
      <c r="P23" s="397" t="s">
        <v>1699</v>
      </c>
    </row>
    <row r="24">
      <c r="A24" s="384" t="s">
        <v>1700</v>
      </c>
      <c r="B24" s="44"/>
      <c r="C24" s="385" t="s">
        <v>3</v>
      </c>
      <c r="D24" s="157"/>
      <c r="E24" s="385" t="s">
        <v>1701</v>
      </c>
      <c r="F24" s="157"/>
      <c r="G24" s="385" t="s">
        <v>3</v>
      </c>
      <c r="H24" s="157"/>
      <c r="J24" s="600"/>
      <c r="K24" s="603" t="s">
        <v>1702</v>
      </c>
      <c r="N24" s="41"/>
      <c r="O24" s="41"/>
      <c r="P24" s="41"/>
    </row>
    <row r="25">
      <c r="A25" s="384" t="s">
        <v>1703</v>
      </c>
      <c r="B25" s="44"/>
      <c r="C25" s="385" t="s">
        <v>78</v>
      </c>
      <c r="D25" s="386"/>
      <c r="E25" s="385" t="s">
        <v>22</v>
      </c>
      <c r="F25" s="386"/>
      <c r="G25" s="385" t="s">
        <v>22</v>
      </c>
      <c r="H25" s="386"/>
      <c r="I25" s="600"/>
      <c r="J25" s="600"/>
      <c r="K25" s="600"/>
      <c r="N25" s="33" t="s">
        <v>1704</v>
      </c>
      <c r="O25" s="34" t="s">
        <v>11</v>
      </c>
      <c r="P25" s="35" t="s">
        <v>1705</v>
      </c>
    </row>
    <row r="26">
      <c r="A26" s="384" t="s">
        <v>1410</v>
      </c>
      <c r="B26" s="44"/>
      <c r="C26" s="385" t="s">
        <v>22</v>
      </c>
      <c r="D26" s="386"/>
      <c r="E26" s="385" t="s">
        <v>1706</v>
      </c>
      <c r="F26" s="386"/>
      <c r="G26" s="385" t="s">
        <v>1061</v>
      </c>
      <c r="H26" s="386"/>
      <c r="I26" s="600"/>
      <c r="J26" s="600"/>
      <c r="K26" s="600"/>
      <c r="N26" s="51" t="s">
        <v>712</v>
      </c>
      <c r="P26" s="53" t="s">
        <v>1707</v>
      </c>
    </row>
    <row r="27">
      <c r="A27" s="447" t="s">
        <v>1708</v>
      </c>
      <c r="B27" s="44"/>
      <c r="C27" s="385" t="s">
        <v>3</v>
      </c>
      <c r="D27" s="386"/>
      <c r="E27" s="385" t="s">
        <v>1</v>
      </c>
      <c r="F27" s="386"/>
      <c r="G27" s="385" t="s">
        <v>1</v>
      </c>
      <c r="H27" s="386"/>
      <c r="I27" s="600"/>
      <c r="J27" s="600"/>
      <c r="K27" s="600"/>
      <c r="N27" s="126" t="s">
        <v>1709</v>
      </c>
      <c r="O27" s="435"/>
      <c r="P27" s="62" t="s">
        <v>1710</v>
      </c>
    </row>
    <row r="28">
      <c r="A28" s="387" t="s">
        <v>1711</v>
      </c>
      <c r="B28" s="388"/>
      <c r="C28" s="389" t="s">
        <v>26</v>
      </c>
      <c r="D28" s="390"/>
      <c r="E28" s="389" t="s">
        <v>157</v>
      </c>
      <c r="F28" s="386"/>
      <c r="G28" s="389" t="s">
        <v>26</v>
      </c>
      <c r="H28" s="386"/>
      <c r="I28" s="600"/>
      <c r="J28" s="600"/>
      <c r="K28" s="600"/>
      <c r="N28" s="41"/>
      <c r="P28" s="41"/>
    </row>
    <row r="29">
      <c r="A29" s="391" t="s">
        <v>1712</v>
      </c>
      <c r="B29" s="392"/>
      <c r="C29" s="393" t="s">
        <v>59</v>
      </c>
      <c r="D29" s="394"/>
      <c r="E29" s="393" t="s">
        <v>2</v>
      </c>
      <c r="F29" s="386"/>
      <c r="G29" s="393" t="s">
        <v>59</v>
      </c>
      <c r="H29" s="386"/>
      <c r="I29" s="600"/>
      <c r="J29" s="600"/>
      <c r="K29" s="600"/>
      <c r="N29" s="574" t="s">
        <v>1713</v>
      </c>
      <c r="O29" s="521" t="s">
        <v>11</v>
      </c>
      <c r="P29" s="575" t="s">
        <v>1714</v>
      </c>
    </row>
    <row r="30">
      <c r="A30" s="395" t="s">
        <v>1715</v>
      </c>
      <c r="B30" s="44"/>
      <c r="C30" s="385" t="s">
        <v>1061</v>
      </c>
      <c r="D30" s="386"/>
      <c r="E30" s="385" t="s">
        <v>2</v>
      </c>
      <c r="F30" s="386"/>
      <c r="G30" s="385" t="s">
        <v>2</v>
      </c>
      <c r="H30" s="386"/>
      <c r="I30" s="600"/>
      <c r="J30" s="600"/>
      <c r="K30" s="600"/>
      <c r="N30" s="587" t="s">
        <v>1716</v>
      </c>
      <c r="O30" s="65"/>
      <c r="P30" s="604" t="s">
        <v>1717</v>
      </c>
    </row>
    <row r="31">
      <c r="A31" s="395" t="s">
        <v>1718</v>
      </c>
      <c r="B31" s="44"/>
      <c r="C31" s="385" t="s">
        <v>59</v>
      </c>
      <c r="D31" s="386"/>
      <c r="E31" s="385" t="s">
        <v>157</v>
      </c>
      <c r="F31" s="386"/>
      <c r="G31" s="385" t="s">
        <v>157</v>
      </c>
      <c r="H31" s="386"/>
      <c r="I31" s="600"/>
      <c r="J31" s="600"/>
      <c r="K31" s="600"/>
      <c r="P31" s="41"/>
    </row>
    <row r="32">
      <c r="A32" s="395" t="s">
        <v>1719</v>
      </c>
      <c r="B32" s="44"/>
      <c r="C32" s="385" t="s">
        <v>1720</v>
      </c>
      <c r="D32" s="386"/>
      <c r="E32" s="385" t="s">
        <v>73</v>
      </c>
      <c r="F32" s="386"/>
      <c r="G32" s="385" t="s">
        <v>73</v>
      </c>
      <c r="H32" s="386"/>
      <c r="I32" s="600"/>
      <c r="J32" s="600"/>
      <c r="K32" s="600"/>
      <c r="N32" s="574" t="s">
        <v>1721</v>
      </c>
      <c r="O32" s="521" t="s">
        <v>11</v>
      </c>
      <c r="P32" s="575" t="s">
        <v>1722</v>
      </c>
    </row>
    <row r="33">
      <c r="A33" s="395" t="s">
        <v>1723</v>
      </c>
      <c r="B33" s="44"/>
      <c r="C33" s="385" t="s">
        <v>78</v>
      </c>
      <c r="D33" s="386"/>
      <c r="E33" s="385" t="s">
        <v>78</v>
      </c>
      <c r="F33" s="386"/>
      <c r="G33" s="385" t="s">
        <v>78</v>
      </c>
      <c r="H33" s="386"/>
      <c r="I33" s="600"/>
      <c r="J33" s="600"/>
      <c r="K33" s="600"/>
      <c r="N33" s="579" t="s">
        <v>1724</v>
      </c>
      <c r="P33" s="581" t="s">
        <v>1725</v>
      </c>
    </row>
    <row r="34">
      <c r="A34" s="605"/>
      <c r="B34" s="44"/>
      <c r="C34" s="606"/>
      <c r="D34" s="386"/>
      <c r="E34" s="606"/>
      <c r="F34" s="386"/>
      <c r="G34" s="606"/>
      <c r="H34" s="386"/>
      <c r="I34" s="600"/>
      <c r="J34" s="600"/>
      <c r="K34" s="600"/>
      <c r="N34" s="579" t="s">
        <v>1726</v>
      </c>
      <c r="P34" s="581" t="s">
        <v>1727</v>
      </c>
    </row>
    <row r="35">
      <c r="A35" s="386"/>
      <c r="B35" s="386"/>
      <c r="C35" s="386"/>
      <c r="D35" s="386"/>
      <c r="E35" s="386"/>
      <c r="F35" s="386"/>
      <c r="G35" s="386"/>
      <c r="H35" s="386"/>
      <c r="I35" s="386"/>
      <c r="J35" s="386"/>
      <c r="K35" s="386"/>
      <c r="N35" s="607"/>
      <c r="O35" s="608"/>
      <c r="P35" s="604" t="s">
        <v>1728</v>
      </c>
    </row>
    <row r="36">
      <c r="N36" s="41"/>
    </row>
    <row r="37">
      <c r="N37" s="574" t="s">
        <v>1729</v>
      </c>
      <c r="O37" s="521" t="s">
        <v>11</v>
      </c>
      <c r="P37" s="575" t="s">
        <v>1730</v>
      </c>
    </row>
    <row r="38">
      <c r="A38" s="207" t="s">
        <v>1731</v>
      </c>
      <c r="N38" s="609"/>
      <c r="P38" s="581" t="s">
        <v>1732</v>
      </c>
    </row>
    <row r="39">
      <c r="A39" s="210" t="s">
        <v>279</v>
      </c>
      <c r="B39" s="43"/>
      <c r="C39" s="44"/>
      <c r="D39" s="210" t="s">
        <v>280</v>
      </c>
      <c r="E39" s="43"/>
      <c r="F39" s="43"/>
      <c r="G39" s="44"/>
      <c r="H39" s="210" t="s">
        <v>281</v>
      </c>
      <c r="I39" s="43"/>
      <c r="J39" s="43"/>
      <c r="K39" s="44"/>
      <c r="N39" s="607"/>
      <c r="O39" s="65"/>
      <c r="P39" s="604" t="s">
        <v>1733</v>
      </c>
    </row>
    <row r="40">
      <c r="A40" s="214" t="s">
        <v>1734</v>
      </c>
      <c r="B40" s="43"/>
      <c r="C40" s="44"/>
      <c r="D40" s="214" t="s">
        <v>1735</v>
      </c>
      <c r="E40" s="43"/>
      <c r="F40" s="43"/>
      <c r="G40" s="44"/>
      <c r="H40" s="214" t="s">
        <v>1736</v>
      </c>
      <c r="I40" s="43"/>
      <c r="J40" s="43"/>
      <c r="K40" s="44"/>
      <c r="P40" s="41"/>
    </row>
    <row r="41">
      <c r="A41" s="214" t="s">
        <v>1737</v>
      </c>
      <c r="B41" s="43"/>
      <c r="C41" s="44"/>
      <c r="D41" s="214" t="s">
        <v>1738</v>
      </c>
      <c r="E41" s="43"/>
      <c r="F41" s="43"/>
      <c r="G41" s="44"/>
      <c r="H41" s="214" t="s">
        <v>1739</v>
      </c>
      <c r="I41" s="43"/>
      <c r="J41" s="43"/>
      <c r="K41" s="44"/>
      <c r="N41" s="574" t="s">
        <v>1740</v>
      </c>
      <c r="O41" s="521" t="s">
        <v>11</v>
      </c>
      <c r="P41" s="575" t="s">
        <v>1741</v>
      </c>
    </row>
    <row r="42">
      <c r="A42" s="214" t="s">
        <v>1742</v>
      </c>
      <c r="B42" s="43"/>
      <c r="C42" s="44"/>
      <c r="D42" s="214" t="s">
        <v>1743</v>
      </c>
      <c r="E42" s="43"/>
      <c r="F42" s="43"/>
      <c r="G42" s="44"/>
      <c r="H42" s="214" t="s">
        <v>1744</v>
      </c>
      <c r="I42" s="43"/>
      <c r="J42" s="43"/>
      <c r="K42" s="44"/>
      <c r="N42" s="609"/>
      <c r="P42" s="581" t="s">
        <v>1745</v>
      </c>
    </row>
    <row r="43">
      <c r="A43" s="214" t="s">
        <v>1746</v>
      </c>
      <c r="B43" s="43"/>
      <c r="C43" s="44"/>
      <c r="D43" s="214" t="s">
        <v>1747</v>
      </c>
      <c r="E43" s="43"/>
      <c r="F43" s="43"/>
      <c r="G43" s="44"/>
      <c r="H43" s="214" t="s">
        <v>1748</v>
      </c>
      <c r="I43" s="43"/>
      <c r="J43" s="43"/>
      <c r="K43" s="44"/>
      <c r="N43" s="610"/>
      <c r="O43" s="65"/>
      <c r="P43" s="604" t="s">
        <v>1749</v>
      </c>
    </row>
    <row r="44">
      <c r="A44" s="214" t="s">
        <v>1750</v>
      </c>
      <c r="B44" s="43"/>
      <c r="C44" s="44"/>
      <c r="D44" s="214" t="s">
        <v>1751</v>
      </c>
      <c r="E44" s="43"/>
      <c r="F44" s="43"/>
      <c r="G44" s="44"/>
      <c r="H44" s="214" t="s">
        <v>1752</v>
      </c>
      <c r="I44" s="43"/>
      <c r="J44" s="43"/>
      <c r="K44" s="44"/>
      <c r="N44" s="86"/>
    </row>
    <row r="45">
      <c r="A45" s="214" t="s">
        <v>1753</v>
      </c>
      <c r="B45" s="43"/>
      <c r="C45" s="44"/>
      <c r="D45" s="214" t="s">
        <v>1754</v>
      </c>
      <c r="E45" s="43"/>
      <c r="F45" s="43"/>
      <c r="G45" s="44"/>
      <c r="H45" s="214" t="s">
        <v>1755</v>
      </c>
      <c r="I45" s="43"/>
      <c r="J45" s="43"/>
      <c r="K45" s="44"/>
      <c r="N45" s="611" t="s">
        <v>1756</v>
      </c>
      <c r="O45" s="521" t="s">
        <v>11</v>
      </c>
      <c r="P45" s="612" t="s">
        <v>1757</v>
      </c>
    </row>
    <row r="46">
      <c r="A46" s="214" t="s">
        <v>1758</v>
      </c>
      <c r="B46" s="43"/>
      <c r="C46" s="44"/>
      <c r="D46" s="214" t="s">
        <v>1759</v>
      </c>
      <c r="E46" s="43"/>
      <c r="F46" s="43"/>
      <c r="G46" s="44"/>
      <c r="H46" s="214" t="s">
        <v>1760</v>
      </c>
      <c r="I46" s="43"/>
      <c r="J46" s="43"/>
      <c r="K46" s="44"/>
      <c r="N46" s="613" t="s">
        <v>1761</v>
      </c>
      <c r="O46" s="383"/>
      <c r="P46" s="614" t="s">
        <v>1762</v>
      </c>
    </row>
    <row r="47">
      <c r="A47" s="214" t="s">
        <v>1763</v>
      </c>
      <c r="B47" s="43"/>
      <c r="C47" s="44"/>
      <c r="D47" s="214" t="s">
        <v>1764</v>
      </c>
      <c r="E47" s="43"/>
      <c r="F47" s="43"/>
      <c r="G47" s="44"/>
      <c r="H47" s="214" t="s">
        <v>1765</v>
      </c>
      <c r="I47" s="43"/>
      <c r="J47" s="43"/>
      <c r="K47" s="44"/>
      <c r="N47" s="615"/>
      <c r="O47" s="616"/>
      <c r="P47" s="617" t="s">
        <v>1766</v>
      </c>
    </row>
    <row r="48">
      <c r="A48" s="214" t="s">
        <v>1767</v>
      </c>
      <c r="B48" s="43"/>
      <c r="C48" s="44"/>
      <c r="D48" s="214" t="s">
        <v>1768</v>
      </c>
      <c r="E48" s="43"/>
      <c r="F48" s="43"/>
      <c r="G48" s="44"/>
      <c r="H48" s="214" t="s">
        <v>1769</v>
      </c>
      <c r="I48" s="43"/>
      <c r="J48" s="43"/>
      <c r="K48" s="44"/>
      <c r="N48" s="86"/>
    </row>
    <row r="49">
      <c r="A49" s="214" t="s">
        <v>1770</v>
      </c>
      <c r="B49" s="43"/>
      <c r="C49" s="44"/>
      <c r="D49" s="214" t="s">
        <v>1771</v>
      </c>
      <c r="E49" s="43"/>
      <c r="F49" s="43"/>
      <c r="G49" s="44"/>
      <c r="H49" s="214" t="s">
        <v>1772</v>
      </c>
      <c r="I49" s="43"/>
      <c r="J49" s="43"/>
      <c r="K49" s="44"/>
      <c r="N49" s="611" t="s">
        <v>1773</v>
      </c>
      <c r="O49" s="521" t="s">
        <v>11</v>
      </c>
      <c r="P49" s="575" t="s">
        <v>1774</v>
      </c>
    </row>
    <row r="50">
      <c r="N50" s="613" t="s">
        <v>1775</v>
      </c>
      <c r="P50" s="581" t="s">
        <v>1776</v>
      </c>
    </row>
    <row r="51">
      <c r="A51" s="210" t="s">
        <v>332</v>
      </c>
      <c r="B51" s="43"/>
      <c r="C51" s="43"/>
      <c r="D51" s="44"/>
      <c r="E51" s="210" t="s">
        <v>333</v>
      </c>
      <c r="F51" s="43"/>
      <c r="G51" s="43"/>
      <c r="H51" s="44"/>
      <c r="I51" s="210" t="s">
        <v>334</v>
      </c>
      <c r="J51" s="43"/>
      <c r="K51" s="43"/>
      <c r="L51" s="44"/>
      <c r="N51" s="618"/>
      <c r="P51" s="581" t="s">
        <v>1777</v>
      </c>
    </row>
    <row r="52">
      <c r="A52" s="214" t="s">
        <v>1778</v>
      </c>
      <c r="B52" s="43"/>
      <c r="C52" s="43"/>
      <c r="D52" s="44"/>
      <c r="E52" s="214" t="s">
        <v>1779</v>
      </c>
      <c r="F52" s="43"/>
      <c r="G52" s="43"/>
      <c r="H52" s="44"/>
      <c r="I52" s="214" t="s">
        <v>1780</v>
      </c>
      <c r="J52" s="43"/>
      <c r="K52" s="43"/>
      <c r="L52" s="44"/>
      <c r="N52" s="619"/>
      <c r="O52" s="65"/>
      <c r="P52" s="604" t="s">
        <v>1781</v>
      </c>
    </row>
    <row r="53">
      <c r="A53" s="214" t="s">
        <v>1782</v>
      </c>
      <c r="B53" s="43"/>
      <c r="C53" s="43"/>
      <c r="D53" s="44"/>
      <c r="E53" s="214" t="s">
        <v>1783</v>
      </c>
      <c r="F53" s="43"/>
      <c r="G53" s="43"/>
      <c r="H53" s="44"/>
      <c r="I53" s="214" t="s">
        <v>1784</v>
      </c>
      <c r="J53" s="43"/>
      <c r="K53" s="43"/>
      <c r="L53" s="44"/>
      <c r="N53" s="86"/>
    </row>
    <row r="54">
      <c r="A54" s="214" t="s">
        <v>1785</v>
      </c>
      <c r="B54" s="43"/>
      <c r="C54" s="43"/>
      <c r="D54" s="44"/>
      <c r="E54" s="214" t="s">
        <v>1785</v>
      </c>
      <c r="F54" s="43"/>
      <c r="G54" s="43"/>
      <c r="H54" s="44"/>
      <c r="I54" s="214" t="s">
        <v>1785</v>
      </c>
      <c r="J54" s="43"/>
      <c r="K54" s="43"/>
      <c r="L54" s="44"/>
      <c r="N54" s="611" t="s">
        <v>1786</v>
      </c>
      <c r="O54" s="521" t="s">
        <v>11</v>
      </c>
      <c r="P54" s="575" t="s">
        <v>1787</v>
      </c>
    </row>
    <row r="55">
      <c r="A55" s="214" t="s">
        <v>1788</v>
      </c>
      <c r="B55" s="43"/>
      <c r="C55" s="43"/>
      <c r="D55" s="44"/>
      <c r="E55" s="214" t="s">
        <v>1789</v>
      </c>
      <c r="F55" s="43"/>
      <c r="G55" s="43"/>
      <c r="H55" s="44"/>
      <c r="I55" s="214" t="s">
        <v>1790</v>
      </c>
      <c r="J55" s="43"/>
      <c r="K55" s="43"/>
      <c r="L55" s="44"/>
      <c r="N55" s="620" t="s">
        <v>1791</v>
      </c>
      <c r="O55" s="65"/>
      <c r="P55" s="604" t="s">
        <v>1792</v>
      </c>
    </row>
    <row r="56">
      <c r="A56" s="214" t="s">
        <v>1793</v>
      </c>
      <c r="B56" s="43"/>
      <c r="C56" s="43"/>
      <c r="D56" s="44"/>
      <c r="E56" s="214" t="s">
        <v>1793</v>
      </c>
      <c r="F56" s="43"/>
      <c r="G56" s="43"/>
      <c r="H56" s="44"/>
      <c r="I56" s="214" t="s">
        <v>1793</v>
      </c>
      <c r="J56" s="43"/>
      <c r="K56" s="43"/>
      <c r="L56" s="44"/>
      <c r="N56" s="86"/>
    </row>
    <row r="57">
      <c r="A57" s="214" t="s">
        <v>1794</v>
      </c>
      <c r="B57" s="43"/>
      <c r="C57" s="43"/>
      <c r="D57" s="44"/>
      <c r="E57" s="214" t="s">
        <v>1795</v>
      </c>
      <c r="F57" s="43"/>
      <c r="G57" s="43"/>
      <c r="H57" s="44"/>
      <c r="I57" s="214" t="s">
        <v>1795</v>
      </c>
      <c r="J57" s="43"/>
      <c r="K57" s="43"/>
      <c r="L57" s="44"/>
      <c r="N57" s="611" t="s">
        <v>1796</v>
      </c>
      <c r="O57" s="521" t="s">
        <v>11</v>
      </c>
      <c r="P57" s="575" t="s">
        <v>1797</v>
      </c>
    </row>
    <row r="58">
      <c r="A58" s="214" t="s">
        <v>1798</v>
      </c>
      <c r="B58" s="43"/>
      <c r="C58" s="43"/>
      <c r="D58" s="44"/>
      <c r="E58" s="214" t="s">
        <v>1799</v>
      </c>
      <c r="F58" s="43"/>
      <c r="G58" s="43"/>
      <c r="H58" s="44"/>
      <c r="I58" s="214" t="s">
        <v>1799</v>
      </c>
      <c r="J58" s="43"/>
      <c r="K58" s="43"/>
      <c r="L58" s="44"/>
      <c r="N58" s="618"/>
      <c r="P58" s="581" t="s">
        <v>1800</v>
      </c>
    </row>
    <row r="59">
      <c r="A59" s="214" t="s">
        <v>1801</v>
      </c>
      <c r="B59" s="43"/>
      <c r="C59" s="43"/>
      <c r="D59" s="44"/>
      <c r="E59" s="214" t="s">
        <v>1801</v>
      </c>
      <c r="F59" s="43"/>
      <c r="G59" s="43"/>
      <c r="H59" s="44"/>
      <c r="I59" s="214" t="s">
        <v>1801</v>
      </c>
      <c r="J59" s="43"/>
      <c r="K59" s="43"/>
      <c r="L59" s="44"/>
      <c r="N59" s="619"/>
      <c r="O59" s="65"/>
      <c r="P59" s="604" t="s">
        <v>1802</v>
      </c>
    </row>
    <row r="60">
      <c r="A60" s="488" t="s">
        <v>1803</v>
      </c>
      <c r="B60" s="43"/>
      <c r="C60" s="43"/>
      <c r="D60" s="44"/>
      <c r="E60" s="488" t="s">
        <v>1804</v>
      </c>
      <c r="F60" s="43"/>
      <c r="G60" s="43"/>
      <c r="H60" s="44"/>
      <c r="I60" s="488" t="s">
        <v>1805</v>
      </c>
      <c r="J60" s="43"/>
      <c r="K60" s="43"/>
      <c r="L60" s="44"/>
      <c r="N60" s="86"/>
    </row>
    <row r="61">
      <c r="A61" s="214" t="s">
        <v>1806</v>
      </c>
      <c r="B61" s="43"/>
      <c r="C61" s="43"/>
      <c r="D61" s="44"/>
      <c r="E61" s="214" t="s">
        <v>1772</v>
      </c>
      <c r="F61" s="43"/>
      <c r="G61" s="43"/>
      <c r="H61" s="44"/>
      <c r="I61" s="214" t="s">
        <v>1772</v>
      </c>
      <c r="J61" s="43"/>
      <c r="K61" s="43"/>
      <c r="L61" s="44"/>
      <c r="N61" s="611" t="s">
        <v>884</v>
      </c>
      <c r="O61" s="521" t="s">
        <v>11</v>
      </c>
      <c r="P61" s="575" t="s">
        <v>1807</v>
      </c>
    </row>
    <row r="62">
      <c r="N62" s="613" t="s">
        <v>1808</v>
      </c>
      <c r="P62" s="60"/>
    </row>
    <row r="63">
      <c r="A63" s="79" t="s">
        <v>1809</v>
      </c>
      <c r="N63" s="613" t="s">
        <v>1810</v>
      </c>
      <c r="P63" s="60"/>
    </row>
    <row r="64">
      <c r="N64" s="620" t="s">
        <v>1811</v>
      </c>
      <c r="O64" s="65"/>
      <c r="P64" s="588"/>
    </row>
    <row r="65">
      <c r="N65" s="86"/>
    </row>
    <row r="66">
      <c r="N66" s="611" t="s">
        <v>1812</v>
      </c>
      <c r="O66" s="521" t="s">
        <v>11</v>
      </c>
      <c r="P66" s="575" t="s">
        <v>1813</v>
      </c>
    </row>
    <row r="67">
      <c r="N67" s="618"/>
      <c r="P67" s="581" t="s">
        <v>1814</v>
      </c>
    </row>
    <row r="68">
      <c r="N68" s="619"/>
      <c r="O68" s="65"/>
      <c r="P68" s="604" t="s">
        <v>1471</v>
      </c>
    </row>
    <row r="69">
      <c r="N69" s="86"/>
    </row>
    <row r="70">
      <c r="N70" s="611" t="s">
        <v>1815</v>
      </c>
      <c r="O70" s="521" t="s">
        <v>11</v>
      </c>
      <c r="P70" s="575" t="s">
        <v>1816</v>
      </c>
    </row>
    <row r="71">
      <c r="N71" s="619"/>
      <c r="O71" s="65"/>
      <c r="P71" s="604" t="s">
        <v>1817</v>
      </c>
    </row>
    <row r="72">
      <c r="N72" s="86"/>
    </row>
    <row r="73">
      <c r="N73" s="413" t="s">
        <v>1648</v>
      </c>
      <c r="O73" s="521" t="s">
        <v>11</v>
      </c>
      <c r="P73" s="621" t="s">
        <v>1649</v>
      </c>
    </row>
    <row r="74">
      <c r="N74" s="417" t="s">
        <v>1818</v>
      </c>
      <c r="P74" s="622" t="s">
        <v>1819</v>
      </c>
    </row>
    <row r="75">
      <c r="N75" s="421" t="s">
        <v>1820</v>
      </c>
      <c r="O75" s="97"/>
      <c r="P75" s="342"/>
    </row>
    <row r="76">
      <c r="N76" s="86"/>
    </row>
    <row r="77">
      <c r="N77" s="86"/>
    </row>
    <row r="78">
      <c r="N78" s="86"/>
    </row>
    <row r="79">
      <c r="N79" s="86"/>
    </row>
    <row r="80">
      <c r="N80" s="86"/>
    </row>
    <row r="81">
      <c r="N81" s="86"/>
    </row>
    <row r="82">
      <c r="N82" s="86"/>
    </row>
    <row r="83">
      <c r="N83" s="86"/>
    </row>
    <row r="84">
      <c r="N84" s="86"/>
    </row>
    <row r="85">
      <c r="N85" s="86"/>
    </row>
    <row r="86">
      <c r="N86" s="86"/>
    </row>
    <row r="87">
      <c r="N87" s="86"/>
    </row>
    <row r="88">
      <c r="N88" s="86"/>
    </row>
    <row r="89">
      <c r="N89" s="86"/>
    </row>
    <row r="90">
      <c r="N90" s="86"/>
    </row>
    <row r="91">
      <c r="N91" s="86"/>
    </row>
    <row r="92">
      <c r="N92" s="86"/>
    </row>
    <row r="93">
      <c r="N93" s="86"/>
    </row>
    <row r="94">
      <c r="N94" s="86"/>
    </row>
    <row r="95">
      <c r="N95" s="86"/>
    </row>
    <row r="96">
      <c r="N96" s="86"/>
    </row>
    <row r="97">
      <c r="N97" s="86"/>
    </row>
    <row r="98">
      <c r="N98" s="86"/>
    </row>
    <row r="99">
      <c r="N99" s="86"/>
    </row>
    <row r="100">
      <c r="N100" s="86"/>
    </row>
    <row r="101">
      <c r="N101" s="86"/>
    </row>
    <row r="102">
      <c r="N102" s="86"/>
    </row>
    <row r="103">
      <c r="N103" s="86"/>
    </row>
    <row r="104">
      <c r="N104" s="86"/>
    </row>
    <row r="105">
      <c r="N105" s="86"/>
    </row>
    <row r="106">
      <c r="N106" s="86"/>
    </row>
    <row r="107">
      <c r="N107" s="86"/>
    </row>
    <row r="108">
      <c r="N108" s="86"/>
    </row>
    <row r="109">
      <c r="N109" s="86"/>
    </row>
    <row r="110">
      <c r="N110" s="86"/>
    </row>
    <row r="111">
      <c r="N111" s="86"/>
    </row>
    <row r="112">
      <c r="N112" s="86"/>
    </row>
    <row r="113">
      <c r="N113" s="86"/>
    </row>
    <row r="114">
      <c r="N114" s="86"/>
    </row>
    <row r="115">
      <c r="N115" s="86"/>
    </row>
    <row r="116">
      <c r="N116" s="86"/>
    </row>
    <row r="117">
      <c r="N117" s="86"/>
    </row>
    <row r="118">
      <c r="N118" s="86"/>
    </row>
    <row r="119">
      <c r="N119" s="86"/>
    </row>
    <row r="120">
      <c r="N120" s="86"/>
    </row>
    <row r="121">
      <c r="N121" s="86"/>
    </row>
    <row r="122">
      <c r="N122" s="86"/>
    </row>
    <row r="123">
      <c r="N123" s="86"/>
    </row>
    <row r="124">
      <c r="N124" s="86"/>
    </row>
    <row r="125">
      <c r="N125" s="86"/>
    </row>
    <row r="126">
      <c r="N126" s="86"/>
    </row>
    <row r="127">
      <c r="N127" s="86"/>
    </row>
    <row r="128">
      <c r="N128" s="86"/>
    </row>
    <row r="129">
      <c r="N129" s="86"/>
    </row>
    <row r="130">
      <c r="N130" s="86"/>
    </row>
    <row r="131">
      <c r="N131" s="86"/>
    </row>
    <row r="132">
      <c r="N132" s="86"/>
    </row>
    <row r="133">
      <c r="N133" s="86"/>
    </row>
    <row r="134">
      <c r="N134" s="86"/>
    </row>
    <row r="135">
      <c r="N135" s="86"/>
    </row>
    <row r="136">
      <c r="N136" s="86"/>
    </row>
    <row r="137">
      <c r="N137" s="86"/>
    </row>
    <row r="138">
      <c r="N138" s="86"/>
    </row>
    <row r="139">
      <c r="N139" s="86"/>
    </row>
    <row r="140">
      <c r="N140" s="86"/>
    </row>
    <row r="141">
      <c r="N141" s="86"/>
    </row>
    <row r="142">
      <c r="N142" s="86"/>
    </row>
    <row r="143">
      <c r="N143" s="86"/>
    </row>
    <row r="144">
      <c r="N144" s="86"/>
    </row>
    <row r="145">
      <c r="N145" s="86"/>
    </row>
    <row r="146">
      <c r="N146" s="86"/>
    </row>
    <row r="147">
      <c r="N147" s="86"/>
    </row>
    <row r="148">
      <c r="N148" s="86"/>
    </row>
    <row r="149">
      <c r="N149" s="86"/>
    </row>
    <row r="150">
      <c r="N150" s="86"/>
    </row>
    <row r="151">
      <c r="N151" s="86"/>
    </row>
    <row r="152">
      <c r="N152" s="86"/>
    </row>
    <row r="153">
      <c r="N153" s="86"/>
    </row>
    <row r="154">
      <c r="N154" s="86"/>
    </row>
    <row r="155">
      <c r="N155" s="86"/>
    </row>
    <row r="156">
      <c r="N156" s="86"/>
    </row>
    <row r="157">
      <c r="N157" s="86"/>
    </row>
    <row r="158">
      <c r="N158" s="86"/>
    </row>
    <row r="159">
      <c r="N159" s="86"/>
    </row>
    <row r="160">
      <c r="N160" s="86"/>
    </row>
    <row r="161">
      <c r="N161" s="86"/>
    </row>
    <row r="162">
      <c r="N162" s="86"/>
    </row>
    <row r="163">
      <c r="N163" s="86"/>
    </row>
    <row r="164">
      <c r="N164" s="86"/>
    </row>
    <row r="165">
      <c r="N165" s="86"/>
    </row>
    <row r="166">
      <c r="N166" s="86"/>
    </row>
    <row r="167">
      <c r="N167" s="86"/>
    </row>
    <row r="168">
      <c r="N168" s="86"/>
    </row>
    <row r="169">
      <c r="N169" s="86"/>
    </row>
    <row r="170">
      <c r="N170" s="86"/>
    </row>
    <row r="171">
      <c r="N171" s="86"/>
    </row>
    <row r="172">
      <c r="N172" s="86"/>
    </row>
    <row r="173">
      <c r="N173" s="86"/>
    </row>
    <row r="174">
      <c r="N174" s="86"/>
    </row>
    <row r="175">
      <c r="N175" s="86"/>
    </row>
    <row r="176">
      <c r="N176" s="86"/>
    </row>
    <row r="177">
      <c r="N177" s="86"/>
    </row>
    <row r="178">
      <c r="N178" s="86"/>
    </row>
    <row r="179">
      <c r="N179" s="86"/>
    </row>
    <row r="180">
      <c r="N180" s="86"/>
    </row>
    <row r="181">
      <c r="N181" s="86"/>
    </row>
    <row r="182">
      <c r="N182" s="86"/>
    </row>
    <row r="183">
      <c r="N183" s="86"/>
    </row>
    <row r="184">
      <c r="N184" s="86"/>
    </row>
    <row r="185">
      <c r="N185" s="86"/>
    </row>
    <row r="186">
      <c r="N186" s="86"/>
    </row>
    <row r="187">
      <c r="N187" s="86"/>
    </row>
    <row r="188">
      <c r="N188" s="86"/>
    </row>
    <row r="189">
      <c r="N189" s="86"/>
    </row>
    <row r="190">
      <c r="N190" s="86"/>
    </row>
    <row r="191">
      <c r="N191" s="86"/>
    </row>
    <row r="192">
      <c r="N192" s="86"/>
    </row>
    <row r="193">
      <c r="N193" s="86"/>
    </row>
    <row r="194">
      <c r="N194" s="86"/>
    </row>
    <row r="195">
      <c r="N195" s="86"/>
    </row>
    <row r="196">
      <c r="N196" s="86"/>
    </row>
    <row r="197">
      <c r="N197" s="86"/>
    </row>
    <row r="198">
      <c r="N198" s="86"/>
    </row>
    <row r="199">
      <c r="N199" s="86"/>
    </row>
    <row r="200">
      <c r="N200" s="86"/>
    </row>
    <row r="201">
      <c r="N201" s="86"/>
    </row>
    <row r="202">
      <c r="N202" s="86"/>
    </row>
    <row r="203">
      <c r="N203" s="86"/>
    </row>
    <row r="204">
      <c r="N204" s="86"/>
    </row>
    <row r="205">
      <c r="N205" s="86"/>
    </row>
    <row r="206">
      <c r="N206" s="86"/>
    </row>
    <row r="207">
      <c r="N207" s="86"/>
    </row>
    <row r="208">
      <c r="N208" s="86"/>
    </row>
    <row r="209">
      <c r="N209" s="86"/>
    </row>
    <row r="210">
      <c r="N210" s="86"/>
    </row>
    <row r="211">
      <c r="N211" s="86"/>
    </row>
    <row r="212">
      <c r="N212" s="86"/>
    </row>
    <row r="213">
      <c r="N213" s="86"/>
    </row>
    <row r="214">
      <c r="N214" s="86"/>
    </row>
    <row r="215">
      <c r="N215" s="86"/>
    </row>
    <row r="216">
      <c r="N216" s="86"/>
    </row>
    <row r="217">
      <c r="N217" s="86"/>
    </row>
    <row r="218">
      <c r="N218" s="86"/>
    </row>
    <row r="219">
      <c r="N219" s="86"/>
    </row>
    <row r="220">
      <c r="N220" s="86"/>
    </row>
    <row r="221">
      <c r="N221" s="86"/>
    </row>
    <row r="222">
      <c r="N222" s="86"/>
    </row>
    <row r="223">
      <c r="N223" s="86"/>
    </row>
    <row r="224">
      <c r="N224" s="86"/>
    </row>
    <row r="225">
      <c r="N225" s="86"/>
    </row>
    <row r="226">
      <c r="N226" s="86"/>
    </row>
    <row r="227">
      <c r="N227" s="86"/>
    </row>
    <row r="228">
      <c r="N228" s="86"/>
    </row>
    <row r="229">
      <c r="N229" s="86"/>
    </row>
    <row r="230">
      <c r="N230" s="86"/>
    </row>
    <row r="231">
      <c r="N231" s="86"/>
    </row>
    <row r="232">
      <c r="N232" s="86"/>
    </row>
    <row r="233">
      <c r="N233" s="86"/>
    </row>
    <row r="234">
      <c r="N234" s="86"/>
    </row>
    <row r="235">
      <c r="N235" s="86"/>
    </row>
    <row r="236">
      <c r="N236" s="86"/>
    </row>
    <row r="237">
      <c r="N237" s="86"/>
    </row>
    <row r="238">
      <c r="N238" s="86"/>
    </row>
    <row r="239">
      <c r="N239" s="86"/>
    </row>
    <row r="240">
      <c r="N240" s="86"/>
    </row>
    <row r="241">
      <c r="N241" s="86"/>
    </row>
    <row r="242">
      <c r="N242" s="86"/>
    </row>
    <row r="243">
      <c r="N243" s="86"/>
    </row>
    <row r="244">
      <c r="N244" s="86"/>
    </row>
    <row r="245">
      <c r="N245" s="86"/>
    </row>
    <row r="246">
      <c r="N246" s="86"/>
    </row>
    <row r="247">
      <c r="N247" s="86"/>
    </row>
    <row r="248">
      <c r="N248" s="86"/>
    </row>
    <row r="249">
      <c r="N249" s="86"/>
    </row>
    <row r="250">
      <c r="N250" s="86"/>
    </row>
    <row r="251">
      <c r="N251" s="86"/>
    </row>
    <row r="252">
      <c r="N252" s="86"/>
    </row>
    <row r="253">
      <c r="N253" s="86"/>
    </row>
    <row r="254">
      <c r="N254" s="86"/>
    </row>
    <row r="255">
      <c r="N255" s="86"/>
    </row>
    <row r="256">
      <c r="N256" s="86"/>
    </row>
    <row r="257">
      <c r="N257" s="86"/>
    </row>
    <row r="258">
      <c r="N258" s="86"/>
    </row>
    <row r="259">
      <c r="N259" s="86"/>
    </row>
    <row r="260">
      <c r="N260" s="86"/>
    </row>
    <row r="261">
      <c r="N261" s="86"/>
    </row>
    <row r="262">
      <c r="N262" s="86"/>
    </row>
    <row r="263">
      <c r="N263" s="86"/>
    </row>
    <row r="264">
      <c r="N264" s="86"/>
    </row>
    <row r="265">
      <c r="N265" s="86"/>
    </row>
    <row r="266">
      <c r="N266" s="86"/>
    </row>
    <row r="267">
      <c r="N267" s="86"/>
    </row>
    <row r="268">
      <c r="N268" s="86"/>
    </row>
    <row r="269">
      <c r="N269" s="86"/>
    </row>
    <row r="270">
      <c r="N270" s="86"/>
    </row>
    <row r="271">
      <c r="N271" s="86"/>
    </row>
    <row r="272">
      <c r="N272" s="86"/>
    </row>
    <row r="273">
      <c r="N273" s="86"/>
    </row>
    <row r="274">
      <c r="N274" s="86"/>
    </row>
    <row r="275">
      <c r="N275" s="86"/>
    </row>
    <row r="276">
      <c r="N276" s="86"/>
    </row>
    <row r="277">
      <c r="N277" s="86"/>
    </row>
    <row r="278">
      <c r="N278" s="86"/>
    </row>
    <row r="279">
      <c r="N279" s="86"/>
    </row>
    <row r="280">
      <c r="N280" s="86"/>
    </row>
    <row r="281">
      <c r="N281" s="86"/>
    </row>
    <row r="282">
      <c r="N282" s="86"/>
    </row>
    <row r="283">
      <c r="N283" s="86"/>
    </row>
    <row r="284">
      <c r="N284" s="86"/>
    </row>
    <row r="285">
      <c r="N285" s="86"/>
    </row>
    <row r="286">
      <c r="N286" s="86"/>
    </row>
    <row r="287">
      <c r="N287" s="86"/>
    </row>
    <row r="288">
      <c r="N288" s="86"/>
    </row>
    <row r="289">
      <c r="N289" s="86"/>
    </row>
    <row r="290">
      <c r="N290" s="86"/>
    </row>
    <row r="291">
      <c r="N291" s="86"/>
    </row>
    <row r="292">
      <c r="N292" s="86"/>
    </row>
    <row r="293">
      <c r="N293" s="86"/>
    </row>
    <row r="294">
      <c r="N294" s="86"/>
    </row>
    <row r="295">
      <c r="N295" s="86"/>
    </row>
    <row r="296">
      <c r="N296" s="86"/>
    </row>
    <row r="297">
      <c r="N297" s="86"/>
    </row>
    <row r="298">
      <c r="N298" s="86"/>
    </row>
    <row r="299">
      <c r="N299" s="86"/>
    </row>
    <row r="300">
      <c r="N300" s="86"/>
    </row>
    <row r="301">
      <c r="N301" s="86"/>
    </row>
    <row r="302">
      <c r="N302" s="86"/>
    </row>
    <row r="303">
      <c r="N303" s="86"/>
    </row>
    <row r="304">
      <c r="N304" s="86"/>
    </row>
    <row r="305">
      <c r="N305" s="86"/>
    </row>
    <row r="306">
      <c r="N306" s="86"/>
    </row>
    <row r="307">
      <c r="N307" s="86"/>
    </row>
    <row r="308">
      <c r="N308" s="86"/>
    </row>
    <row r="309">
      <c r="N309" s="86"/>
    </row>
    <row r="310">
      <c r="N310" s="86"/>
    </row>
    <row r="311">
      <c r="N311" s="86"/>
    </row>
    <row r="312">
      <c r="N312" s="86"/>
    </row>
    <row r="313">
      <c r="N313" s="86"/>
    </row>
    <row r="314">
      <c r="N314" s="86"/>
    </row>
    <row r="315">
      <c r="N315" s="86"/>
    </row>
    <row r="316">
      <c r="N316" s="86"/>
    </row>
    <row r="317">
      <c r="N317" s="86"/>
    </row>
    <row r="318">
      <c r="N318" s="86"/>
    </row>
    <row r="319">
      <c r="N319" s="86"/>
    </row>
    <row r="320">
      <c r="N320" s="86"/>
    </row>
    <row r="321">
      <c r="N321" s="86"/>
    </row>
    <row r="322">
      <c r="N322" s="86"/>
    </row>
    <row r="323">
      <c r="N323" s="86"/>
    </row>
    <row r="324">
      <c r="N324" s="86"/>
    </row>
    <row r="325">
      <c r="N325" s="86"/>
    </row>
    <row r="326">
      <c r="N326" s="86"/>
    </row>
    <row r="327">
      <c r="N327" s="86"/>
    </row>
    <row r="328">
      <c r="N328" s="86"/>
    </row>
    <row r="329">
      <c r="N329" s="86"/>
    </row>
    <row r="330">
      <c r="N330" s="86"/>
    </row>
    <row r="331">
      <c r="N331" s="86"/>
    </row>
    <row r="332">
      <c r="N332" s="86"/>
    </row>
    <row r="333">
      <c r="N333" s="86"/>
    </row>
    <row r="334">
      <c r="N334" s="86"/>
    </row>
    <row r="335">
      <c r="N335" s="86"/>
    </row>
    <row r="336">
      <c r="N336" s="86"/>
    </row>
    <row r="337">
      <c r="N337" s="86"/>
    </row>
    <row r="338">
      <c r="N338" s="86"/>
    </row>
    <row r="339">
      <c r="N339" s="86"/>
    </row>
    <row r="340">
      <c r="N340" s="86"/>
    </row>
    <row r="341">
      <c r="N341" s="86"/>
    </row>
    <row r="342">
      <c r="N342" s="86"/>
    </row>
    <row r="343">
      <c r="N343" s="86"/>
    </row>
    <row r="344">
      <c r="N344" s="86"/>
    </row>
    <row r="345">
      <c r="N345" s="86"/>
    </row>
    <row r="346">
      <c r="N346" s="86"/>
    </row>
    <row r="347">
      <c r="N347" s="86"/>
    </row>
    <row r="348">
      <c r="N348" s="86"/>
    </row>
    <row r="349">
      <c r="N349" s="86"/>
    </row>
    <row r="350">
      <c r="N350" s="86"/>
    </row>
    <row r="351">
      <c r="N351" s="86"/>
    </row>
    <row r="352">
      <c r="N352" s="86"/>
    </row>
    <row r="353">
      <c r="N353" s="86"/>
    </row>
    <row r="354">
      <c r="N354" s="86"/>
    </row>
    <row r="355">
      <c r="N355" s="86"/>
    </row>
    <row r="356">
      <c r="N356" s="86"/>
    </row>
    <row r="357">
      <c r="N357" s="86"/>
    </row>
    <row r="358">
      <c r="N358" s="86"/>
    </row>
    <row r="359">
      <c r="N359" s="86"/>
    </row>
    <row r="360">
      <c r="N360" s="86"/>
    </row>
    <row r="361">
      <c r="N361" s="86"/>
    </row>
    <row r="362">
      <c r="N362" s="86"/>
    </row>
    <row r="363">
      <c r="N363" s="86"/>
    </row>
    <row r="364">
      <c r="N364" s="86"/>
    </row>
    <row r="365">
      <c r="N365" s="86"/>
    </row>
    <row r="366">
      <c r="N366" s="86"/>
    </row>
    <row r="367">
      <c r="N367" s="86"/>
    </row>
    <row r="368">
      <c r="N368" s="86"/>
    </row>
    <row r="369">
      <c r="N369" s="86"/>
    </row>
    <row r="370">
      <c r="N370" s="86"/>
    </row>
    <row r="371">
      <c r="N371" s="86"/>
    </row>
    <row r="372">
      <c r="N372" s="86"/>
    </row>
    <row r="373">
      <c r="N373" s="86"/>
    </row>
    <row r="374">
      <c r="N374" s="86"/>
    </row>
    <row r="375">
      <c r="N375" s="86"/>
    </row>
    <row r="376">
      <c r="N376" s="86"/>
    </row>
    <row r="377">
      <c r="N377" s="86"/>
    </row>
    <row r="378">
      <c r="N378" s="86"/>
    </row>
    <row r="379">
      <c r="N379" s="86"/>
    </row>
    <row r="380">
      <c r="N380" s="86"/>
    </row>
    <row r="381">
      <c r="N381" s="86"/>
    </row>
    <row r="382">
      <c r="N382" s="86"/>
    </row>
    <row r="383">
      <c r="N383" s="86"/>
    </row>
    <row r="384">
      <c r="N384" s="86"/>
    </row>
    <row r="385">
      <c r="N385" s="86"/>
    </row>
    <row r="386">
      <c r="N386" s="86"/>
    </row>
    <row r="387">
      <c r="N387" s="86"/>
    </row>
    <row r="388">
      <c r="N388" s="86"/>
    </row>
    <row r="389">
      <c r="N389" s="86"/>
    </row>
    <row r="390">
      <c r="N390" s="86"/>
    </row>
    <row r="391">
      <c r="N391" s="86"/>
    </row>
    <row r="392">
      <c r="N392" s="86"/>
    </row>
    <row r="393">
      <c r="N393" s="86"/>
    </row>
    <row r="394">
      <c r="N394" s="86"/>
    </row>
    <row r="395">
      <c r="N395" s="86"/>
    </row>
    <row r="396">
      <c r="N396" s="86"/>
    </row>
    <row r="397">
      <c r="N397" s="86"/>
    </row>
    <row r="398">
      <c r="N398" s="86"/>
    </row>
    <row r="399">
      <c r="N399" s="86"/>
    </row>
    <row r="400">
      <c r="N400" s="86"/>
    </row>
    <row r="401">
      <c r="N401" s="86"/>
    </row>
    <row r="402">
      <c r="N402" s="86"/>
    </row>
    <row r="403">
      <c r="N403" s="86"/>
    </row>
    <row r="404">
      <c r="N404" s="86"/>
    </row>
    <row r="405">
      <c r="N405" s="86"/>
    </row>
    <row r="406">
      <c r="N406" s="86"/>
    </row>
    <row r="407">
      <c r="N407" s="86"/>
    </row>
    <row r="408">
      <c r="N408" s="86"/>
    </row>
    <row r="409">
      <c r="N409" s="86"/>
    </row>
    <row r="410">
      <c r="N410" s="86"/>
    </row>
    <row r="411">
      <c r="N411" s="86"/>
    </row>
    <row r="412">
      <c r="N412" s="86"/>
    </row>
    <row r="413">
      <c r="N413" s="86"/>
    </row>
    <row r="414">
      <c r="N414" s="86"/>
    </row>
    <row r="415">
      <c r="N415" s="86"/>
    </row>
    <row r="416">
      <c r="N416" s="86"/>
    </row>
    <row r="417">
      <c r="N417" s="86"/>
    </row>
    <row r="418">
      <c r="N418" s="86"/>
    </row>
    <row r="419">
      <c r="N419" s="86"/>
    </row>
    <row r="420">
      <c r="N420" s="86"/>
    </row>
    <row r="421">
      <c r="N421" s="86"/>
    </row>
    <row r="422">
      <c r="N422" s="86"/>
    </row>
    <row r="423">
      <c r="N423" s="86"/>
    </row>
    <row r="424">
      <c r="N424" s="86"/>
    </row>
    <row r="425">
      <c r="N425" s="86"/>
    </row>
    <row r="426">
      <c r="N426" s="86"/>
    </row>
    <row r="427">
      <c r="N427" s="86"/>
    </row>
    <row r="428">
      <c r="N428" s="86"/>
    </row>
    <row r="429">
      <c r="N429" s="86"/>
    </row>
    <row r="430">
      <c r="N430" s="86"/>
    </row>
    <row r="431">
      <c r="N431" s="86"/>
    </row>
    <row r="432">
      <c r="N432" s="86"/>
    </row>
    <row r="433">
      <c r="N433" s="86"/>
    </row>
    <row r="434">
      <c r="N434" s="86"/>
    </row>
    <row r="435">
      <c r="N435" s="86"/>
    </row>
    <row r="436">
      <c r="N436" s="86"/>
    </row>
    <row r="437">
      <c r="N437" s="86"/>
    </row>
    <row r="438">
      <c r="N438" s="86"/>
    </row>
    <row r="439">
      <c r="N439" s="86"/>
    </row>
    <row r="440">
      <c r="N440" s="86"/>
    </row>
    <row r="441">
      <c r="N441" s="86"/>
    </row>
    <row r="442">
      <c r="N442" s="86"/>
    </row>
    <row r="443">
      <c r="N443" s="86"/>
    </row>
    <row r="444">
      <c r="N444" s="86"/>
    </row>
    <row r="445">
      <c r="N445" s="86"/>
    </row>
    <row r="446">
      <c r="N446" s="86"/>
    </row>
    <row r="447">
      <c r="N447" s="86"/>
    </row>
    <row r="448">
      <c r="N448" s="86"/>
    </row>
    <row r="449">
      <c r="N449" s="86"/>
    </row>
    <row r="450">
      <c r="N450" s="86"/>
    </row>
    <row r="451">
      <c r="N451" s="86"/>
    </row>
    <row r="452">
      <c r="N452" s="86"/>
    </row>
    <row r="453">
      <c r="N453" s="86"/>
    </row>
    <row r="454">
      <c r="N454" s="86"/>
    </row>
    <row r="455">
      <c r="N455" s="86"/>
    </row>
    <row r="456">
      <c r="N456" s="86"/>
    </row>
    <row r="457">
      <c r="N457" s="86"/>
    </row>
    <row r="458">
      <c r="N458" s="86"/>
    </row>
    <row r="459">
      <c r="N459" s="86"/>
    </row>
    <row r="460">
      <c r="N460" s="86"/>
    </row>
    <row r="461">
      <c r="N461" s="86"/>
    </row>
    <row r="462">
      <c r="N462" s="86"/>
    </row>
    <row r="463">
      <c r="N463" s="86"/>
    </row>
    <row r="464">
      <c r="N464" s="86"/>
    </row>
    <row r="465">
      <c r="N465" s="86"/>
    </row>
    <row r="466">
      <c r="N466" s="86"/>
    </row>
    <row r="467">
      <c r="N467" s="86"/>
    </row>
    <row r="468">
      <c r="N468" s="86"/>
    </row>
    <row r="469">
      <c r="N469" s="86"/>
    </row>
    <row r="470">
      <c r="N470" s="86"/>
    </row>
    <row r="471">
      <c r="N471" s="86"/>
    </row>
    <row r="472">
      <c r="N472" s="86"/>
    </row>
    <row r="473">
      <c r="N473" s="86"/>
    </row>
    <row r="474">
      <c r="N474" s="86"/>
    </row>
    <row r="475">
      <c r="N475" s="86"/>
    </row>
    <row r="476">
      <c r="N476" s="86"/>
    </row>
    <row r="477">
      <c r="N477" s="86"/>
    </row>
    <row r="478">
      <c r="N478" s="86"/>
    </row>
    <row r="479">
      <c r="N479" s="86"/>
    </row>
    <row r="480">
      <c r="N480" s="86"/>
    </row>
    <row r="481">
      <c r="N481" s="86"/>
    </row>
    <row r="482">
      <c r="N482" s="86"/>
    </row>
    <row r="483">
      <c r="N483" s="86"/>
    </row>
    <row r="484">
      <c r="N484" s="86"/>
    </row>
    <row r="485">
      <c r="N485" s="86"/>
    </row>
    <row r="486">
      <c r="N486" s="86"/>
    </row>
    <row r="487">
      <c r="N487" s="86"/>
    </row>
    <row r="488">
      <c r="N488" s="86"/>
    </row>
    <row r="489">
      <c r="N489" s="86"/>
    </row>
    <row r="490">
      <c r="N490" s="86"/>
    </row>
    <row r="491">
      <c r="N491" s="86"/>
    </row>
    <row r="492">
      <c r="N492" s="86"/>
    </row>
    <row r="493">
      <c r="N493" s="86"/>
    </row>
    <row r="494">
      <c r="N494" s="86"/>
    </row>
    <row r="495">
      <c r="N495" s="86"/>
    </row>
    <row r="496">
      <c r="N496" s="86"/>
    </row>
    <row r="497">
      <c r="N497" s="86"/>
    </row>
    <row r="498">
      <c r="N498" s="86"/>
    </row>
    <row r="499">
      <c r="N499" s="86"/>
    </row>
    <row r="500">
      <c r="N500" s="86"/>
    </row>
    <row r="501">
      <c r="N501" s="86"/>
    </row>
    <row r="502">
      <c r="N502" s="86"/>
    </row>
    <row r="503">
      <c r="N503" s="86"/>
    </row>
    <row r="504">
      <c r="N504" s="86"/>
    </row>
    <row r="505">
      <c r="N505" s="86"/>
    </row>
    <row r="506">
      <c r="N506" s="86"/>
    </row>
    <row r="507">
      <c r="N507" s="86"/>
    </row>
    <row r="508">
      <c r="N508" s="86"/>
    </row>
    <row r="509">
      <c r="N509" s="86"/>
    </row>
    <row r="510">
      <c r="N510" s="86"/>
    </row>
    <row r="511">
      <c r="N511" s="86"/>
    </row>
    <row r="512">
      <c r="N512" s="86"/>
    </row>
    <row r="513">
      <c r="N513" s="86"/>
    </row>
    <row r="514">
      <c r="N514" s="86"/>
    </row>
    <row r="515">
      <c r="N515" s="86"/>
    </row>
    <row r="516">
      <c r="N516" s="86"/>
    </row>
    <row r="517">
      <c r="N517" s="86"/>
    </row>
    <row r="518">
      <c r="N518" s="86"/>
    </row>
    <row r="519">
      <c r="N519" s="86"/>
    </row>
    <row r="520">
      <c r="N520" s="86"/>
    </row>
    <row r="521">
      <c r="N521" s="86"/>
    </row>
    <row r="522">
      <c r="N522" s="86"/>
    </row>
    <row r="523">
      <c r="N523" s="86"/>
    </row>
    <row r="524">
      <c r="N524" s="86"/>
    </row>
    <row r="525">
      <c r="N525" s="86"/>
    </row>
    <row r="526">
      <c r="N526" s="86"/>
    </row>
    <row r="527">
      <c r="N527" s="86"/>
    </row>
    <row r="528">
      <c r="N528" s="86"/>
    </row>
    <row r="529">
      <c r="N529" s="86"/>
    </row>
    <row r="530">
      <c r="N530" s="86"/>
    </row>
    <row r="531">
      <c r="N531" s="86"/>
    </row>
    <row r="532">
      <c r="N532" s="86"/>
    </row>
    <row r="533">
      <c r="N533" s="86"/>
    </row>
    <row r="534">
      <c r="N534" s="86"/>
    </row>
    <row r="535">
      <c r="N535" s="86"/>
    </row>
    <row r="536">
      <c r="N536" s="86"/>
    </row>
    <row r="537">
      <c r="N537" s="86"/>
    </row>
    <row r="538">
      <c r="N538" s="86"/>
    </row>
    <row r="539">
      <c r="N539" s="86"/>
    </row>
    <row r="540">
      <c r="N540" s="86"/>
    </row>
    <row r="541">
      <c r="N541" s="86"/>
    </row>
    <row r="542">
      <c r="N542" s="86"/>
    </row>
    <row r="543">
      <c r="N543" s="86"/>
    </row>
    <row r="544">
      <c r="N544" s="86"/>
    </row>
    <row r="545">
      <c r="N545" s="86"/>
    </row>
    <row r="546">
      <c r="N546" s="86"/>
    </row>
    <row r="547">
      <c r="N547" s="86"/>
    </row>
    <row r="548">
      <c r="N548" s="86"/>
    </row>
    <row r="549">
      <c r="N549" s="86"/>
    </row>
    <row r="550">
      <c r="N550" s="86"/>
    </row>
    <row r="551">
      <c r="N551" s="86"/>
    </row>
    <row r="552">
      <c r="N552" s="86"/>
    </row>
    <row r="553">
      <c r="N553" s="86"/>
    </row>
    <row r="554">
      <c r="N554" s="86"/>
    </row>
    <row r="555">
      <c r="N555" s="86"/>
    </row>
    <row r="556">
      <c r="N556" s="86"/>
    </row>
    <row r="557">
      <c r="N557" s="86"/>
    </row>
    <row r="558">
      <c r="N558" s="86"/>
    </row>
    <row r="559">
      <c r="N559" s="86"/>
    </row>
    <row r="560">
      <c r="N560" s="86"/>
    </row>
    <row r="561">
      <c r="N561" s="86"/>
    </row>
    <row r="562">
      <c r="N562" s="86"/>
    </row>
    <row r="563">
      <c r="N563" s="86"/>
    </row>
    <row r="564">
      <c r="N564" s="86"/>
    </row>
    <row r="565">
      <c r="N565" s="86"/>
    </row>
    <row r="566">
      <c r="N566" s="86"/>
    </row>
    <row r="567">
      <c r="N567" s="86"/>
    </row>
    <row r="568">
      <c r="N568" s="86"/>
    </row>
    <row r="569">
      <c r="N569" s="86"/>
    </row>
    <row r="570">
      <c r="N570" s="86"/>
    </row>
    <row r="571">
      <c r="N571" s="86"/>
    </row>
    <row r="572">
      <c r="N572" s="86"/>
    </row>
    <row r="573">
      <c r="N573" s="86"/>
    </row>
    <row r="574">
      <c r="N574" s="86"/>
    </row>
    <row r="575">
      <c r="N575" s="86"/>
    </row>
    <row r="576">
      <c r="N576" s="86"/>
    </row>
    <row r="577">
      <c r="N577" s="86"/>
    </row>
    <row r="578">
      <c r="N578" s="86"/>
    </row>
    <row r="579">
      <c r="N579" s="86"/>
    </row>
    <row r="580">
      <c r="N580" s="86"/>
    </row>
    <row r="581">
      <c r="N581" s="86"/>
    </row>
    <row r="582">
      <c r="N582" s="86"/>
    </row>
    <row r="583">
      <c r="N583" s="86"/>
    </row>
    <row r="584">
      <c r="N584" s="86"/>
    </row>
    <row r="585">
      <c r="N585" s="86"/>
    </row>
    <row r="586">
      <c r="N586" s="86"/>
    </row>
    <row r="587">
      <c r="N587" s="86"/>
    </row>
    <row r="588">
      <c r="N588" s="86"/>
    </row>
    <row r="589">
      <c r="N589" s="86"/>
    </row>
    <row r="590">
      <c r="N590" s="86"/>
    </row>
    <row r="591">
      <c r="N591" s="86"/>
    </row>
    <row r="592">
      <c r="N592" s="86"/>
    </row>
    <row r="593">
      <c r="N593" s="86"/>
    </row>
    <row r="594">
      <c r="N594" s="86"/>
    </row>
    <row r="595">
      <c r="N595" s="86"/>
    </row>
    <row r="596">
      <c r="N596" s="86"/>
    </row>
    <row r="597">
      <c r="N597" s="86"/>
    </row>
    <row r="598">
      <c r="N598" s="86"/>
    </row>
    <row r="599">
      <c r="N599" s="86"/>
    </row>
    <row r="600">
      <c r="N600" s="86"/>
    </row>
    <row r="601">
      <c r="N601" s="86"/>
    </row>
    <row r="602">
      <c r="N602" s="86"/>
    </row>
    <row r="603">
      <c r="N603" s="86"/>
    </row>
    <row r="604">
      <c r="N604" s="86"/>
    </row>
    <row r="605">
      <c r="N605" s="86"/>
    </row>
    <row r="606">
      <c r="N606" s="86"/>
    </row>
    <row r="607">
      <c r="N607" s="86"/>
    </row>
    <row r="608">
      <c r="N608" s="86"/>
    </row>
    <row r="609">
      <c r="N609" s="86"/>
    </row>
    <row r="610">
      <c r="N610" s="86"/>
    </row>
    <row r="611">
      <c r="N611" s="86"/>
    </row>
    <row r="612">
      <c r="N612" s="86"/>
    </row>
    <row r="613">
      <c r="N613" s="86"/>
    </row>
    <row r="614">
      <c r="N614" s="86"/>
    </row>
    <row r="615">
      <c r="N615" s="86"/>
    </row>
    <row r="616">
      <c r="N616" s="86"/>
    </row>
    <row r="617">
      <c r="N617" s="86"/>
    </row>
    <row r="618">
      <c r="N618" s="86"/>
    </row>
    <row r="619">
      <c r="N619" s="86"/>
    </row>
    <row r="620">
      <c r="N620" s="86"/>
    </row>
    <row r="621">
      <c r="N621" s="86"/>
    </row>
    <row r="622">
      <c r="N622" s="86"/>
    </row>
    <row r="623">
      <c r="N623" s="86"/>
    </row>
    <row r="624">
      <c r="N624" s="86"/>
    </row>
    <row r="625">
      <c r="N625" s="86"/>
    </row>
    <row r="626">
      <c r="N626" s="86"/>
    </row>
    <row r="627">
      <c r="N627" s="86"/>
    </row>
    <row r="628">
      <c r="N628" s="86"/>
    </row>
    <row r="629">
      <c r="N629" s="86"/>
    </row>
    <row r="630">
      <c r="N630" s="86"/>
    </row>
    <row r="631">
      <c r="N631" s="86"/>
    </row>
    <row r="632">
      <c r="N632" s="86"/>
    </row>
    <row r="633">
      <c r="N633" s="86"/>
    </row>
    <row r="634">
      <c r="N634" s="86"/>
    </row>
    <row r="635">
      <c r="N635" s="86"/>
    </row>
    <row r="636">
      <c r="N636" s="86"/>
    </row>
    <row r="637">
      <c r="N637" s="86"/>
    </row>
    <row r="638">
      <c r="N638" s="86"/>
    </row>
    <row r="639">
      <c r="N639" s="86"/>
    </row>
    <row r="640">
      <c r="N640" s="86"/>
    </row>
    <row r="641">
      <c r="N641" s="86"/>
    </row>
    <row r="642">
      <c r="N642" s="86"/>
    </row>
    <row r="643">
      <c r="N643" s="86"/>
    </row>
    <row r="644">
      <c r="N644" s="86"/>
    </row>
    <row r="645">
      <c r="N645" s="86"/>
    </row>
    <row r="646">
      <c r="N646" s="86"/>
    </row>
    <row r="647">
      <c r="N647" s="86"/>
    </row>
    <row r="648">
      <c r="N648" s="86"/>
    </row>
    <row r="649">
      <c r="N649" s="86"/>
    </row>
    <row r="650">
      <c r="N650" s="86"/>
    </row>
    <row r="651">
      <c r="N651" s="86"/>
    </row>
    <row r="652">
      <c r="N652" s="86"/>
    </row>
    <row r="653">
      <c r="N653" s="86"/>
    </row>
    <row r="654">
      <c r="N654" s="86"/>
    </row>
    <row r="655">
      <c r="N655" s="86"/>
    </row>
    <row r="656">
      <c r="N656" s="86"/>
    </row>
    <row r="657">
      <c r="N657" s="86"/>
    </row>
    <row r="658">
      <c r="N658" s="86"/>
    </row>
    <row r="659">
      <c r="N659" s="86"/>
    </row>
    <row r="660">
      <c r="N660" s="86"/>
    </row>
    <row r="661">
      <c r="N661" s="86"/>
    </row>
    <row r="662">
      <c r="N662" s="86"/>
    </row>
    <row r="663">
      <c r="N663" s="86"/>
    </row>
    <row r="664">
      <c r="N664" s="86"/>
    </row>
    <row r="665">
      <c r="N665" s="86"/>
    </row>
    <row r="666">
      <c r="N666" s="86"/>
    </row>
    <row r="667">
      <c r="N667" s="86"/>
    </row>
    <row r="668">
      <c r="N668" s="86"/>
    </row>
    <row r="669">
      <c r="N669" s="86"/>
    </row>
    <row r="670">
      <c r="N670" s="86"/>
    </row>
    <row r="671">
      <c r="N671" s="86"/>
    </row>
    <row r="672">
      <c r="N672" s="86"/>
    </row>
    <row r="673">
      <c r="N673" s="86"/>
    </row>
    <row r="674">
      <c r="N674" s="86"/>
    </row>
    <row r="675">
      <c r="N675" s="86"/>
    </row>
    <row r="676">
      <c r="N676" s="86"/>
    </row>
    <row r="677">
      <c r="N677" s="86"/>
    </row>
    <row r="678">
      <c r="N678" s="86"/>
    </row>
    <row r="679">
      <c r="N679" s="86"/>
    </row>
    <row r="680">
      <c r="N680" s="86"/>
    </row>
    <row r="681">
      <c r="N681" s="86"/>
    </row>
    <row r="682">
      <c r="N682" s="86"/>
    </row>
    <row r="683">
      <c r="N683" s="86"/>
    </row>
    <row r="684">
      <c r="N684" s="86"/>
    </row>
    <row r="685">
      <c r="N685" s="86"/>
    </row>
    <row r="686">
      <c r="N686" s="86"/>
    </row>
    <row r="687">
      <c r="N687" s="86"/>
    </row>
    <row r="688">
      <c r="N688" s="86"/>
    </row>
    <row r="689">
      <c r="N689" s="86"/>
    </row>
    <row r="690">
      <c r="N690" s="86"/>
    </row>
    <row r="691">
      <c r="N691" s="86"/>
    </row>
    <row r="692">
      <c r="N692" s="86"/>
    </row>
    <row r="693">
      <c r="N693" s="86"/>
    </row>
    <row r="694">
      <c r="N694" s="86"/>
    </row>
    <row r="695">
      <c r="N695" s="86"/>
    </row>
    <row r="696">
      <c r="N696" s="86"/>
    </row>
    <row r="697">
      <c r="N697" s="86"/>
    </row>
    <row r="698">
      <c r="N698" s="86"/>
    </row>
    <row r="699">
      <c r="N699" s="86"/>
    </row>
    <row r="700">
      <c r="N700" s="86"/>
    </row>
    <row r="701">
      <c r="N701" s="86"/>
    </row>
    <row r="702">
      <c r="N702" s="86"/>
    </row>
    <row r="703">
      <c r="N703" s="86"/>
    </row>
    <row r="704">
      <c r="N704" s="86"/>
    </row>
    <row r="705">
      <c r="N705" s="86"/>
    </row>
    <row r="706">
      <c r="N706" s="86"/>
    </row>
    <row r="707">
      <c r="N707" s="86"/>
    </row>
    <row r="708">
      <c r="N708" s="86"/>
    </row>
    <row r="709">
      <c r="N709" s="86"/>
    </row>
    <row r="710">
      <c r="N710" s="86"/>
    </row>
    <row r="711">
      <c r="N711" s="86"/>
    </row>
    <row r="712">
      <c r="N712" s="86"/>
    </row>
    <row r="713">
      <c r="N713" s="86"/>
    </row>
    <row r="714">
      <c r="N714" s="86"/>
    </row>
    <row r="715">
      <c r="N715" s="86"/>
    </row>
    <row r="716">
      <c r="N716" s="86"/>
    </row>
    <row r="717">
      <c r="N717" s="86"/>
    </row>
    <row r="718">
      <c r="N718" s="86"/>
    </row>
    <row r="719">
      <c r="N719" s="86"/>
    </row>
    <row r="720">
      <c r="N720" s="86"/>
    </row>
    <row r="721">
      <c r="N721" s="86"/>
    </row>
    <row r="722">
      <c r="N722" s="86"/>
    </row>
    <row r="723">
      <c r="N723" s="86"/>
    </row>
    <row r="724">
      <c r="N724" s="86"/>
    </row>
    <row r="725">
      <c r="N725" s="86"/>
    </row>
    <row r="726">
      <c r="N726" s="86"/>
    </row>
    <row r="727">
      <c r="N727" s="86"/>
    </row>
    <row r="728">
      <c r="N728" s="86"/>
    </row>
    <row r="729">
      <c r="N729" s="86"/>
    </row>
    <row r="730">
      <c r="N730" s="86"/>
    </row>
    <row r="731">
      <c r="N731" s="86"/>
    </row>
    <row r="732">
      <c r="N732" s="86"/>
    </row>
    <row r="733">
      <c r="N733" s="86"/>
    </row>
    <row r="734">
      <c r="N734" s="86"/>
    </row>
    <row r="735">
      <c r="N735" s="86"/>
    </row>
    <row r="736">
      <c r="N736" s="86"/>
    </row>
    <row r="737">
      <c r="N737" s="86"/>
    </row>
    <row r="738">
      <c r="N738" s="86"/>
    </row>
    <row r="739">
      <c r="N739" s="86"/>
    </row>
    <row r="740">
      <c r="N740" s="86"/>
    </row>
    <row r="741">
      <c r="N741" s="86"/>
    </row>
    <row r="742">
      <c r="N742" s="86"/>
    </row>
    <row r="743">
      <c r="N743" s="86"/>
    </row>
    <row r="744">
      <c r="N744" s="86"/>
    </row>
    <row r="745">
      <c r="N745" s="86"/>
    </row>
    <row r="746">
      <c r="N746" s="86"/>
    </row>
    <row r="747">
      <c r="N747" s="86"/>
    </row>
    <row r="748">
      <c r="N748" s="86"/>
    </row>
    <row r="749">
      <c r="N749" s="86"/>
    </row>
    <row r="750">
      <c r="N750" s="86"/>
    </row>
    <row r="751">
      <c r="N751" s="86"/>
    </row>
    <row r="752">
      <c r="N752" s="86"/>
    </row>
    <row r="753">
      <c r="N753" s="86"/>
    </row>
    <row r="754">
      <c r="N754" s="86"/>
    </row>
    <row r="755">
      <c r="N755" s="86"/>
    </row>
    <row r="756">
      <c r="N756" s="86"/>
    </row>
    <row r="757">
      <c r="N757" s="86"/>
    </row>
    <row r="758">
      <c r="N758" s="86"/>
    </row>
    <row r="759">
      <c r="N759" s="86"/>
    </row>
    <row r="760">
      <c r="N760" s="86"/>
    </row>
    <row r="761">
      <c r="N761" s="86"/>
    </row>
    <row r="762">
      <c r="N762" s="86"/>
    </row>
    <row r="763">
      <c r="N763" s="86"/>
    </row>
    <row r="764">
      <c r="N764" s="86"/>
    </row>
    <row r="765">
      <c r="N765" s="86"/>
    </row>
    <row r="766">
      <c r="N766" s="86"/>
    </row>
    <row r="767">
      <c r="N767" s="86"/>
    </row>
    <row r="768">
      <c r="N768" s="86"/>
    </row>
    <row r="769">
      <c r="N769" s="86"/>
    </row>
    <row r="770">
      <c r="N770" s="86"/>
    </row>
    <row r="771">
      <c r="N771" s="86"/>
    </row>
    <row r="772">
      <c r="N772" s="86"/>
    </row>
    <row r="773">
      <c r="N773" s="86"/>
    </row>
    <row r="774">
      <c r="N774" s="86"/>
    </row>
    <row r="775">
      <c r="N775" s="86"/>
    </row>
    <row r="776">
      <c r="N776" s="86"/>
    </row>
    <row r="777">
      <c r="N777" s="86"/>
    </row>
    <row r="778">
      <c r="N778" s="86"/>
    </row>
    <row r="779">
      <c r="N779" s="86"/>
    </row>
    <row r="780">
      <c r="N780" s="86"/>
    </row>
    <row r="781">
      <c r="N781" s="86"/>
    </row>
    <row r="782">
      <c r="N782" s="86"/>
    </row>
    <row r="783">
      <c r="N783" s="86"/>
    </row>
    <row r="784">
      <c r="N784" s="86"/>
    </row>
    <row r="785">
      <c r="N785" s="86"/>
    </row>
    <row r="786">
      <c r="N786" s="86"/>
    </row>
    <row r="787">
      <c r="N787" s="86"/>
    </row>
    <row r="788">
      <c r="N788" s="86"/>
    </row>
    <row r="789">
      <c r="N789" s="86"/>
    </row>
    <row r="790">
      <c r="N790" s="86"/>
    </row>
    <row r="791">
      <c r="N791" s="86"/>
    </row>
    <row r="792">
      <c r="N792" s="86"/>
    </row>
    <row r="793">
      <c r="N793" s="86"/>
    </row>
    <row r="794">
      <c r="N794" s="86"/>
    </row>
    <row r="795">
      <c r="N795" s="86"/>
    </row>
    <row r="796">
      <c r="N796" s="86"/>
    </row>
    <row r="797">
      <c r="N797" s="86"/>
    </row>
    <row r="798">
      <c r="N798" s="86"/>
    </row>
    <row r="799">
      <c r="N799" s="86"/>
    </row>
    <row r="800">
      <c r="N800" s="86"/>
    </row>
    <row r="801">
      <c r="N801" s="86"/>
    </row>
    <row r="802">
      <c r="N802" s="86"/>
    </row>
    <row r="803">
      <c r="N803" s="86"/>
    </row>
    <row r="804">
      <c r="N804" s="86"/>
    </row>
    <row r="805">
      <c r="N805" s="86"/>
    </row>
    <row r="806">
      <c r="N806" s="86"/>
    </row>
    <row r="807">
      <c r="N807" s="86"/>
    </row>
    <row r="808">
      <c r="N808" s="86"/>
    </row>
    <row r="809">
      <c r="N809" s="86"/>
    </row>
    <row r="810">
      <c r="N810" s="86"/>
    </row>
    <row r="811">
      <c r="N811" s="86"/>
    </row>
    <row r="812">
      <c r="N812" s="86"/>
    </row>
    <row r="813">
      <c r="N813" s="86"/>
    </row>
    <row r="814">
      <c r="N814" s="86"/>
    </row>
    <row r="815">
      <c r="N815" s="86"/>
    </row>
    <row r="816">
      <c r="N816" s="86"/>
    </row>
    <row r="817">
      <c r="N817" s="86"/>
    </row>
    <row r="818">
      <c r="N818" s="86"/>
    </row>
    <row r="819">
      <c r="N819" s="86"/>
    </row>
    <row r="820">
      <c r="N820" s="86"/>
    </row>
    <row r="821">
      <c r="N821" s="86"/>
    </row>
    <row r="822">
      <c r="N822" s="86"/>
    </row>
    <row r="823">
      <c r="N823" s="86"/>
    </row>
    <row r="824">
      <c r="N824" s="86"/>
    </row>
    <row r="825">
      <c r="N825" s="86"/>
    </row>
    <row r="826">
      <c r="N826" s="86"/>
    </row>
    <row r="827">
      <c r="N827" s="86"/>
    </row>
    <row r="828">
      <c r="N828" s="86"/>
    </row>
    <row r="829">
      <c r="N829" s="86"/>
    </row>
    <row r="830">
      <c r="N830" s="86"/>
    </row>
    <row r="831">
      <c r="N831" s="86"/>
    </row>
    <row r="832">
      <c r="N832" s="86"/>
    </row>
    <row r="833">
      <c r="N833" s="86"/>
    </row>
    <row r="834">
      <c r="N834" s="86"/>
    </row>
    <row r="835">
      <c r="N835" s="86"/>
    </row>
    <row r="836">
      <c r="N836" s="86"/>
    </row>
    <row r="837">
      <c r="N837" s="86"/>
    </row>
    <row r="838">
      <c r="N838" s="86"/>
    </row>
    <row r="839">
      <c r="N839" s="86"/>
    </row>
    <row r="840">
      <c r="N840" s="86"/>
    </row>
    <row r="841">
      <c r="N841" s="86"/>
    </row>
    <row r="842">
      <c r="N842" s="86"/>
    </row>
    <row r="843">
      <c r="N843" s="86"/>
    </row>
    <row r="844">
      <c r="N844" s="86"/>
    </row>
    <row r="845">
      <c r="N845" s="86"/>
    </row>
    <row r="846">
      <c r="N846" s="86"/>
    </row>
    <row r="847">
      <c r="N847" s="86"/>
    </row>
    <row r="848">
      <c r="N848" s="86"/>
    </row>
    <row r="849">
      <c r="N849" s="86"/>
    </row>
    <row r="850">
      <c r="N850" s="86"/>
    </row>
    <row r="851">
      <c r="N851" s="86"/>
    </row>
    <row r="852">
      <c r="N852" s="86"/>
    </row>
    <row r="853">
      <c r="N853" s="86"/>
    </row>
    <row r="854">
      <c r="N854" s="86"/>
    </row>
    <row r="855">
      <c r="N855" s="86"/>
    </row>
    <row r="856">
      <c r="N856" s="86"/>
    </row>
    <row r="857">
      <c r="N857" s="86"/>
    </row>
    <row r="858">
      <c r="N858" s="86"/>
    </row>
    <row r="859">
      <c r="N859" s="86"/>
    </row>
    <row r="860">
      <c r="N860" s="86"/>
    </row>
    <row r="861">
      <c r="N861" s="86"/>
    </row>
    <row r="862">
      <c r="N862" s="86"/>
    </row>
    <row r="863">
      <c r="N863" s="86"/>
    </row>
    <row r="864">
      <c r="N864" s="86"/>
    </row>
    <row r="865">
      <c r="N865" s="86"/>
    </row>
    <row r="866">
      <c r="N866" s="86"/>
    </row>
    <row r="867">
      <c r="N867" s="86"/>
    </row>
    <row r="868">
      <c r="N868" s="86"/>
    </row>
    <row r="869">
      <c r="N869" s="86"/>
    </row>
    <row r="870">
      <c r="N870" s="86"/>
    </row>
    <row r="871">
      <c r="N871" s="86"/>
    </row>
    <row r="872">
      <c r="N872" s="86"/>
    </row>
    <row r="873">
      <c r="N873" s="86"/>
    </row>
    <row r="874">
      <c r="N874" s="86"/>
    </row>
    <row r="875">
      <c r="N875" s="86"/>
    </row>
    <row r="876">
      <c r="N876" s="86"/>
    </row>
    <row r="877">
      <c r="N877" s="86"/>
    </row>
    <row r="878">
      <c r="N878" s="86"/>
    </row>
    <row r="879">
      <c r="N879" s="86"/>
    </row>
    <row r="880">
      <c r="N880" s="86"/>
    </row>
    <row r="881">
      <c r="N881" s="86"/>
    </row>
    <row r="882">
      <c r="N882" s="86"/>
    </row>
    <row r="883">
      <c r="N883" s="86"/>
    </row>
    <row r="884">
      <c r="N884" s="86"/>
    </row>
    <row r="885">
      <c r="N885" s="86"/>
    </row>
    <row r="886">
      <c r="N886" s="86"/>
    </row>
    <row r="887">
      <c r="N887" s="86"/>
    </row>
    <row r="888">
      <c r="N888" s="86"/>
    </row>
    <row r="889">
      <c r="N889" s="86"/>
    </row>
    <row r="890">
      <c r="N890" s="86"/>
    </row>
    <row r="891">
      <c r="N891" s="86"/>
    </row>
    <row r="892">
      <c r="N892" s="86"/>
    </row>
    <row r="893">
      <c r="N893" s="86"/>
    </row>
    <row r="894">
      <c r="N894" s="86"/>
    </row>
    <row r="895">
      <c r="N895" s="86"/>
    </row>
    <row r="896">
      <c r="N896" s="86"/>
    </row>
    <row r="897">
      <c r="N897" s="86"/>
    </row>
    <row r="898">
      <c r="N898" s="86"/>
    </row>
    <row r="899">
      <c r="N899" s="86"/>
    </row>
    <row r="900">
      <c r="N900" s="86"/>
    </row>
    <row r="901">
      <c r="N901" s="86"/>
    </row>
    <row r="902">
      <c r="N902" s="86"/>
    </row>
    <row r="903">
      <c r="N903" s="86"/>
    </row>
    <row r="904">
      <c r="N904" s="86"/>
    </row>
    <row r="905">
      <c r="N905" s="86"/>
    </row>
    <row r="906">
      <c r="N906" s="86"/>
    </row>
    <row r="907">
      <c r="N907" s="86"/>
    </row>
    <row r="908">
      <c r="N908" s="86"/>
    </row>
    <row r="909">
      <c r="N909" s="86"/>
    </row>
    <row r="910">
      <c r="N910" s="86"/>
    </row>
    <row r="911">
      <c r="N911" s="86"/>
    </row>
    <row r="912">
      <c r="N912" s="86"/>
    </row>
    <row r="913">
      <c r="N913" s="86"/>
    </row>
    <row r="914">
      <c r="N914" s="86"/>
    </row>
    <row r="915">
      <c r="N915" s="86"/>
    </row>
    <row r="916">
      <c r="N916" s="86"/>
    </row>
    <row r="917">
      <c r="N917" s="86"/>
    </row>
    <row r="918">
      <c r="N918" s="86"/>
    </row>
    <row r="919">
      <c r="N919" s="86"/>
    </row>
    <row r="920">
      <c r="N920" s="86"/>
    </row>
    <row r="921">
      <c r="N921" s="86"/>
    </row>
    <row r="922">
      <c r="N922" s="86"/>
    </row>
    <row r="923">
      <c r="N923" s="86"/>
    </row>
    <row r="924">
      <c r="N924" s="86"/>
    </row>
    <row r="925">
      <c r="N925" s="86"/>
    </row>
    <row r="926">
      <c r="N926" s="86"/>
    </row>
    <row r="927">
      <c r="N927" s="86"/>
    </row>
    <row r="928">
      <c r="N928" s="86"/>
    </row>
    <row r="929">
      <c r="N929" s="86"/>
    </row>
    <row r="930">
      <c r="N930" s="86"/>
    </row>
    <row r="931">
      <c r="N931" s="86"/>
    </row>
    <row r="932">
      <c r="N932" s="86"/>
    </row>
    <row r="933">
      <c r="N933" s="86"/>
    </row>
    <row r="934">
      <c r="N934" s="86"/>
    </row>
    <row r="935">
      <c r="N935" s="86"/>
    </row>
    <row r="936">
      <c r="N936" s="86"/>
    </row>
    <row r="937">
      <c r="N937" s="86"/>
    </row>
    <row r="938">
      <c r="N938" s="86"/>
    </row>
    <row r="939">
      <c r="N939" s="86"/>
    </row>
    <row r="940">
      <c r="N940" s="86"/>
    </row>
    <row r="941">
      <c r="N941" s="86"/>
    </row>
    <row r="942">
      <c r="N942" s="86"/>
    </row>
    <row r="943">
      <c r="N943" s="86"/>
    </row>
    <row r="944">
      <c r="N944" s="86"/>
    </row>
    <row r="945">
      <c r="N945" s="86"/>
    </row>
    <row r="946">
      <c r="N946" s="86"/>
    </row>
    <row r="947">
      <c r="N947" s="86"/>
    </row>
    <row r="948">
      <c r="N948" s="86"/>
    </row>
    <row r="949">
      <c r="N949" s="86"/>
    </row>
    <row r="950">
      <c r="N950" s="86"/>
    </row>
    <row r="951">
      <c r="N951" s="86"/>
    </row>
    <row r="952">
      <c r="N952" s="86"/>
    </row>
    <row r="953">
      <c r="N953" s="86"/>
    </row>
    <row r="954">
      <c r="N954" s="86"/>
    </row>
    <row r="955">
      <c r="N955" s="86"/>
    </row>
    <row r="956">
      <c r="N956" s="86"/>
    </row>
    <row r="957">
      <c r="N957" s="86"/>
    </row>
    <row r="958">
      <c r="N958" s="86"/>
    </row>
    <row r="959">
      <c r="N959" s="86"/>
    </row>
    <row r="960">
      <c r="N960" s="86"/>
    </row>
    <row r="961">
      <c r="N961" s="86"/>
    </row>
    <row r="962">
      <c r="N962" s="86"/>
    </row>
    <row r="963">
      <c r="N963" s="86"/>
    </row>
    <row r="964">
      <c r="N964" s="86"/>
    </row>
    <row r="965">
      <c r="N965" s="86"/>
    </row>
    <row r="966">
      <c r="N966" s="86"/>
    </row>
    <row r="967">
      <c r="N967" s="86"/>
    </row>
    <row r="968">
      <c r="N968" s="86"/>
    </row>
    <row r="969">
      <c r="N969" s="86"/>
    </row>
    <row r="970">
      <c r="N970" s="86"/>
    </row>
    <row r="971">
      <c r="N971" s="86"/>
    </row>
    <row r="972">
      <c r="N972" s="86"/>
    </row>
    <row r="973">
      <c r="N973" s="86"/>
    </row>
    <row r="974">
      <c r="N974" s="86"/>
    </row>
    <row r="975">
      <c r="N975" s="86"/>
    </row>
    <row r="976">
      <c r="N976" s="86"/>
    </row>
    <row r="977">
      <c r="N977" s="86"/>
    </row>
    <row r="978">
      <c r="N978" s="86"/>
    </row>
    <row r="979">
      <c r="N979" s="86"/>
    </row>
    <row r="980">
      <c r="N980" s="86"/>
    </row>
    <row r="981">
      <c r="N981" s="86"/>
    </row>
    <row r="982">
      <c r="N982" s="86"/>
    </row>
    <row r="983">
      <c r="N983" s="86"/>
    </row>
    <row r="984">
      <c r="N984" s="86"/>
    </row>
    <row r="985">
      <c r="N985" s="86"/>
    </row>
    <row r="986">
      <c r="N986" s="86"/>
    </row>
    <row r="987">
      <c r="N987" s="86"/>
    </row>
    <row r="988">
      <c r="N988" s="86"/>
    </row>
    <row r="989">
      <c r="N989" s="86"/>
    </row>
    <row r="990">
      <c r="N990" s="86"/>
    </row>
    <row r="991">
      <c r="N991" s="86"/>
    </row>
    <row r="992">
      <c r="N992" s="86"/>
    </row>
  </sheetData>
  <mergeCells count="109">
    <mergeCell ref="A26:B26"/>
    <mergeCell ref="A27:B27"/>
    <mergeCell ref="A28:B28"/>
    <mergeCell ref="A29:B29"/>
    <mergeCell ref="A30:B30"/>
    <mergeCell ref="A31:B31"/>
    <mergeCell ref="A32:B32"/>
    <mergeCell ref="A33:B33"/>
    <mergeCell ref="A34:B34"/>
    <mergeCell ref="A38:K38"/>
    <mergeCell ref="A39:C39"/>
    <mergeCell ref="D39:G39"/>
    <mergeCell ref="A40:C40"/>
    <mergeCell ref="D40:G40"/>
    <mergeCell ref="A41:C41"/>
    <mergeCell ref="D41:G41"/>
    <mergeCell ref="A42:C42"/>
    <mergeCell ref="D42:G42"/>
    <mergeCell ref="A43:C43"/>
    <mergeCell ref="D43:G43"/>
    <mergeCell ref="D44:G44"/>
    <mergeCell ref="A44:C44"/>
    <mergeCell ref="A45:C45"/>
    <mergeCell ref="A46:C46"/>
    <mergeCell ref="A47:C47"/>
    <mergeCell ref="A48:C48"/>
    <mergeCell ref="A49:C49"/>
    <mergeCell ref="A51:D51"/>
    <mergeCell ref="E54:H54"/>
    <mergeCell ref="E55:H55"/>
    <mergeCell ref="E56:H56"/>
    <mergeCell ref="E57:H57"/>
    <mergeCell ref="E58:H58"/>
    <mergeCell ref="E59:H59"/>
    <mergeCell ref="E60:H60"/>
    <mergeCell ref="E61:H61"/>
    <mergeCell ref="D45:G45"/>
    <mergeCell ref="D46:G46"/>
    <mergeCell ref="D47:G47"/>
    <mergeCell ref="D48:G48"/>
    <mergeCell ref="D49:G49"/>
    <mergeCell ref="E52:H52"/>
    <mergeCell ref="E53:H53"/>
    <mergeCell ref="A59:D59"/>
    <mergeCell ref="A60:D60"/>
    <mergeCell ref="A61:D61"/>
    <mergeCell ref="A52:D52"/>
    <mergeCell ref="A53:D53"/>
    <mergeCell ref="A54:D54"/>
    <mergeCell ref="A55:D55"/>
    <mergeCell ref="A56:D56"/>
    <mergeCell ref="A57:D57"/>
    <mergeCell ref="A58:D58"/>
    <mergeCell ref="D3:D6"/>
    <mergeCell ref="F3:F6"/>
    <mergeCell ref="A7:I7"/>
    <mergeCell ref="C1:D1"/>
    <mergeCell ref="C8:D8"/>
    <mergeCell ref="D10:D13"/>
    <mergeCell ref="E8:F8"/>
    <mergeCell ref="G8:H8"/>
    <mergeCell ref="H3:H6"/>
    <mergeCell ref="H10:H13"/>
    <mergeCell ref="S11:U11"/>
    <mergeCell ref="T12:T13"/>
    <mergeCell ref="H15:I15"/>
    <mergeCell ref="T15:T16"/>
    <mergeCell ref="H16:I16"/>
    <mergeCell ref="A21:K21"/>
    <mergeCell ref="A1:B1"/>
    <mergeCell ref="B3:B6"/>
    <mergeCell ref="A8:B8"/>
    <mergeCell ref="B10:B13"/>
    <mergeCell ref="A19:C19"/>
    <mergeCell ref="A24:B24"/>
    <mergeCell ref="A25:B25"/>
    <mergeCell ref="J1:L13"/>
    <mergeCell ref="H39:K39"/>
    <mergeCell ref="I52:L52"/>
    <mergeCell ref="I53:L53"/>
    <mergeCell ref="I54:L54"/>
    <mergeCell ref="I55:L55"/>
    <mergeCell ref="I56:L56"/>
    <mergeCell ref="I57:L57"/>
    <mergeCell ref="I58:L58"/>
    <mergeCell ref="I59:L59"/>
    <mergeCell ref="I60:L60"/>
    <mergeCell ref="I61:L61"/>
    <mergeCell ref="E1:F1"/>
    <mergeCell ref="G1:H1"/>
    <mergeCell ref="M1:M992"/>
    <mergeCell ref="N1:O1"/>
    <mergeCell ref="S1:U1"/>
    <mergeCell ref="F10:F13"/>
    <mergeCell ref="Q24:Q25"/>
    <mergeCell ref="H17:I17"/>
    <mergeCell ref="Q19:Q20"/>
    <mergeCell ref="H40:K40"/>
    <mergeCell ref="H41:K41"/>
    <mergeCell ref="H42:K42"/>
    <mergeCell ref="H43:K43"/>
    <mergeCell ref="H44:K44"/>
    <mergeCell ref="H45:K45"/>
    <mergeCell ref="H46:K46"/>
    <mergeCell ref="H47:K47"/>
    <mergeCell ref="H48:K48"/>
    <mergeCell ref="H49:K49"/>
    <mergeCell ref="E51:H51"/>
    <mergeCell ref="I51:L5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9" t="s">
        <v>1821</v>
      </c>
      <c r="B1" s="307">
        <f>COUNTIF('2023'!A:A, "*" &amp; A1 &amp; "*") +
 COUNTIF('2022'!A:A, "*" &amp; A1 &amp; "*") +
 COUNTIF('2021'!A:A, "*" &amp; A1 &amp; "*")
</f>
        <v>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9.75"/>
    <col customWidth="1" min="2" max="2" width="27.5"/>
    <col customWidth="1" min="3" max="3" width="67.38"/>
    <col customWidth="1" min="4" max="4" width="20.13"/>
    <col customWidth="1" min="5" max="5" width="52.25"/>
  </cols>
  <sheetData>
    <row r="1">
      <c r="A1" s="623" t="s">
        <v>1822</v>
      </c>
      <c r="B1" s="624" t="s">
        <v>1823</v>
      </c>
      <c r="C1" s="624" t="s">
        <v>1824</v>
      </c>
      <c r="D1" s="343" t="s">
        <v>1825</v>
      </c>
      <c r="E1" s="343" t="s">
        <v>1826</v>
      </c>
      <c r="F1" s="344"/>
      <c r="G1" s="344"/>
      <c r="H1" s="344"/>
      <c r="I1" s="344"/>
      <c r="J1" s="344"/>
      <c r="K1" s="344"/>
      <c r="L1" s="344"/>
      <c r="M1" s="344"/>
      <c r="N1" s="344"/>
      <c r="O1" s="344"/>
      <c r="P1" s="344"/>
      <c r="Q1" s="344"/>
      <c r="R1" s="344"/>
      <c r="S1" s="344"/>
      <c r="T1" s="344"/>
      <c r="U1" s="344"/>
      <c r="V1" s="344"/>
      <c r="W1" s="344"/>
      <c r="X1" s="344"/>
      <c r="Y1" s="344"/>
      <c r="Z1" s="344"/>
      <c r="AA1" s="344"/>
    </row>
    <row r="2">
      <c r="A2" s="41"/>
      <c r="B2" s="79" t="s">
        <v>1827</v>
      </c>
      <c r="C2" s="346" t="s">
        <v>1828</v>
      </c>
      <c r="E2" s="346"/>
    </row>
    <row r="3">
      <c r="A3" s="41"/>
      <c r="B3" s="79" t="s">
        <v>1829</v>
      </c>
      <c r="C3" s="346" t="s">
        <v>1830</v>
      </c>
    </row>
    <row r="4">
      <c r="A4" s="41"/>
      <c r="C4" s="583"/>
    </row>
    <row r="5">
      <c r="A5" s="41"/>
      <c r="C5" s="346"/>
    </row>
    <row r="6">
      <c r="A6" s="41"/>
      <c r="C6" s="346"/>
    </row>
    <row r="7">
      <c r="C7" s="346"/>
      <c r="D7" s="346"/>
    </row>
    <row r="8">
      <c r="C8" s="346"/>
    </row>
    <row r="9">
      <c r="A9" s="41"/>
      <c r="C9" s="346"/>
    </row>
    <row r="10">
      <c r="A10" s="41"/>
      <c r="B10" s="41"/>
      <c r="C10" s="583"/>
      <c r="D10" s="41"/>
    </row>
    <row r="11">
      <c r="C11" s="625"/>
    </row>
    <row r="12">
      <c r="A12" s="41"/>
      <c r="B12" s="41"/>
      <c r="C12" s="583"/>
      <c r="D12" s="41"/>
    </row>
    <row r="13">
      <c r="A13" s="41"/>
      <c r="B13" s="41"/>
      <c r="C13" s="583"/>
      <c r="D13" s="41"/>
    </row>
    <row r="14">
      <c r="C14" s="625"/>
    </row>
    <row r="15">
      <c r="A15" s="41"/>
      <c r="B15" s="41"/>
      <c r="C15" s="583"/>
      <c r="D15" s="41"/>
    </row>
    <row r="16">
      <c r="C16" s="625"/>
    </row>
    <row r="17">
      <c r="A17" s="41"/>
      <c r="B17" s="41"/>
      <c r="C17" s="583"/>
      <c r="D17" s="41"/>
      <c r="E17" s="41"/>
    </row>
    <row r="18">
      <c r="C18" s="625"/>
    </row>
    <row r="19">
      <c r="A19" s="41"/>
      <c r="B19" s="41"/>
      <c r="C19" s="583"/>
      <c r="D19" s="41"/>
    </row>
    <row r="20">
      <c r="A20" s="41"/>
      <c r="B20" s="41"/>
      <c r="C20" s="583"/>
      <c r="D20" s="41"/>
    </row>
    <row r="21">
      <c r="A21" s="41"/>
      <c r="B21" s="41"/>
      <c r="C21" s="583"/>
      <c r="D21" s="41"/>
    </row>
    <row r="22">
      <c r="A22" s="41"/>
      <c r="B22" s="41"/>
      <c r="C22" s="583"/>
      <c r="D22" s="41"/>
    </row>
    <row r="23">
      <c r="C23" s="625"/>
    </row>
    <row r="24">
      <c r="C24" s="625"/>
    </row>
    <row r="25">
      <c r="C25" s="625"/>
    </row>
    <row r="26">
      <c r="C26" s="625"/>
    </row>
    <row r="27">
      <c r="A27" s="625"/>
      <c r="B27" s="625"/>
      <c r="C27" s="625"/>
    </row>
    <row r="28">
      <c r="A28" s="625"/>
      <c r="B28" s="625"/>
      <c r="C28" s="625"/>
    </row>
    <row r="29">
      <c r="C29" s="625"/>
    </row>
    <row r="30">
      <c r="A30" s="625"/>
      <c r="B30" s="625"/>
      <c r="C30" s="625"/>
    </row>
    <row r="31">
      <c r="A31" s="625"/>
      <c r="B31" s="625"/>
      <c r="C31" s="625"/>
    </row>
    <row r="32">
      <c r="A32" s="625"/>
      <c r="B32" s="625"/>
      <c r="C32" s="625"/>
    </row>
    <row r="33">
      <c r="A33" s="625"/>
      <c r="B33" s="625"/>
      <c r="C33" s="625"/>
    </row>
    <row r="34">
      <c r="A34" s="625"/>
      <c r="B34" s="625"/>
      <c r="C34" s="625"/>
    </row>
    <row r="35">
      <c r="A35" s="625"/>
      <c r="B35" s="625"/>
      <c r="C35" s="625"/>
    </row>
    <row r="36">
      <c r="A36" s="625"/>
      <c r="B36" s="625"/>
      <c r="C36" s="625"/>
    </row>
    <row r="37">
      <c r="A37" s="625"/>
      <c r="B37" s="625"/>
      <c r="C37" s="625"/>
    </row>
    <row r="38">
      <c r="A38" s="625"/>
      <c r="B38" s="625"/>
      <c r="C38" s="625"/>
    </row>
    <row r="39">
      <c r="A39" s="625"/>
      <c r="B39" s="625"/>
      <c r="C39" s="625"/>
    </row>
    <row r="40">
      <c r="A40" s="625"/>
      <c r="B40" s="625"/>
      <c r="C40" s="625"/>
    </row>
    <row r="41">
      <c r="A41" s="625"/>
      <c r="B41" s="625"/>
      <c r="C41" s="625"/>
    </row>
    <row r="42">
      <c r="A42" s="625"/>
      <c r="B42" s="625"/>
      <c r="C42" s="625"/>
    </row>
    <row r="43">
      <c r="A43" s="625"/>
      <c r="B43" s="625"/>
      <c r="C43" s="625"/>
    </row>
    <row r="44">
      <c r="A44" s="625"/>
      <c r="B44" s="625"/>
      <c r="C44" s="625"/>
    </row>
    <row r="45">
      <c r="A45" s="625"/>
      <c r="B45" s="625"/>
      <c r="C45" s="625"/>
    </row>
    <row r="46">
      <c r="A46" s="625"/>
      <c r="B46" s="625"/>
      <c r="C46" s="625"/>
    </row>
    <row r="47">
      <c r="A47" s="625"/>
      <c r="B47" s="625"/>
      <c r="C47" s="625"/>
    </row>
    <row r="48">
      <c r="A48" s="625"/>
      <c r="B48" s="625"/>
      <c r="C48" s="625"/>
    </row>
    <row r="49">
      <c r="A49" s="625"/>
      <c r="B49" s="625"/>
      <c r="C49" s="625"/>
    </row>
    <row r="50">
      <c r="A50" s="625"/>
      <c r="B50" s="625"/>
      <c r="C50" s="625"/>
    </row>
    <row r="51">
      <c r="A51" s="625"/>
      <c r="B51" s="625"/>
      <c r="C51" s="625"/>
    </row>
    <row r="52">
      <c r="A52" s="625"/>
      <c r="B52" s="625"/>
      <c r="C52" s="625"/>
    </row>
    <row r="53">
      <c r="A53" s="625"/>
      <c r="B53" s="625"/>
      <c r="C53" s="625"/>
    </row>
    <row r="54">
      <c r="A54" s="625"/>
      <c r="B54" s="625"/>
      <c r="C54" s="625"/>
    </row>
    <row r="55">
      <c r="A55" s="625"/>
      <c r="B55" s="625"/>
      <c r="C55" s="625"/>
    </row>
    <row r="56">
      <c r="A56" s="625"/>
      <c r="B56" s="625"/>
      <c r="C56" s="625"/>
    </row>
    <row r="57">
      <c r="A57" s="625"/>
      <c r="B57" s="625"/>
      <c r="C57" s="625"/>
    </row>
    <row r="58">
      <c r="A58" s="625"/>
      <c r="B58" s="625"/>
      <c r="C58" s="625"/>
    </row>
    <row r="59">
      <c r="A59" s="625"/>
      <c r="B59" s="625"/>
      <c r="C59" s="625"/>
    </row>
    <row r="60">
      <c r="A60" s="625"/>
      <c r="B60" s="625"/>
      <c r="C60" s="625"/>
    </row>
    <row r="61">
      <c r="A61" s="625"/>
      <c r="B61" s="625"/>
      <c r="C61" s="625"/>
    </row>
    <row r="62">
      <c r="A62" s="625"/>
      <c r="B62" s="625"/>
      <c r="C62" s="625"/>
    </row>
    <row r="63">
      <c r="A63" s="625"/>
      <c r="B63" s="625"/>
      <c r="C63" s="625"/>
    </row>
    <row r="64">
      <c r="A64" s="625"/>
      <c r="B64" s="625"/>
      <c r="C64" s="625"/>
    </row>
    <row r="65">
      <c r="A65" s="625"/>
      <c r="B65" s="625"/>
      <c r="C65" s="625"/>
    </row>
    <row r="66">
      <c r="A66" s="625"/>
      <c r="B66" s="625"/>
      <c r="C66" s="625"/>
    </row>
    <row r="67">
      <c r="A67" s="625"/>
      <c r="B67" s="625"/>
      <c r="C67" s="625"/>
    </row>
    <row r="68">
      <c r="A68" s="625"/>
      <c r="B68" s="625"/>
      <c r="C68" s="625"/>
    </row>
    <row r="69">
      <c r="A69" s="625"/>
      <c r="B69" s="625"/>
      <c r="C69" s="625"/>
    </row>
    <row r="70">
      <c r="A70" s="625"/>
      <c r="B70" s="625"/>
      <c r="C70" s="625"/>
    </row>
    <row r="71">
      <c r="A71" s="625"/>
      <c r="B71" s="625"/>
      <c r="C71" s="625"/>
    </row>
    <row r="72">
      <c r="A72" s="625"/>
      <c r="B72" s="625"/>
      <c r="C72" s="625"/>
    </row>
    <row r="73">
      <c r="A73" s="625"/>
      <c r="B73" s="625"/>
      <c r="C73" s="625"/>
    </row>
    <row r="74">
      <c r="A74" s="625"/>
      <c r="B74" s="625"/>
      <c r="C74" s="625"/>
    </row>
    <row r="75">
      <c r="A75" s="625"/>
      <c r="B75" s="625"/>
      <c r="C75" s="625"/>
    </row>
    <row r="76">
      <c r="A76" s="625"/>
      <c r="B76" s="625"/>
      <c r="C76" s="625"/>
    </row>
    <row r="77">
      <c r="A77" s="625"/>
      <c r="B77" s="625"/>
      <c r="C77" s="625"/>
    </row>
    <row r="78">
      <c r="A78" s="625"/>
      <c r="B78" s="625"/>
      <c r="C78" s="625"/>
    </row>
    <row r="79">
      <c r="A79" s="625"/>
      <c r="B79" s="625"/>
      <c r="C79" s="625"/>
    </row>
    <row r="80">
      <c r="A80" s="625"/>
      <c r="B80" s="625"/>
      <c r="C80" s="625"/>
    </row>
    <row r="81">
      <c r="A81" s="625"/>
      <c r="B81" s="625"/>
      <c r="C81" s="625"/>
    </row>
    <row r="82">
      <c r="A82" s="625"/>
      <c r="B82" s="625"/>
      <c r="C82" s="625"/>
    </row>
    <row r="83">
      <c r="A83" s="625"/>
      <c r="B83" s="625"/>
      <c r="C83" s="625"/>
    </row>
    <row r="84">
      <c r="A84" s="625"/>
      <c r="B84" s="625"/>
      <c r="C84" s="625"/>
    </row>
    <row r="85">
      <c r="A85" s="625"/>
      <c r="B85" s="625"/>
      <c r="C85" s="625"/>
    </row>
    <row r="86">
      <c r="A86" s="625"/>
      <c r="B86" s="625"/>
      <c r="C86" s="625"/>
    </row>
    <row r="87">
      <c r="A87" s="625"/>
      <c r="B87" s="625"/>
      <c r="C87" s="625"/>
    </row>
    <row r="88">
      <c r="A88" s="625"/>
      <c r="B88" s="625"/>
      <c r="C88" s="625"/>
    </row>
    <row r="89">
      <c r="A89" s="625"/>
      <c r="B89" s="625"/>
      <c r="C89" s="625"/>
    </row>
    <row r="90">
      <c r="A90" s="625"/>
      <c r="B90" s="625"/>
      <c r="C90" s="625"/>
    </row>
    <row r="91">
      <c r="A91" s="625"/>
      <c r="B91" s="625"/>
      <c r="C91" s="625"/>
    </row>
    <row r="92">
      <c r="A92" s="625"/>
      <c r="B92" s="625"/>
      <c r="C92" s="625"/>
    </row>
    <row r="93">
      <c r="A93" s="625"/>
      <c r="B93" s="625"/>
      <c r="C93" s="625"/>
    </row>
    <row r="94">
      <c r="A94" s="625"/>
      <c r="B94" s="625"/>
      <c r="C94" s="625"/>
    </row>
    <row r="95">
      <c r="A95" s="625"/>
      <c r="B95" s="625"/>
      <c r="C95" s="625"/>
    </row>
    <row r="96">
      <c r="A96" s="625"/>
      <c r="B96" s="625"/>
      <c r="C96" s="625"/>
    </row>
    <row r="97">
      <c r="A97" s="625"/>
      <c r="B97" s="625"/>
      <c r="C97" s="625"/>
    </row>
    <row r="98">
      <c r="A98" s="625"/>
      <c r="B98" s="625"/>
      <c r="C98" s="625"/>
    </row>
    <row r="99">
      <c r="A99" s="625"/>
      <c r="B99" s="625"/>
      <c r="C99" s="625"/>
    </row>
    <row r="100">
      <c r="A100" s="625"/>
      <c r="B100" s="625"/>
      <c r="C100" s="625"/>
    </row>
    <row r="101">
      <c r="A101" s="625"/>
      <c r="B101" s="625"/>
      <c r="C101" s="625"/>
    </row>
    <row r="102">
      <c r="A102" s="625"/>
      <c r="B102" s="625"/>
      <c r="C102" s="625"/>
    </row>
    <row r="103">
      <c r="A103" s="625"/>
      <c r="B103" s="625"/>
      <c r="C103" s="625"/>
    </row>
    <row r="104">
      <c r="A104" s="625"/>
      <c r="B104" s="625"/>
      <c r="C104" s="625"/>
    </row>
    <row r="105">
      <c r="A105" s="625"/>
      <c r="B105" s="625"/>
      <c r="C105" s="625"/>
    </row>
    <row r="106">
      <c r="A106" s="625"/>
      <c r="B106" s="625"/>
      <c r="C106" s="625"/>
    </row>
    <row r="107">
      <c r="A107" s="625"/>
      <c r="B107" s="625"/>
      <c r="C107" s="625"/>
    </row>
    <row r="108">
      <c r="A108" s="625"/>
      <c r="B108" s="625"/>
      <c r="C108" s="625"/>
    </row>
    <row r="109">
      <c r="A109" s="625"/>
      <c r="B109" s="625"/>
      <c r="C109" s="625"/>
    </row>
    <row r="110">
      <c r="A110" s="625"/>
      <c r="B110" s="625"/>
      <c r="C110" s="625"/>
    </row>
    <row r="111">
      <c r="A111" s="625"/>
      <c r="B111" s="625"/>
      <c r="C111" s="625"/>
    </row>
    <row r="112">
      <c r="A112" s="625"/>
      <c r="B112" s="625"/>
      <c r="C112" s="625"/>
    </row>
    <row r="113">
      <c r="A113" s="625"/>
      <c r="B113" s="625"/>
      <c r="C113" s="625"/>
    </row>
    <row r="114">
      <c r="A114" s="625"/>
      <c r="B114" s="625"/>
      <c r="C114" s="625"/>
    </row>
    <row r="115">
      <c r="A115" s="625"/>
      <c r="B115" s="625"/>
      <c r="C115" s="625"/>
    </row>
    <row r="116">
      <c r="A116" s="625"/>
      <c r="B116" s="625"/>
      <c r="C116" s="625"/>
    </row>
    <row r="117">
      <c r="A117" s="625"/>
      <c r="B117" s="625"/>
      <c r="C117" s="625"/>
    </row>
    <row r="118">
      <c r="A118" s="625"/>
      <c r="B118" s="625"/>
      <c r="C118" s="625"/>
    </row>
    <row r="119">
      <c r="A119" s="625"/>
      <c r="B119" s="625"/>
      <c r="C119" s="625"/>
    </row>
    <row r="120">
      <c r="A120" s="625"/>
      <c r="B120" s="625"/>
      <c r="C120" s="625"/>
    </row>
    <row r="121">
      <c r="A121" s="625"/>
      <c r="B121" s="625"/>
      <c r="C121" s="625"/>
    </row>
    <row r="122">
      <c r="A122" s="625"/>
      <c r="B122" s="625"/>
      <c r="C122" s="625"/>
    </row>
    <row r="123">
      <c r="A123" s="625"/>
      <c r="B123" s="625"/>
      <c r="C123" s="625"/>
    </row>
    <row r="124">
      <c r="A124" s="625"/>
      <c r="B124" s="625"/>
      <c r="C124" s="625"/>
    </row>
    <row r="125">
      <c r="A125" s="625"/>
      <c r="B125" s="625"/>
      <c r="C125" s="625"/>
    </row>
    <row r="126">
      <c r="A126" s="625"/>
      <c r="B126" s="625"/>
      <c r="C126" s="625"/>
    </row>
    <row r="127">
      <c r="A127" s="625"/>
      <c r="B127" s="625"/>
      <c r="C127" s="625"/>
    </row>
    <row r="128">
      <c r="A128" s="625"/>
      <c r="B128" s="625"/>
      <c r="C128" s="625"/>
    </row>
    <row r="129">
      <c r="A129" s="625"/>
      <c r="B129" s="625"/>
      <c r="C129" s="625"/>
    </row>
    <row r="130">
      <c r="A130" s="625"/>
      <c r="B130" s="625"/>
      <c r="C130" s="625"/>
    </row>
    <row r="131">
      <c r="A131" s="625"/>
      <c r="B131" s="625"/>
      <c r="C131" s="625"/>
    </row>
    <row r="132">
      <c r="A132" s="625"/>
      <c r="B132" s="625"/>
      <c r="C132" s="625"/>
    </row>
    <row r="133">
      <c r="A133" s="625"/>
      <c r="B133" s="625"/>
      <c r="C133" s="625"/>
    </row>
    <row r="134">
      <c r="A134" s="625"/>
      <c r="B134" s="625"/>
      <c r="C134" s="625"/>
    </row>
    <row r="135">
      <c r="A135" s="625"/>
      <c r="B135" s="625"/>
      <c r="C135" s="625"/>
    </row>
    <row r="136">
      <c r="A136" s="625"/>
      <c r="B136" s="625"/>
      <c r="C136" s="625"/>
    </row>
    <row r="137">
      <c r="A137" s="625"/>
      <c r="B137" s="625"/>
      <c r="C137" s="625"/>
    </row>
    <row r="138">
      <c r="A138" s="625"/>
      <c r="B138" s="625"/>
      <c r="C138" s="625"/>
    </row>
    <row r="139">
      <c r="A139" s="625"/>
      <c r="B139" s="625"/>
      <c r="C139" s="625"/>
    </row>
    <row r="140">
      <c r="A140" s="625"/>
      <c r="B140" s="625"/>
      <c r="C140" s="625"/>
    </row>
    <row r="141">
      <c r="A141" s="625"/>
      <c r="B141" s="625"/>
      <c r="C141" s="625"/>
    </row>
    <row r="142">
      <c r="A142" s="625"/>
      <c r="B142" s="625"/>
      <c r="C142" s="625"/>
    </row>
    <row r="143">
      <c r="A143" s="625"/>
      <c r="B143" s="625"/>
      <c r="C143" s="625"/>
    </row>
    <row r="144">
      <c r="A144" s="625"/>
      <c r="B144" s="625"/>
      <c r="C144" s="625"/>
    </row>
    <row r="145">
      <c r="A145" s="625"/>
      <c r="B145" s="625"/>
      <c r="C145" s="625"/>
    </row>
    <row r="146">
      <c r="A146" s="625"/>
      <c r="B146" s="625"/>
      <c r="C146" s="625"/>
    </row>
    <row r="147">
      <c r="A147" s="625"/>
      <c r="B147" s="625"/>
      <c r="C147" s="625"/>
    </row>
    <row r="148">
      <c r="A148" s="625"/>
      <c r="B148" s="625"/>
      <c r="C148" s="625"/>
    </row>
    <row r="149">
      <c r="A149" s="625"/>
      <c r="B149" s="625"/>
      <c r="C149" s="625"/>
    </row>
    <row r="150">
      <c r="A150" s="625"/>
      <c r="B150" s="625"/>
      <c r="C150" s="625"/>
    </row>
    <row r="151">
      <c r="A151" s="625"/>
      <c r="B151" s="625"/>
      <c r="C151" s="625"/>
    </row>
    <row r="152">
      <c r="A152" s="625"/>
      <c r="B152" s="625"/>
      <c r="C152" s="625"/>
    </row>
    <row r="153">
      <c r="A153" s="625"/>
      <c r="B153" s="625"/>
      <c r="C153" s="625"/>
    </row>
    <row r="154">
      <c r="A154" s="625"/>
      <c r="B154" s="625"/>
      <c r="C154" s="625"/>
    </row>
    <row r="155">
      <c r="A155" s="625"/>
      <c r="B155" s="625"/>
      <c r="C155" s="625"/>
    </row>
    <row r="156">
      <c r="A156" s="625"/>
      <c r="B156" s="625"/>
      <c r="C156" s="625"/>
    </row>
    <row r="157">
      <c r="A157" s="625"/>
      <c r="B157" s="625"/>
      <c r="C157" s="625"/>
    </row>
    <row r="158">
      <c r="A158" s="625"/>
      <c r="B158" s="625"/>
      <c r="C158" s="625"/>
    </row>
    <row r="159">
      <c r="A159" s="625"/>
      <c r="B159" s="625"/>
      <c r="C159" s="625"/>
    </row>
    <row r="160">
      <c r="A160" s="625"/>
      <c r="B160" s="625"/>
      <c r="C160" s="625"/>
    </row>
    <row r="161">
      <c r="A161" s="625"/>
      <c r="B161" s="625"/>
      <c r="C161" s="625"/>
    </row>
    <row r="162">
      <c r="A162" s="625"/>
      <c r="B162" s="625"/>
      <c r="C162" s="625"/>
    </row>
    <row r="163">
      <c r="A163" s="625"/>
      <c r="B163" s="625"/>
      <c r="C163" s="625"/>
    </row>
    <row r="164">
      <c r="A164" s="625"/>
      <c r="B164" s="625"/>
      <c r="C164" s="625"/>
    </row>
    <row r="165">
      <c r="A165" s="625"/>
      <c r="B165" s="625"/>
      <c r="C165" s="625"/>
    </row>
    <row r="166">
      <c r="A166" s="625"/>
      <c r="B166" s="625"/>
      <c r="C166" s="625"/>
    </row>
    <row r="167">
      <c r="A167" s="625"/>
      <c r="B167" s="625"/>
      <c r="C167" s="625"/>
    </row>
    <row r="168">
      <c r="A168" s="625"/>
      <c r="B168" s="625"/>
      <c r="C168" s="625"/>
    </row>
    <row r="169">
      <c r="A169" s="625"/>
      <c r="B169" s="625"/>
      <c r="C169" s="625"/>
    </row>
    <row r="170">
      <c r="A170" s="625"/>
      <c r="B170" s="625"/>
      <c r="C170" s="625"/>
    </row>
    <row r="171">
      <c r="A171" s="625"/>
      <c r="B171" s="625"/>
      <c r="C171" s="625"/>
    </row>
    <row r="172">
      <c r="A172" s="625"/>
      <c r="B172" s="625"/>
      <c r="C172" s="625"/>
    </row>
    <row r="173">
      <c r="A173" s="625"/>
      <c r="B173" s="625"/>
      <c r="C173" s="625"/>
    </row>
    <row r="174">
      <c r="A174" s="625"/>
      <c r="B174" s="625"/>
      <c r="C174" s="625"/>
    </row>
    <row r="175">
      <c r="A175" s="625"/>
      <c r="B175" s="625"/>
      <c r="C175" s="625"/>
    </row>
    <row r="176">
      <c r="A176" s="625"/>
      <c r="B176" s="625"/>
      <c r="C176" s="625"/>
    </row>
    <row r="177">
      <c r="A177" s="625"/>
      <c r="B177" s="625"/>
      <c r="C177" s="625"/>
    </row>
    <row r="178">
      <c r="A178" s="625"/>
      <c r="B178" s="625"/>
      <c r="C178" s="625"/>
    </row>
    <row r="179">
      <c r="A179" s="625"/>
      <c r="B179" s="625"/>
      <c r="C179" s="625"/>
    </row>
    <row r="180">
      <c r="A180" s="625"/>
      <c r="B180" s="625"/>
      <c r="C180" s="625"/>
    </row>
    <row r="181">
      <c r="A181" s="625"/>
      <c r="B181" s="625"/>
      <c r="C181" s="625"/>
    </row>
    <row r="182">
      <c r="A182" s="625"/>
      <c r="B182" s="625"/>
      <c r="C182" s="625"/>
    </row>
    <row r="183">
      <c r="A183" s="625"/>
      <c r="B183" s="625"/>
      <c r="C183" s="625"/>
    </row>
    <row r="184">
      <c r="A184" s="625"/>
      <c r="B184" s="625"/>
      <c r="C184" s="625"/>
    </row>
    <row r="185">
      <c r="A185" s="625"/>
      <c r="B185" s="625"/>
      <c r="C185" s="625"/>
    </row>
    <row r="186">
      <c r="A186" s="625"/>
      <c r="B186" s="625"/>
      <c r="C186" s="625"/>
    </row>
    <row r="187">
      <c r="A187" s="625"/>
      <c r="B187" s="625"/>
      <c r="C187" s="625"/>
    </row>
    <row r="188">
      <c r="A188" s="625"/>
      <c r="B188" s="625"/>
      <c r="C188" s="625"/>
    </row>
    <row r="189">
      <c r="A189" s="625"/>
      <c r="B189" s="625"/>
      <c r="C189" s="625"/>
    </row>
    <row r="190">
      <c r="A190" s="625"/>
      <c r="B190" s="625"/>
      <c r="C190" s="625"/>
    </row>
    <row r="191">
      <c r="A191" s="625"/>
      <c r="B191" s="625"/>
      <c r="C191" s="625"/>
    </row>
    <row r="192">
      <c r="A192" s="625"/>
      <c r="B192" s="625"/>
      <c r="C192" s="625"/>
    </row>
    <row r="193">
      <c r="A193" s="625"/>
      <c r="B193" s="625"/>
      <c r="C193" s="625"/>
    </row>
    <row r="194">
      <c r="A194" s="625"/>
      <c r="B194" s="625"/>
      <c r="C194" s="625"/>
    </row>
    <row r="195">
      <c r="A195" s="625"/>
      <c r="B195" s="625"/>
      <c r="C195" s="625"/>
    </row>
    <row r="196">
      <c r="A196" s="625"/>
      <c r="B196" s="625"/>
      <c r="C196" s="625"/>
    </row>
    <row r="197">
      <c r="A197" s="625"/>
      <c r="B197" s="625"/>
      <c r="C197" s="625"/>
    </row>
    <row r="198">
      <c r="A198" s="625"/>
      <c r="B198" s="625"/>
      <c r="C198" s="625"/>
    </row>
    <row r="199">
      <c r="A199" s="625"/>
      <c r="B199" s="625"/>
      <c r="C199" s="625"/>
    </row>
    <row r="200">
      <c r="A200" s="625"/>
      <c r="B200" s="625"/>
      <c r="C200" s="625"/>
    </row>
    <row r="201">
      <c r="A201" s="625"/>
      <c r="B201" s="625"/>
      <c r="C201" s="625"/>
    </row>
    <row r="202">
      <c r="A202" s="625"/>
      <c r="B202" s="625"/>
      <c r="C202" s="625"/>
    </row>
    <row r="203">
      <c r="A203" s="625"/>
      <c r="B203" s="625"/>
      <c r="C203" s="625"/>
    </row>
    <row r="204">
      <c r="A204" s="625"/>
      <c r="B204" s="625"/>
      <c r="C204" s="625"/>
    </row>
    <row r="205">
      <c r="A205" s="625"/>
      <c r="B205" s="625"/>
      <c r="C205" s="625"/>
    </row>
    <row r="206">
      <c r="A206" s="625"/>
      <c r="B206" s="625"/>
      <c r="C206" s="625"/>
    </row>
    <row r="207">
      <c r="A207" s="625"/>
      <c r="B207" s="625"/>
      <c r="C207" s="625"/>
    </row>
    <row r="208">
      <c r="A208" s="625"/>
      <c r="B208" s="625"/>
      <c r="C208" s="625"/>
    </row>
    <row r="209">
      <c r="A209" s="625"/>
      <c r="B209" s="625"/>
      <c r="C209" s="625"/>
    </row>
    <row r="210">
      <c r="A210" s="625"/>
      <c r="B210" s="625"/>
      <c r="C210" s="625"/>
    </row>
    <row r="211">
      <c r="A211" s="625"/>
      <c r="B211" s="625"/>
      <c r="C211" s="625"/>
    </row>
    <row r="212">
      <c r="A212" s="625"/>
      <c r="B212" s="625"/>
      <c r="C212" s="625"/>
    </row>
    <row r="213">
      <c r="A213" s="625"/>
      <c r="B213" s="625"/>
      <c r="C213" s="625"/>
    </row>
    <row r="214">
      <c r="A214" s="625"/>
      <c r="B214" s="625"/>
      <c r="C214" s="625"/>
    </row>
    <row r="215">
      <c r="A215" s="625"/>
      <c r="B215" s="625"/>
      <c r="C215" s="625"/>
    </row>
    <row r="216">
      <c r="A216" s="625"/>
      <c r="B216" s="625"/>
      <c r="C216" s="625"/>
    </row>
    <row r="217">
      <c r="A217" s="625"/>
      <c r="B217" s="625"/>
      <c r="C217" s="625"/>
    </row>
    <row r="218">
      <c r="A218" s="625"/>
      <c r="B218" s="625"/>
      <c r="C218" s="625"/>
    </row>
    <row r="219">
      <c r="A219" s="625"/>
      <c r="B219" s="625"/>
      <c r="C219" s="625"/>
    </row>
    <row r="220">
      <c r="A220" s="625"/>
      <c r="B220" s="625"/>
      <c r="C220" s="625"/>
    </row>
    <row r="221">
      <c r="A221" s="625"/>
      <c r="B221" s="625"/>
      <c r="C221" s="625"/>
    </row>
    <row r="222">
      <c r="A222" s="625"/>
      <c r="B222" s="625"/>
      <c r="C222" s="625"/>
    </row>
    <row r="223">
      <c r="A223" s="625"/>
      <c r="B223" s="625"/>
      <c r="C223" s="625"/>
    </row>
    <row r="224">
      <c r="A224" s="625"/>
      <c r="B224" s="625"/>
      <c r="C224" s="625"/>
    </row>
    <row r="225">
      <c r="A225" s="625"/>
      <c r="B225" s="625"/>
      <c r="C225" s="625"/>
    </row>
    <row r="226">
      <c r="A226" s="625"/>
      <c r="B226" s="625"/>
      <c r="C226" s="625"/>
    </row>
    <row r="227">
      <c r="A227" s="625"/>
      <c r="B227" s="625"/>
      <c r="C227" s="625"/>
    </row>
    <row r="228">
      <c r="A228" s="625"/>
      <c r="B228" s="625"/>
      <c r="C228" s="625"/>
    </row>
    <row r="229">
      <c r="A229" s="625"/>
      <c r="B229" s="625"/>
      <c r="C229" s="625"/>
    </row>
    <row r="230">
      <c r="A230" s="625"/>
      <c r="B230" s="625"/>
      <c r="C230" s="625"/>
    </row>
    <row r="231">
      <c r="A231" s="625"/>
      <c r="B231" s="625"/>
      <c r="C231" s="625"/>
    </row>
    <row r="232">
      <c r="A232" s="625"/>
      <c r="B232" s="625"/>
      <c r="C232" s="625"/>
    </row>
    <row r="233">
      <c r="A233" s="625"/>
      <c r="B233" s="625"/>
      <c r="C233" s="625"/>
    </row>
    <row r="234">
      <c r="A234" s="625"/>
      <c r="B234" s="625"/>
      <c r="C234" s="625"/>
    </row>
    <row r="235">
      <c r="A235" s="625"/>
      <c r="B235" s="625"/>
      <c r="C235" s="625"/>
    </row>
    <row r="236">
      <c r="A236" s="625"/>
      <c r="B236" s="625"/>
      <c r="C236" s="625"/>
    </row>
    <row r="237">
      <c r="A237" s="625"/>
      <c r="B237" s="625"/>
      <c r="C237" s="625"/>
    </row>
    <row r="238">
      <c r="A238" s="625"/>
      <c r="B238" s="625"/>
      <c r="C238" s="625"/>
    </row>
    <row r="239">
      <c r="A239" s="625"/>
      <c r="B239" s="625"/>
      <c r="C239" s="625"/>
    </row>
    <row r="240">
      <c r="A240" s="625"/>
      <c r="B240" s="625"/>
      <c r="C240" s="625"/>
    </row>
    <row r="241">
      <c r="A241" s="625"/>
      <c r="B241" s="625"/>
      <c r="C241" s="625"/>
    </row>
    <row r="242">
      <c r="A242" s="625"/>
      <c r="B242" s="625"/>
      <c r="C242" s="625"/>
    </row>
    <row r="243">
      <c r="A243" s="625"/>
      <c r="B243" s="625"/>
      <c r="C243" s="625"/>
    </row>
    <row r="244">
      <c r="A244" s="625"/>
      <c r="B244" s="625"/>
      <c r="C244" s="625"/>
    </row>
    <row r="245">
      <c r="A245" s="625"/>
      <c r="B245" s="625"/>
      <c r="C245" s="625"/>
    </row>
    <row r="246">
      <c r="A246" s="625"/>
      <c r="B246" s="625"/>
      <c r="C246" s="625"/>
    </row>
    <row r="247">
      <c r="A247" s="625"/>
      <c r="B247" s="625"/>
      <c r="C247" s="625"/>
    </row>
    <row r="248">
      <c r="A248" s="625"/>
      <c r="B248" s="625"/>
      <c r="C248" s="625"/>
    </row>
    <row r="249">
      <c r="A249" s="625"/>
      <c r="B249" s="625"/>
      <c r="C249" s="625"/>
    </row>
    <row r="250">
      <c r="A250" s="625"/>
      <c r="B250" s="625"/>
      <c r="C250" s="625"/>
    </row>
    <row r="251">
      <c r="A251" s="625"/>
      <c r="B251" s="625"/>
      <c r="C251" s="625"/>
    </row>
    <row r="252">
      <c r="A252" s="625"/>
      <c r="B252" s="625"/>
      <c r="C252" s="625"/>
    </row>
    <row r="253">
      <c r="A253" s="625"/>
      <c r="B253" s="625"/>
      <c r="C253" s="625"/>
    </row>
    <row r="254">
      <c r="A254" s="625"/>
      <c r="B254" s="625"/>
      <c r="C254" s="625"/>
    </row>
    <row r="255">
      <c r="A255" s="625"/>
      <c r="B255" s="625"/>
      <c r="C255" s="625"/>
    </row>
    <row r="256">
      <c r="A256" s="625"/>
      <c r="B256" s="625"/>
      <c r="C256" s="625"/>
    </row>
    <row r="257">
      <c r="A257" s="625"/>
      <c r="B257" s="625"/>
      <c r="C257" s="625"/>
    </row>
    <row r="258">
      <c r="A258" s="625"/>
      <c r="B258" s="625"/>
      <c r="C258" s="625"/>
    </row>
    <row r="259">
      <c r="A259" s="625"/>
      <c r="B259" s="625"/>
      <c r="C259" s="625"/>
    </row>
    <row r="260">
      <c r="A260" s="625"/>
      <c r="B260" s="625"/>
      <c r="C260" s="625"/>
    </row>
    <row r="261">
      <c r="A261" s="625"/>
      <c r="B261" s="625"/>
      <c r="C261" s="625"/>
    </row>
    <row r="262">
      <c r="A262" s="625"/>
      <c r="B262" s="625"/>
      <c r="C262" s="625"/>
    </row>
    <row r="263">
      <c r="A263" s="625"/>
      <c r="B263" s="625"/>
      <c r="C263" s="625"/>
    </row>
    <row r="264">
      <c r="A264" s="625"/>
      <c r="B264" s="625"/>
      <c r="C264" s="625"/>
    </row>
    <row r="265">
      <c r="A265" s="625"/>
      <c r="B265" s="625"/>
      <c r="C265" s="625"/>
    </row>
    <row r="266">
      <c r="A266" s="625"/>
      <c r="B266" s="625"/>
      <c r="C266" s="625"/>
    </row>
    <row r="267">
      <c r="A267" s="625"/>
      <c r="B267" s="625"/>
      <c r="C267" s="625"/>
    </row>
    <row r="268">
      <c r="A268" s="625"/>
      <c r="B268" s="625"/>
      <c r="C268" s="625"/>
    </row>
    <row r="269">
      <c r="A269" s="625"/>
      <c r="B269" s="625"/>
      <c r="C269" s="625"/>
    </row>
    <row r="270">
      <c r="A270" s="625"/>
      <c r="B270" s="625"/>
      <c r="C270" s="625"/>
    </row>
    <row r="271">
      <c r="A271" s="625"/>
      <c r="B271" s="625"/>
      <c r="C271" s="625"/>
    </row>
    <row r="272">
      <c r="A272" s="625"/>
      <c r="B272" s="625"/>
      <c r="C272" s="625"/>
    </row>
    <row r="273">
      <c r="A273" s="625"/>
      <c r="B273" s="625"/>
      <c r="C273" s="625"/>
    </row>
    <row r="274">
      <c r="A274" s="625"/>
      <c r="B274" s="625"/>
      <c r="C274" s="625"/>
    </row>
    <row r="275">
      <c r="A275" s="625"/>
      <c r="B275" s="625"/>
      <c r="C275" s="625"/>
    </row>
    <row r="276">
      <c r="A276" s="625"/>
      <c r="B276" s="625"/>
      <c r="C276" s="625"/>
    </row>
    <row r="277">
      <c r="A277" s="625"/>
      <c r="B277" s="625"/>
      <c r="C277" s="625"/>
    </row>
    <row r="278">
      <c r="A278" s="625"/>
      <c r="B278" s="625"/>
      <c r="C278" s="625"/>
    </row>
    <row r="279">
      <c r="A279" s="625"/>
      <c r="B279" s="625"/>
      <c r="C279" s="625"/>
    </row>
    <row r="280">
      <c r="A280" s="625"/>
      <c r="B280" s="625"/>
      <c r="C280" s="625"/>
    </row>
    <row r="281">
      <c r="A281" s="625"/>
      <c r="B281" s="625"/>
      <c r="C281" s="625"/>
    </row>
    <row r="282">
      <c r="A282" s="625"/>
      <c r="B282" s="625"/>
      <c r="C282" s="625"/>
    </row>
    <row r="283">
      <c r="A283" s="625"/>
      <c r="B283" s="625"/>
      <c r="C283" s="625"/>
    </row>
    <row r="284">
      <c r="A284" s="625"/>
      <c r="B284" s="625"/>
      <c r="C284" s="625"/>
    </row>
    <row r="285">
      <c r="A285" s="625"/>
      <c r="B285" s="625"/>
      <c r="C285" s="625"/>
    </row>
    <row r="286">
      <c r="A286" s="625"/>
      <c r="B286" s="625"/>
      <c r="C286" s="625"/>
    </row>
    <row r="287">
      <c r="A287" s="625"/>
      <c r="B287" s="625"/>
      <c r="C287" s="625"/>
    </row>
    <row r="288">
      <c r="A288" s="625"/>
      <c r="B288" s="625"/>
      <c r="C288" s="625"/>
    </row>
    <row r="289">
      <c r="A289" s="625"/>
      <c r="B289" s="625"/>
      <c r="C289" s="625"/>
    </row>
    <row r="290">
      <c r="A290" s="625"/>
      <c r="B290" s="625"/>
      <c r="C290" s="625"/>
    </row>
    <row r="291">
      <c r="A291" s="625"/>
      <c r="B291" s="625"/>
      <c r="C291" s="625"/>
    </row>
    <row r="292">
      <c r="A292" s="625"/>
      <c r="B292" s="625"/>
      <c r="C292" s="625"/>
    </row>
    <row r="293">
      <c r="A293" s="625"/>
      <c r="B293" s="625"/>
      <c r="C293" s="625"/>
    </row>
    <row r="294">
      <c r="A294" s="625"/>
      <c r="B294" s="625"/>
      <c r="C294" s="625"/>
    </row>
    <row r="295">
      <c r="A295" s="625"/>
      <c r="B295" s="625"/>
      <c r="C295" s="625"/>
    </row>
    <row r="296">
      <c r="A296" s="625"/>
      <c r="B296" s="625"/>
      <c r="C296" s="625"/>
    </row>
    <row r="297">
      <c r="A297" s="625"/>
      <c r="B297" s="625"/>
      <c r="C297" s="625"/>
    </row>
    <row r="298">
      <c r="A298" s="625"/>
      <c r="B298" s="625"/>
      <c r="C298" s="625"/>
    </row>
    <row r="299">
      <c r="A299" s="625"/>
      <c r="B299" s="625"/>
      <c r="C299" s="625"/>
    </row>
    <row r="300">
      <c r="A300" s="625"/>
      <c r="B300" s="625"/>
      <c r="C300" s="625"/>
    </row>
    <row r="301">
      <c r="A301" s="625"/>
      <c r="B301" s="625"/>
      <c r="C301" s="625"/>
    </row>
    <row r="302">
      <c r="A302" s="625"/>
      <c r="B302" s="625"/>
      <c r="C302" s="625"/>
    </row>
    <row r="303">
      <c r="A303" s="625"/>
      <c r="B303" s="625"/>
      <c r="C303" s="625"/>
    </row>
    <row r="304">
      <c r="A304" s="625"/>
      <c r="B304" s="625"/>
      <c r="C304" s="625"/>
    </row>
    <row r="305">
      <c r="A305" s="625"/>
      <c r="B305" s="625"/>
      <c r="C305" s="625"/>
    </row>
    <row r="306">
      <c r="A306" s="625"/>
      <c r="B306" s="625"/>
      <c r="C306" s="625"/>
    </row>
    <row r="307">
      <c r="A307" s="625"/>
      <c r="B307" s="625"/>
      <c r="C307" s="625"/>
    </row>
    <row r="308">
      <c r="A308" s="625"/>
      <c r="B308" s="625"/>
      <c r="C308" s="625"/>
    </row>
    <row r="309">
      <c r="A309" s="625"/>
      <c r="B309" s="625"/>
      <c r="C309" s="625"/>
    </row>
    <row r="310">
      <c r="A310" s="625"/>
      <c r="B310" s="625"/>
      <c r="C310" s="625"/>
    </row>
    <row r="311">
      <c r="A311" s="625"/>
      <c r="B311" s="625"/>
      <c r="C311" s="625"/>
    </row>
    <row r="312">
      <c r="A312" s="625"/>
      <c r="B312" s="625"/>
      <c r="C312" s="625"/>
    </row>
    <row r="313">
      <c r="A313" s="625"/>
      <c r="B313" s="625"/>
      <c r="C313" s="625"/>
    </row>
    <row r="314">
      <c r="A314" s="625"/>
      <c r="B314" s="625"/>
      <c r="C314" s="625"/>
    </row>
    <row r="315">
      <c r="A315" s="625"/>
      <c r="B315" s="625"/>
      <c r="C315" s="625"/>
    </row>
    <row r="316">
      <c r="A316" s="625"/>
      <c r="B316" s="625"/>
      <c r="C316" s="625"/>
    </row>
    <row r="317">
      <c r="A317" s="625"/>
      <c r="B317" s="625"/>
      <c r="C317" s="625"/>
    </row>
    <row r="318">
      <c r="A318" s="625"/>
      <c r="B318" s="625"/>
      <c r="C318" s="625"/>
    </row>
    <row r="319">
      <c r="A319" s="625"/>
      <c r="B319" s="625"/>
      <c r="C319" s="625"/>
    </row>
    <row r="320">
      <c r="A320" s="625"/>
      <c r="B320" s="625"/>
      <c r="C320" s="625"/>
    </row>
    <row r="321">
      <c r="A321" s="625"/>
      <c r="B321" s="625"/>
      <c r="C321" s="625"/>
    </row>
    <row r="322">
      <c r="A322" s="625"/>
      <c r="B322" s="625"/>
      <c r="C322" s="625"/>
    </row>
    <row r="323">
      <c r="A323" s="625"/>
      <c r="B323" s="625"/>
      <c r="C323" s="625"/>
    </row>
    <row r="324">
      <c r="A324" s="625"/>
      <c r="B324" s="625"/>
      <c r="C324" s="625"/>
    </row>
    <row r="325">
      <c r="A325" s="625"/>
      <c r="B325" s="625"/>
      <c r="C325" s="625"/>
    </row>
    <row r="326">
      <c r="A326" s="625"/>
      <c r="B326" s="625"/>
      <c r="C326" s="625"/>
    </row>
    <row r="327">
      <c r="A327" s="625"/>
      <c r="B327" s="625"/>
      <c r="C327" s="625"/>
    </row>
    <row r="328">
      <c r="A328" s="625"/>
      <c r="B328" s="625"/>
      <c r="C328" s="625"/>
    </row>
    <row r="329">
      <c r="A329" s="625"/>
      <c r="B329" s="625"/>
      <c r="C329" s="625"/>
    </row>
    <row r="330">
      <c r="A330" s="625"/>
      <c r="B330" s="625"/>
      <c r="C330" s="625"/>
    </row>
    <row r="331">
      <c r="A331" s="625"/>
      <c r="B331" s="625"/>
      <c r="C331" s="625"/>
    </row>
    <row r="332">
      <c r="A332" s="625"/>
      <c r="B332" s="625"/>
      <c r="C332" s="625"/>
    </row>
    <row r="333">
      <c r="A333" s="625"/>
      <c r="B333" s="625"/>
      <c r="C333" s="625"/>
    </row>
    <row r="334">
      <c r="A334" s="625"/>
      <c r="B334" s="625"/>
      <c r="C334" s="625"/>
    </row>
    <row r="335">
      <c r="A335" s="625"/>
      <c r="B335" s="625"/>
      <c r="C335" s="625"/>
    </row>
    <row r="336">
      <c r="A336" s="625"/>
      <c r="B336" s="625"/>
      <c r="C336" s="625"/>
    </row>
    <row r="337">
      <c r="A337" s="625"/>
      <c r="B337" s="625"/>
      <c r="C337" s="625"/>
    </row>
    <row r="338">
      <c r="A338" s="625"/>
      <c r="B338" s="625"/>
      <c r="C338" s="625"/>
    </row>
    <row r="339">
      <c r="A339" s="625"/>
      <c r="B339" s="625"/>
      <c r="C339" s="625"/>
    </row>
    <row r="340">
      <c r="A340" s="625"/>
      <c r="B340" s="625"/>
      <c r="C340" s="625"/>
    </row>
    <row r="341">
      <c r="A341" s="625"/>
      <c r="B341" s="625"/>
      <c r="C341" s="625"/>
    </row>
    <row r="342">
      <c r="A342" s="625"/>
      <c r="B342" s="625"/>
      <c r="C342" s="625"/>
    </row>
    <row r="343">
      <c r="A343" s="625"/>
      <c r="B343" s="625"/>
      <c r="C343" s="625"/>
    </row>
    <row r="344">
      <c r="A344" s="625"/>
      <c r="B344" s="625"/>
      <c r="C344" s="625"/>
    </row>
    <row r="345">
      <c r="A345" s="625"/>
      <c r="B345" s="625"/>
      <c r="C345" s="625"/>
    </row>
    <row r="346">
      <c r="A346" s="625"/>
      <c r="B346" s="625"/>
      <c r="C346" s="625"/>
    </row>
    <row r="347">
      <c r="A347" s="625"/>
      <c r="B347" s="625"/>
      <c r="C347" s="625"/>
    </row>
    <row r="348">
      <c r="A348" s="625"/>
      <c r="B348" s="625"/>
      <c r="C348" s="625"/>
    </row>
    <row r="349">
      <c r="A349" s="625"/>
      <c r="B349" s="625"/>
      <c r="C349" s="625"/>
    </row>
    <row r="350">
      <c r="A350" s="625"/>
      <c r="B350" s="625"/>
      <c r="C350" s="625"/>
    </row>
    <row r="351">
      <c r="A351" s="625"/>
      <c r="B351" s="625"/>
      <c r="C351" s="625"/>
    </row>
    <row r="352">
      <c r="A352" s="625"/>
      <c r="B352" s="625"/>
      <c r="C352" s="625"/>
    </row>
    <row r="353">
      <c r="A353" s="625"/>
      <c r="B353" s="625"/>
      <c r="C353" s="625"/>
    </row>
    <row r="354">
      <c r="A354" s="625"/>
      <c r="B354" s="625"/>
      <c r="C354" s="625"/>
    </row>
    <row r="355">
      <c r="A355" s="625"/>
      <c r="B355" s="625"/>
      <c r="C355" s="625"/>
    </row>
    <row r="356">
      <c r="A356" s="625"/>
      <c r="B356" s="625"/>
      <c r="C356" s="625"/>
    </row>
    <row r="357">
      <c r="A357" s="625"/>
      <c r="B357" s="625"/>
      <c r="C357" s="625"/>
    </row>
    <row r="358">
      <c r="A358" s="625"/>
      <c r="B358" s="625"/>
      <c r="C358" s="625"/>
    </row>
    <row r="359">
      <c r="A359" s="625"/>
      <c r="B359" s="625"/>
      <c r="C359" s="625"/>
    </row>
    <row r="360">
      <c r="A360" s="625"/>
      <c r="B360" s="625"/>
      <c r="C360" s="625"/>
    </row>
    <row r="361">
      <c r="A361" s="625"/>
      <c r="B361" s="625"/>
      <c r="C361" s="625"/>
    </row>
    <row r="362">
      <c r="A362" s="625"/>
      <c r="B362" s="625"/>
      <c r="C362" s="625"/>
    </row>
    <row r="363">
      <c r="A363" s="625"/>
      <c r="B363" s="625"/>
      <c r="C363" s="625"/>
    </row>
    <row r="364">
      <c r="A364" s="625"/>
      <c r="B364" s="625"/>
      <c r="C364" s="625"/>
    </row>
    <row r="365">
      <c r="A365" s="625"/>
      <c r="B365" s="625"/>
      <c r="C365" s="625"/>
    </row>
    <row r="366">
      <c r="A366" s="625"/>
      <c r="B366" s="625"/>
      <c r="C366" s="625"/>
    </row>
    <row r="367">
      <c r="A367" s="625"/>
      <c r="B367" s="625"/>
      <c r="C367" s="625"/>
    </row>
    <row r="368">
      <c r="A368" s="625"/>
      <c r="B368" s="625"/>
      <c r="C368" s="625"/>
    </row>
    <row r="369">
      <c r="A369" s="625"/>
      <c r="B369" s="625"/>
      <c r="C369" s="625"/>
    </row>
    <row r="370">
      <c r="A370" s="625"/>
      <c r="B370" s="625"/>
      <c r="C370" s="625"/>
    </row>
    <row r="371">
      <c r="A371" s="625"/>
      <c r="B371" s="625"/>
      <c r="C371" s="625"/>
    </row>
    <row r="372">
      <c r="A372" s="625"/>
      <c r="B372" s="625"/>
      <c r="C372" s="625"/>
    </row>
    <row r="373">
      <c r="A373" s="625"/>
      <c r="B373" s="625"/>
      <c r="C373" s="625"/>
    </row>
    <row r="374">
      <c r="A374" s="625"/>
      <c r="B374" s="625"/>
      <c r="C374" s="625"/>
    </row>
    <row r="375">
      <c r="A375" s="625"/>
      <c r="B375" s="625"/>
      <c r="C375" s="625"/>
    </row>
    <row r="376">
      <c r="A376" s="625"/>
      <c r="B376" s="625"/>
      <c r="C376" s="625"/>
    </row>
    <row r="377">
      <c r="A377" s="625"/>
      <c r="B377" s="625"/>
      <c r="C377" s="625"/>
    </row>
    <row r="378">
      <c r="A378" s="625"/>
      <c r="B378" s="625"/>
      <c r="C378" s="625"/>
    </row>
    <row r="379">
      <c r="A379" s="625"/>
      <c r="B379" s="625"/>
      <c r="C379" s="625"/>
    </row>
    <row r="380">
      <c r="A380" s="625"/>
      <c r="B380" s="625"/>
      <c r="C380" s="625"/>
    </row>
    <row r="381">
      <c r="A381" s="625"/>
      <c r="B381" s="625"/>
      <c r="C381" s="625"/>
    </row>
    <row r="382">
      <c r="A382" s="625"/>
      <c r="B382" s="625"/>
      <c r="C382" s="625"/>
    </row>
    <row r="383">
      <c r="A383" s="625"/>
      <c r="B383" s="625"/>
      <c r="C383" s="625"/>
    </row>
    <row r="384">
      <c r="A384" s="625"/>
      <c r="B384" s="625"/>
      <c r="C384" s="625"/>
    </row>
    <row r="385">
      <c r="A385" s="625"/>
      <c r="B385" s="625"/>
      <c r="C385" s="625"/>
    </row>
    <row r="386">
      <c r="A386" s="625"/>
      <c r="B386" s="625"/>
      <c r="C386" s="625"/>
    </row>
    <row r="387">
      <c r="A387" s="625"/>
      <c r="B387" s="625"/>
      <c r="C387" s="625"/>
    </row>
    <row r="388">
      <c r="A388" s="625"/>
      <c r="B388" s="625"/>
      <c r="C388" s="625"/>
    </row>
    <row r="389">
      <c r="A389" s="625"/>
      <c r="B389" s="625"/>
      <c r="C389" s="625"/>
    </row>
    <row r="390">
      <c r="A390" s="625"/>
      <c r="B390" s="625"/>
      <c r="C390" s="625"/>
    </row>
    <row r="391">
      <c r="A391" s="625"/>
      <c r="B391" s="625"/>
      <c r="C391" s="625"/>
    </row>
    <row r="392">
      <c r="A392" s="625"/>
      <c r="B392" s="625"/>
      <c r="C392" s="625"/>
    </row>
    <row r="393">
      <c r="A393" s="625"/>
      <c r="B393" s="625"/>
      <c r="C393" s="625"/>
    </row>
    <row r="394">
      <c r="A394" s="625"/>
      <c r="B394" s="625"/>
      <c r="C394" s="625"/>
    </row>
    <row r="395">
      <c r="A395" s="625"/>
      <c r="B395" s="625"/>
      <c r="C395" s="625"/>
    </row>
    <row r="396">
      <c r="A396" s="625"/>
      <c r="B396" s="625"/>
      <c r="C396" s="625"/>
    </row>
    <row r="397">
      <c r="A397" s="625"/>
      <c r="B397" s="625"/>
      <c r="C397" s="625"/>
    </row>
    <row r="398">
      <c r="A398" s="625"/>
      <c r="B398" s="625"/>
      <c r="C398" s="625"/>
    </row>
    <row r="399">
      <c r="A399" s="625"/>
      <c r="B399" s="625"/>
      <c r="C399" s="625"/>
    </row>
    <row r="400">
      <c r="A400" s="625"/>
      <c r="B400" s="625"/>
      <c r="C400" s="625"/>
    </row>
    <row r="401">
      <c r="A401" s="625"/>
      <c r="B401" s="625"/>
      <c r="C401" s="625"/>
    </row>
    <row r="402">
      <c r="A402" s="625"/>
      <c r="B402" s="625"/>
      <c r="C402" s="625"/>
    </row>
    <row r="403">
      <c r="A403" s="625"/>
      <c r="B403" s="625"/>
      <c r="C403" s="625"/>
    </row>
    <row r="404">
      <c r="A404" s="625"/>
      <c r="B404" s="625"/>
      <c r="C404" s="625"/>
    </row>
    <row r="405">
      <c r="A405" s="625"/>
      <c r="B405" s="625"/>
      <c r="C405" s="625"/>
    </row>
    <row r="406">
      <c r="A406" s="625"/>
      <c r="B406" s="625"/>
      <c r="C406" s="625"/>
    </row>
    <row r="407">
      <c r="A407" s="625"/>
      <c r="B407" s="625"/>
      <c r="C407" s="625"/>
    </row>
    <row r="408">
      <c r="A408" s="625"/>
      <c r="B408" s="625"/>
      <c r="C408" s="625"/>
    </row>
    <row r="409">
      <c r="A409" s="625"/>
      <c r="B409" s="625"/>
      <c r="C409" s="625"/>
    </row>
    <row r="410">
      <c r="A410" s="625"/>
      <c r="B410" s="625"/>
      <c r="C410" s="625"/>
    </row>
    <row r="411">
      <c r="A411" s="625"/>
      <c r="B411" s="625"/>
      <c r="C411" s="625"/>
    </row>
    <row r="412">
      <c r="A412" s="625"/>
      <c r="B412" s="625"/>
      <c r="C412" s="625"/>
    </row>
    <row r="413">
      <c r="A413" s="625"/>
      <c r="B413" s="625"/>
      <c r="C413" s="625"/>
    </row>
    <row r="414">
      <c r="A414" s="625"/>
      <c r="B414" s="625"/>
      <c r="C414" s="625"/>
    </row>
    <row r="415">
      <c r="A415" s="625"/>
      <c r="B415" s="625"/>
      <c r="C415" s="625"/>
    </row>
    <row r="416">
      <c r="A416" s="625"/>
      <c r="B416" s="625"/>
      <c r="C416" s="625"/>
    </row>
    <row r="417">
      <c r="A417" s="625"/>
      <c r="B417" s="625"/>
      <c r="C417" s="625"/>
    </row>
    <row r="418">
      <c r="A418" s="625"/>
      <c r="B418" s="625"/>
      <c r="C418" s="625"/>
    </row>
    <row r="419">
      <c r="A419" s="625"/>
      <c r="B419" s="625"/>
      <c r="C419" s="625"/>
    </row>
    <row r="420">
      <c r="A420" s="625"/>
      <c r="B420" s="625"/>
      <c r="C420" s="625"/>
    </row>
    <row r="421">
      <c r="A421" s="625"/>
      <c r="B421" s="625"/>
      <c r="C421" s="625"/>
    </row>
    <row r="422">
      <c r="A422" s="625"/>
      <c r="B422" s="625"/>
      <c r="C422" s="625"/>
    </row>
    <row r="423">
      <c r="A423" s="625"/>
      <c r="B423" s="625"/>
      <c r="C423" s="625"/>
    </row>
    <row r="424">
      <c r="A424" s="625"/>
      <c r="B424" s="625"/>
      <c r="C424" s="625"/>
    </row>
    <row r="425">
      <c r="A425" s="625"/>
      <c r="B425" s="625"/>
      <c r="C425" s="625"/>
    </row>
    <row r="426">
      <c r="A426" s="625"/>
      <c r="B426" s="625"/>
      <c r="C426" s="625"/>
    </row>
    <row r="427">
      <c r="A427" s="625"/>
      <c r="B427" s="625"/>
      <c r="C427" s="625"/>
    </row>
    <row r="428">
      <c r="A428" s="625"/>
      <c r="B428" s="625"/>
      <c r="C428" s="625"/>
    </row>
    <row r="429">
      <c r="A429" s="625"/>
      <c r="B429" s="625"/>
      <c r="C429" s="625"/>
    </row>
    <row r="430">
      <c r="A430" s="625"/>
      <c r="B430" s="625"/>
      <c r="C430" s="625"/>
    </row>
    <row r="431">
      <c r="A431" s="625"/>
      <c r="B431" s="625"/>
      <c r="C431" s="625"/>
    </row>
    <row r="432">
      <c r="A432" s="625"/>
      <c r="B432" s="625"/>
      <c r="C432" s="625"/>
    </row>
    <row r="433">
      <c r="A433" s="625"/>
      <c r="B433" s="625"/>
      <c r="C433" s="625"/>
    </row>
    <row r="434">
      <c r="A434" s="625"/>
      <c r="B434" s="625"/>
      <c r="C434" s="625"/>
    </row>
    <row r="435">
      <c r="A435" s="625"/>
      <c r="B435" s="625"/>
      <c r="C435" s="625"/>
    </row>
    <row r="436">
      <c r="A436" s="625"/>
      <c r="B436" s="625"/>
      <c r="C436" s="625"/>
    </row>
    <row r="437">
      <c r="A437" s="625"/>
      <c r="B437" s="625"/>
      <c r="C437" s="625"/>
    </row>
    <row r="438">
      <c r="A438" s="625"/>
      <c r="B438" s="625"/>
      <c r="C438" s="625"/>
    </row>
    <row r="439">
      <c r="A439" s="625"/>
      <c r="B439" s="625"/>
      <c r="C439" s="625"/>
    </row>
    <row r="440">
      <c r="A440" s="625"/>
      <c r="B440" s="625"/>
      <c r="C440" s="625"/>
    </row>
    <row r="441">
      <c r="A441" s="625"/>
      <c r="B441" s="625"/>
      <c r="C441" s="625"/>
    </row>
    <row r="442">
      <c r="A442" s="625"/>
      <c r="B442" s="625"/>
      <c r="C442" s="625"/>
    </row>
    <row r="443">
      <c r="A443" s="625"/>
      <c r="B443" s="625"/>
      <c r="C443" s="625"/>
    </row>
    <row r="444">
      <c r="A444" s="625"/>
      <c r="B444" s="625"/>
      <c r="C444" s="625"/>
    </row>
    <row r="445">
      <c r="A445" s="625"/>
      <c r="B445" s="625"/>
      <c r="C445" s="625"/>
    </row>
    <row r="446">
      <c r="A446" s="625"/>
      <c r="B446" s="625"/>
      <c r="C446" s="625"/>
    </row>
    <row r="447">
      <c r="A447" s="625"/>
      <c r="B447" s="625"/>
      <c r="C447" s="625"/>
    </row>
    <row r="448">
      <c r="A448" s="625"/>
      <c r="B448" s="625"/>
      <c r="C448" s="625"/>
    </row>
    <row r="449">
      <c r="A449" s="625"/>
      <c r="B449" s="625"/>
      <c r="C449" s="625"/>
    </row>
    <row r="450">
      <c r="A450" s="625"/>
      <c r="B450" s="625"/>
      <c r="C450" s="625"/>
    </row>
    <row r="451">
      <c r="A451" s="625"/>
      <c r="B451" s="625"/>
      <c r="C451" s="625"/>
    </row>
    <row r="452">
      <c r="A452" s="625"/>
      <c r="B452" s="625"/>
      <c r="C452" s="625"/>
    </row>
    <row r="453">
      <c r="A453" s="625"/>
      <c r="B453" s="625"/>
      <c r="C453" s="625"/>
    </row>
    <row r="454">
      <c r="A454" s="625"/>
      <c r="B454" s="625"/>
      <c r="C454" s="625"/>
    </row>
    <row r="455">
      <c r="A455" s="625"/>
      <c r="B455" s="625"/>
      <c r="C455" s="625"/>
    </row>
    <row r="456">
      <c r="A456" s="625"/>
      <c r="B456" s="625"/>
      <c r="C456" s="625"/>
    </row>
    <row r="457">
      <c r="A457" s="625"/>
      <c r="B457" s="625"/>
      <c r="C457" s="625"/>
    </row>
    <row r="458">
      <c r="A458" s="625"/>
      <c r="B458" s="625"/>
      <c r="C458" s="625"/>
    </row>
    <row r="459">
      <c r="A459" s="625"/>
      <c r="B459" s="625"/>
      <c r="C459" s="625"/>
    </row>
    <row r="460">
      <c r="A460" s="625"/>
      <c r="B460" s="625"/>
      <c r="C460" s="625"/>
    </row>
    <row r="461">
      <c r="A461" s="625"/>
      <c r="B461" s="625"/>
      <c r="C461" s="625"/>
    </row>
    <row r="462">
      <c r="A462" s="625"/>
      <c r="B462" s="625"/>
      <c r="C462" s="625"/>
    </row>
    <row r="463">
      <c r="A463" s="625"/>
      <c r="B463" s="625"/>
      <c r="C463" s="625"/>
    </row>
    <row r="464">
      <c r="A464" s="625"/>
      <c r="B464" s="625"/>
      <c r="C464" s="625"/>
    </row>
    <row r="465">
      <c r="A465" s="625"/>
      <c r="B465" s="625"/>
      <c r="C465" s="625"/>
    </row>
    <row r="466">
      <c r="A466" s="625"/>
      <c r="B466" s="625"/>
      <c r="C466" s="625"/>
    </row>
    <row r="467">
      <c r="A467" s="625"/>
      <c r="B467" s="625"/>
      <c r="C467" s="625"/>
    </row>
    <row r="468">
      <c r="A468" s="625"/>
      <c r="B468" s="625"/>
      <c r="C468" s="625"/>
    </row>
    <row r="469">
      <c r="A469" s="625"/>
      <c r="B469" s="625"/>
      <c r="C469" s="625"/>
    </row>
    <row r="470">
      <c r="A470" s="625"/>
      <c r="B470" s="625"/>
      <c r="C470" s="625"/>
    </row>
    <row r="471">
      <c r="A471" s="625"/>
      <c r="B471" s="625"/>
      <c r="C471" s="625"/>
    </row>
    <row r="472">
      <c r="A472" s="625"/>
      <c r="B472" s="625"/>
      <c r="C472" s="625"/>
    </row>
    <row r="473">
      <c r="A473" s="625"/>
      <c r="B473" s="625"/>
      <c r="C473" s="625"/>
    </row>
    <row r="474">
      <c r="A474" s="625"/>
      <c r="B474" s="625"/>
      <c r="C474" s="625"/>
    </row>
    <row r="475">
      <c r="A475" s="625"/>
      <c r="B475" s="625"/>
      <c r="C475" s="625"/>
    </row>
    <row r="476">
      <c r="A476" s="625"/>
      <c r="B476" s="625"/>
      <c r="C476" s="625"/>
    </row>
    <row r="477">
      <c r="A477" s="625"/>
      <c r="B477" s="625"/>
      <c r="C477" s="625"/>
    </row>
    <row r="478">
      <c r="A478" s="625"/>
      <c r="B478" s="625"/>
      <c r="C478" s="625"/>
    </row>
    <row r="479">
      <c r="A479" s="625"/>
      <c r="B479" s="625"/>
      <c r="C479" s="625"/>
    </row>
    <row r="480">
      <c r="A480" s="625"/>
      <c r="B480" s="625"/>
      <c r="C480" s="625"/>
    </row>
    <row r="481">
      <c r="A481" s="625"/>
      <c r="B481" s="625"/>
      <c r="C481" s="625"/>
    </row>
    <row r="482">
      <c r="A482" s="625"/>
      <c r="B482" s="625"/>
      <c r="C482" s="625"/>
    </row>
    <row r="483">
      <c r="A483" s="625"/>
      <c r="B483" s="625"/>
      <c r="C483" s="625"/>
    </row>
    <row r="484">
      <c r="A484" s="625"/>
      <c r="B484" s="625"/>
      <c r="C484" s="625"/>
    </row>
    <row r="485">
      <c r="A485" s="625"/>
      <c r="B485" s="625"/>
      <c r="C485" s="625"/>
    </row>
    <row r="486">
      <c r="A486" s="625"/>
      <c r="B486" s="625"/>
      <c r="C486" s="625"/>
    </row>
    <row r="487">
      <c r="A487" s="625"/>
      <c r="B487" s="625"/>
      <c r="C487" s="625"/>
    </row>
    <row r="488">
      <c r="A488" s="625"/>
      <c r="B488" s="625"/>
      <c r="C488" s="625"/>
    </row>
    <row r="489">
      <c r="A489" s="625"/>
      <c r="B489" s="625"/>
      <c r="C489" s="625"/>
    </row>
    <row r="490">
      <c r="A490" s="625"/>
      <c r="B490" s="625"/>
      <c r="C490" s="625"/>
    </row>
    <row r="491">
      <c r="A491" s="625"/>
      <c r="B491" s="625"/>
      <c r="C491" s="625"/>
    </row>
    <row r="492">
      <c r="A492" s="625"/>
      <c r="B492" s="625"/>
      <c r="C492" s="625"/>
    </row>
    <row r="493">
      <c r="A493" s="625"/>
      <c r="B493" s="625"/>
      <c r="C493" s="625"/>
    </row>
    <row r="494">
      <c r="A494" s="625"/>
      <c r="B494" s="625"/>
      <c r="C494" s="625"/>
    </row>
    <row r="495">
      <c r="A495" s="625"/>
      <c r="B495" s="625"/>
      <c r="C495" s="625"/>
    </row>
    <row r="496">
      <c r="A496" s="625"/>
      <c r="B496" s="625"/>
      <c r="C496" s="625"/>
    </row>
    <row r="497">
      <c r="A497" s="625"/>
      <c r="B497" s="625"/>
      <c r="C497" s="625"/>
    </row>
    <row r="498">
      <c r="A498" s="625"/>
      <c r="B498" s="625"/>
      <c r="C498" s="625"/>
    </row>
    <row r="499">
      <c r="A499" s="625"/>
      <c r="B499" s="625"/>
      <c r="C499" s="625"/>
    </row>
    <row r="500">
      <c r="A500" s="625"/>
      <c r="B500" s="625"/>
      <c r="C500" s="625"/>
    </row>
    <row r="501">
      <c r="A501" s="625"/>
      <c r="B501" s="625"/>
      <c r="C501" s="625"/>
    </row>
    <row r="502">
      <c r="A502" s="625"/>
      <c r="B502" s="625"/>
      <c r="C502" s="625"/>
    </row>
    <row r="503">
      <c r="A503" s="625"/>
      <c r="B503" s="625"/>
      <c r="C503" s="625"/>
    </row>
    <row r="504">
      <c r="A504" s="625"/>
      <c r="B504" s="625"/>
      <c r="C504" s="625"/>
    </row>
    <row r="505">
      <c r="A505" s="625"/>
      <c r="B505" s="625"/>
      <c r="C505" s="625"/>
    </row>
    <row r="506">
      <c r="A506" s="625"/>
      <c r="B506" s="625"/>
      <c r="C506" s="625"/>
    </row>
    <row r="507">
      <c r="A507" s="625"/>
      <c r="B507" s="625"/>
      <c r="C507" s="625"/>
    </row>
    <row r="508">
      <c r="A508" s="625"/>
      <c r="B508" s="625"/>
      <c r="C508" s="625"/>
    </row>
    <row r="509">
      <c r="A509" s="625"/>
      <c r="B509" s="625"/>
      <c r="C509" s="625"/>
    </row>
    <row r="510">
      <c r="A510" s="625"/>
      <c r="B510" s="625"/>
      <c r="C510" s="625"/>
    </row>
    <row r="511">
      <c r="A511" s="625"/>
      <c r="B511" s="625"/>
      <c r="C511" s="625"/>
    </row>
    <row r="512">
      <c r="A512" s="625"/>
      <c r="B512" s="625"/>
      <c r="C512" s="625"/>
    </row>
    <row r="513">
      <c r="A513" s="625"/>
      <c r="B513" s="625"/>
      <c r="C513" s="625"/>
    </row>
    <row r="514">
      <c r="A514" s="625"/>
      <c r="B514" s="625"/>
      <c r="C514" s="625"/>
    </row>
    <row r="515">
      <c r="A515" s="625"/>
      <c r="B515" s="625"/>
      <c r="C515" s="625"/>
    </row>
    <row r="516">
      <c r="A516" s="625"/>
      <c r="B516" s="625"/>
      <c r="C516" s="625"/>
    </row>
    <row r="517">
      <c r="A517" s="625"/>
      <c r="B517" s="625"/>
      <c r="C517" s="625"/>
    </row>
    <row r="518">
      <c r="A518" s="625"/>
      <c r="B518" s="625"/>
      <c r="C518" s="625"/>
    </row>
    <row r="519">
      <c r="A519" s="625"/>
      <c r="B519" s="625"/>
      <c r="C519" s="625"/>
    </row>
    <row r="520">
      <c r="A520" s="625"/>
      <c r="B520" s="625"/>
      <c r="C520" s="625"/>
    </row>
    <row r="521">
      <c r="A521" s="625"/>
      <c r="B521" s="625"/>
      <c r="C521" s="625"/>
    </row>
    <row r="522">
      <c r="A522" s="625"/>
      <c r="B522" s="625"/>
      <c r="C522" s="625"/>
    </row>
    <row r="523">
      <c r="A523" s="625"/>
      <c r="B523" s="625"/>
      <c r="C523" s="625"/>
    </row>
    <row r="524">
      <c r="A524" s="625"/>
      <c r="B524" s="625"/>
      <c r="C524" s="625"/>
    </row>
    <row r="525">
      <c r="A525" s="625"/>
      <c r="B525" s="625"/>
      <c r="C525" s="625"/>
    </row>
    <row r="526">
      <c r="A526" s="625"/>
      <c r="B526" s="625"/>
      <c r="C526" s="625"/>
    </row>
    <row r="527">
      <c r="A527" s="625"/>
      <c r="B527" s="625"/>
      <c r="C527" s="625"/>
    </row>
    <row r="528">
      <c r="A528" s="625"/>
      <c r="B528" s="625"/>
      <c r="C528" s="625"/>
    </row>
    <row r="529">
      <c r="A529" s="625"/>
      <c r="B529" s="625"/>
      <c r="C529" s="625"/>
    </row>
    <row r="530">
      <c r="A530" s="625"/>
      <c r="B530" s="625"/>
      <c r="C530" s="625"/>
    </row>
    <row r="531">
      <c r="A531" s="625"/>
      <c r="B531" s="625"/>
      <c r="C531" s="625"/>
    </row>
    <row r="532">
      <c r="A532" s="625"/>
      <c r="B532" s="625"/>
      <c r="C532" s="625"/>
    </row>
    <row r="533">
      <c r="A533" s="625"/>
      <c r="B533" s="625"/>
      <c r="C533" s="625"/>
    </row>
    <row r="534">
      <c r="A534" s="625"/>
      <c r="B534" s="625"/>
      <c r="C534" s="625"/>
    </row>
    <row r="535">
      <c r="A535" s="625"/>
      <c r="B535" s="625"/>
      <c r="C535" s="625"/>
    </row>
    <row r="536">
      <c r="A536" s="625"/>
      <c r="B536" s="625"/>
      <c r="C536" s="625"/>
    </row>
    <row r="537">
      <c r="A537" s="625"/>
      <c r="B537" s="625"/>
      <c r="C537" s="625"/>
    </row>
    <row r="538">
      <c r="A538" s="625"/>
      <c r="B538" s="625"/>
      <c r="C538" s="625"/>
    </row>
    <row r="539">
      <c r="A539" s="625"/>
      <c r="B539" s="625"/>
      <c r="C539" s="625"/>
    </row>
    <row r="540">
      <c r="A540" s="625"/>
      <c r="B540" s="625"/>
      <c r="C540" s="625"/>
    </row>
    <row r="541">
      <c r="A541" s="625"/>
      <c r="B541" s="625"/>
      <c r="C541" s="625"/>
    </row>
    <row r="542">
      <c r="A542" s="625"/>
      <c r="B542" s="625"/>
      <c r="C542" s="625"/>
    </row>
    <row r="543">
      <c r="A543" s="625"/>
      <c r="B543" s="625"/>
      <c r="C543" s="625"/>
    </row>
    <row r="544">
      <c r="A544" s="625"/>
      <c r="B544" s="625"/>
      <c r="C544" s="625"/>
    </row>
    <row r="545">
      <c r="A545" s="625"/>
      <c r="B545" s="625"/>
      <c r="C545" s="625"/>
    </row>
    <row r="546">
      <c r="A546" s="625"/>
      <c r="B546" s="625"/>
      <c r="C546" s="625"/>
    </row>
    <row r="547">
      <c r="A547" s="625"/>
      <c r="B547" s="625"/>
      <c r="C547" s="625"/>
    </row>
    <row r="548">
      <c r="A548" s="625"/>
      <c r="B548" s="625"/>
      <c r="C548" s="625"/>
    </row>
    <row r="549">
      <c r="A549" s="625"/>
      <c r="B549" s="625"/>
      <c r="C549" s="625"/>
    </row>
    <row r="550">
      <c r="A550" s="625"/>
      <c r="B550" s="625"/>
      <c r="C550" s="625"/>
    </row>
    <row r="551">
      <c r="A551" s="625"/>
      <c r="B551" s="625"/>
      <c r="C551" s="625"/>
    </row>
    <row r="552">
      <c r="A552" s="625"/>
      <c r="B552" s="625"/>
      <c r="C552" s="625"/>
    </row>
    <row r="553">
      <c r="A553" s="625"/>
      <c r="B553" s="625"/>
      <c r="C553" s="625"/>
    </row>
    <row r="554">
      <c r="A554" s="625"/>
      <c r="B554" s="625"/>
      <c r="C554" s="625"/>
    </row>
    <row r="555">
      <c r="A555" s="625"/>
      <c r="B555" s="625"/>
      <c r="C555" s="625"/>
    </row>
    <row r="556">
      <c r="A556" s="625"/>
      <c r="B556" s="625"/>
      <c r="C556" s="625"/>
    </row>
    <row r="557">
      <c r="A557" s="625"/>
      <c r="B557" s="625"/>
      <c r="C557" s="625"/>
    </row>
    <row r="558">
      <c r="A558" s="625"/>
      <c r="B558" s="625"/>
      <c r="C558" s="625"/>
    </row>
    <row r="559">
      <c r="A559" s="625"/>
      <c r="B559" s="625"/>
      <c r="C559" s="625"/>
    </row>
    <row r="560">
      <c r="A560" s="625"/>
      <c r="B560" s="625"/>
      <c r="C560" s="625"/>
    </row>
    <row r="561">
      <c r="A561" s="625"/>
      <c r="B561" s="625"/>
      <c r="C561" s="625"/>
    </row>
    <row r="562">
      <c r="A562" s="625"/>
      <c r="B562" s="625"/>
      <c r="C562" s="625"/>
    </row>
    <row r="563">
      <c r="A563" s="625"/>
      <c r="B563" s="625"/>
      <c r="C563" s="625"/>
    </row>
    <row r="564">
      <c r="A564" s="625"/>
      <c r="B564" s="625"/>
      <c r="C564" s="625"/>
    </row>
    <row r="565">
      <c r="A565" s="625"/>
      <c r="B565" s="625"/>
      <c r="C565" s="625"/>
    </row>
    <row r="566">
      <c r="A566" s="625"/>
      <c r="B566" s="625"/>
      <c r="C566" s="625"/>
    </row>
    <row r="567">
      <c r="A567" s="625"/>
      <c r="B567" s="625"/>
      <c r="C567" s="625"/>
    </row>
    <row r="568">
      <c r="A568" s="625"/>
      <c r="B568" s="625"/>
      <c r="C568" s="625"/>
    </row>
    <row r="569">
      <c r="A569" s="625"/>
      <c r="B569" s="625"/>
      <c r="C569" s="625"/>
    </row>
    <row r="570">
      <c r="A570" s="625"/>
      <c r="B570" s="625"/>
      <c r="C570" s="625"/>
    </row>
    <row r="571">
      <c r="A571" s="625"/>
      <c r="B571" s="625"/>
      <c r="C571" s="625"/>
    </row>
    <row r="572">
      <c r="A572" s="625"/>
      <c r="B572" s="625"/>
      <c r="C572" s="625"/>
    </row>
    <row r="573">
      <c r="A573" s="625"/>
      <c r="B573" s="625"/>
      <c r="C573" s="625"/>
    </row>
    <row r="574">
      <c r="A574" s="625"/>
      <c r="B574" s="625"/>
      <c r="C574" s="625"/>
    </row>
    <row r="575">
      <c r="A575" s="625"/>
      <c r="B575" s="625"/>
      <c r="C575" s="625"/>
    </row>
    <row r="576">
      <c r="A576" s="625"/>
      <c r="B576" s="625"/>
      <c r="C576" s="625"/>
    </row>
    <row r="577">
      <c r="A577" s="625"/>
      <c r="B577" s="625"/>
      <c r="C577" s="625"/>
    </row>
    <row r="578">
      <c r="A578" s="625"/>
      <c r="B578" s="625"/>
      <c r="C578" s="625"/>
    </row>
    <row r="579">
      <c r="A579" s="625"/>
      <c r="B579" s="625"/>
      <c r="C579" s="625"/>
    </row>
    <row r="580">
      <c r="A580" s="625"/>
      <c r="B580" s="625"/>
      <c r="C580" s="625"/>
    </row>
    <row r="581">
      <c r="A581" s="625"/>
      <c r="B581" s="625"/>
      <c r="C581" s="625"/>
    </row>
    <row r="582">
      <c r="A582" s="625"/>
      <c r="B582" s="625"/>
      <c r="C582" s="625"/>
    </row>
    <row r="583">
      <c r="A583" s="625"/>
      <c r="B583" s="625"/>
      <c r="C583" s="625"/>
    </row>
    <row r="584">
      <c r="A584" s="625"/>
      <c r="B584" s="625"/>
      <c r="C584" s="625"/>
    </row>
    <row r="585">
      <c r="A585" s="625"/>
      <c r="B585" s="625"/>
      <c r="C585" s="625"/>
    </row>
    <row r="586">
      <c r="A586" s="625"/>
      <c r="B586" s="625"/>
      <c r="C586" s="625"/>
    </row>
    <row r="587">
      <c r="A587" s="625"/>
      <c r="B587" s="625"/>
      <c r="C587" s="625"/>
    </row>
    <row r="588">
      <c r="A588" s="625"/>
      <c r="B588" s="625"/>
      <c r="C588" s="625"/>
    </row>
    <row r="589">
      <c r="A589" s="625"/>
      <c r="B589" s="625"/>
      <c r="C589" s="625"/>
    </row>
    <row r="590">
      <c r="A590" s="625"/>
      <c r="B590" s="625"/>
      <c r="C590" s="625"/>
    </row>
    <row r="591">
      <c r="A591" s="625"/>
      <c r="B591" s="625"/>
      <c r="C591" s="625"/>
    </row>
    <row r="592">
      <c r="A592" s="625"/>
      <c r="B592" s="625"/>
      <c r="C592" s="625"/>
    </row>
    <row r="593">
      <c r="A593" s="625"/>
      <c r="B593" s="625"/>
      <c r="C593" s="625"/>
    </row>
    <row r="594">
      <c r="A594" s="625"/>
      <c r="B594" s="625"/>
      <c r="C594" s="625"/>
    </row>
    <row r="595">
      <c r="A595" s="625"/>
      <c r="B595" s="625"/>
      <c r="C595" s="625"/>
    </row>
    <row r="596">
      <c r="A596" s="625"/>
      <c r="B596" s="625"/>
      <c r="C596" s="625"/>
    </row>
    <row r="597">
      <c r="A597" s="625"/>
      <c r="B597" s="625"/>
      <c r="C597" s="625"/>
    </row>
    <row r="598">
      <c r="A598" s="625"/>
      <c r="B598" s="625"/>
      <c r="C598" s="625"/>
    </row>
    <row r="599">
      <c r="A599" s="625"/>
      <c r="B599" s="625"/>
      <c r="C599" s="625"/>
    </row>
    <row r="600">
      <c r="A600" s="625"/>
      <c r="B600" s="625"/>
      <c r="C600" s="625"/>
    </row>
    <row r="601">
      <c r="A601" s="625"/>
      <c r="B601" s="625"/>
      <c r="C601" s="625"/>
    </row>
    <row r="602">
      <c r="A602" s="625"/>
      <c r="B602" s="625"/>
      <c r="C602" s="625"/>
    </row>
    <row r="603">
      <c r="A603" s="625"/>
      <c r="B603" s="625"/>
      <c r="C603" s="625"/>
    </row>
    <row r="604">
      <c r="A604" s="625"/>
      <c r="B604" s="625"/>
      <c r="C604" s="625"/>
    </row>
    <row r="605">
      <c r="A605" s="625"/>
      <c r="B605" s="625"/>
      <c r="C605" s="625"/>
    </row>
    <row r="606">
      <c r="A606" s="625"/>
      <c r="B606" s="625"/>
      <c r="C606" s="625"/>
    </row>
    <row r="607">
      <c r="A607" s="625"/>
      <c r="B607" s="625"/>
      <c r="C607" s="625"/>
    </row>
    <row r="608">
      <c r="A608" s="625"/>
      <c r="B608" s="625"/>
      <c r="C608" s="625"/>
    </row>
    <row r="609">
      <c r="A609" s="625"/>
      <c r="B609" s="625"/>
      <c r="C609" s="625"/>
    </row>
    <row r="610">
      <c r="A610" s="625"/>
      <c r="B610" s="625"/>
      <c r="C610" s="625"/>
    </row>
    <row r="611">
      <c r="A611" s="625"/>
      <c r="B611" s="625"/>
      <c r="C611" s="625"/>
    </row>
    <row r="612">
      <c r="A612" s="625"/>
      <c r="B612" s="625"/>
      <c r="C612" s="625"/>
    </row>
    <row r="613">
      <c r="A613" s="625"/>
      <c r="B613" s="625"/>
      <c r="C613" s="625"/>
    </row>
    <row r="614">
      <c r="A614" s="625"/>
      <c r="B614" s="625"/>
      <c r="C614" s="625"/>
    </row>
    <row r="615">
      <c r="A615" s="625"/>
      <c r="B615" s="625"/>
      <c r="C615" s="625"/>
    </row>
    <row r="616">
      <c r="A616" s="625"/>
      <c r="B616" s="625"/>
      <c r="C616" s="625"/>
    </row>
    <row r="617">
      <c r="A617" s="625"/>
      <c r="B617" s="625"/>
      <c r="C617" s="625"/>
    </row>
    <row r="618">
      <c r="A618" s="625"/>
      <c r="B618" s="625"/>
      <c r="C618" s="625"/>
    </row>
    <row r="619">
      <c r="A619" s="625"/>
      <c r="B619" s="625"/>
      <c r="C619" s="625"/>
    </row>
    <row r="620">
      <c r="A620" s="625"/>
      <c r="B620" s="625"/>
      <c r="C620" s="625"/>
    </row>
    <row r="621">
      <c r="A621" s="625"/>
      <c r="B621" s="625"/>
      <c r="C621" s="625"/>
    </row>
    <row r="622">
      <c r="A622" s="625"/>
      <c r="B622" s="625"/>
      <c r="C622" s="625"/>
    </row>
    <row r="623">
      <c r="A623" s="625"/>
      <c r="B623" s="625"/>
      <c r="C623" s="625"/>
    </row>
    <row r="624">
      <c r="A624" s="625"/>
      <c r="B624" s="625"/>
      <c r="C624" s="625"/>
    </row>
    <row r="625">
      <c r="A625" s="625"/>
      <c r="B625" s="625"/>
      <c r="C625" s="625"/>
    </row>
    <row r="626">
      <c r="A626" s="625"/>
      <c r="B626" s="625"/>
      <c r="C626" s="625"/>
    </row>
    <row r="627">
      <c r="A627" s="625"/>
      <c r="B627" s="625"/>
      <c r="C627" s="625"/>
    </row>
    <row r="628">
      <c r="A628" s="625"/>
      <c r="B628" s="625"/>
      <c r="C628" s="625"/>
    </row>
    <row r="629">
      <c r="A629" s="625"/>
      <c r="B629" s="625"/>
      <c r="C629" s="625"/>
    </row>
    <row r="630">
      <c r="A630" s="625"/>
      <c r="B630" s="625"/>
      <c r="C630" s="625"/>
    </row>
    <row r="631">
      <c r="A631" s="625"/>
      <c r="B631" s="625"/>
      <c r="C631" s="625"/>
    </row>
    <row r="632">
      <c r="A632" s="625"/>
      <c r="B632" s="625"/>
      <c r="C632" s="625"/>
    </row>
    <row r="633">
      <c r="A633" s="625"/>
      <c r="B633" s="625"/>
      <c r="C633" s="625"/>
    </row>
    <row r="634">
      <c r="A634" s="625"/>
      <c r="B634" s="625"/>
      <c r="C634" s="625"/>
    </row>
    <row r="635">
      <c r="A635" s="625"/>
      <c r="B635" s="625"/>
      <c r="C635" s="625"/>
    </row>
    <row r="636">
      <c r="A636" s="625"/>
      <c r="B636" s="625"/>
      <c r="C636" s="625"/>
    </row>
    <row r="637">
      <c r="A637" s="625"/>
      <c r="B637" s="625"/>
      <c r="C637" s="625"/>
    </row>
    <row r="638">
      <c r="A638" s="625"/>
      <c r="B638" s="625"/>
      <c r="C638" s="625"/>
    </row>
    <row r="639">
      <c r="A639" s="625"/>
      <c r="B639" s="625"/>
      <c r="C639" s="625"/>
    </row>
    <row r="640">
      <c r="A640" s="625"/>
      <c r="B640" s="625"/>
      <c r="C640" s="625"/>
    </row>
    <row r="641">
      <c r="A641" s="625"/>
      <c r="B641" s="625"/>
      <c r="C641" s="625"/>
    </row>
    <row r="642">
      <c r="A642" s="625"/>
      <c r="B642" s="625"/>
      <c r="C642" s="625"/>
    </row>
    <row r="643">
      <c r="A643" s="625"/>
      <c r="B643" s="625"/>
      <c r="C643" s="625"/>
    </row>
    <row r="644">
      <c r="A644" s="625"/>
      <c r="B644" s="625"/>
      <c r="C644" s="625"/>
    </row>
    <row r="645">
      <c r="A645" s="625"/>
      <c r="B645" s="625"/>
      <c r="C645" s="625"/>
    </row>
    <row r="646">
      <c r="A646" s="625"/>
      <c r="B646" s="625"/>
      <c r="C646" s="625"/>
    </row>
    <row r="647">
      <c r="A647" s="625"/>
      <c r="B647" s="625"/>
      <c r="C647" s="625"/>
    </row>
    <row r="648">
      <c r="A648" s="625"/>
      <c r="B648" s="625"/>
      <c r="C648" s="625"/>
    </row>
    <row r="649">
      <c r="A649" s="625"/>
      <c r="B649" s="625"/>
      <c r="C649" s="625"/>
    </row>
    <row r="650">
      <c r="A650" s="625"/>
      <c r="B650" s="625"/>
      <c r="C650" s="625"/>
    </row>
    <row r="651">
      <c r="A651" s="625"/>
      <c r="B651" s="625"/>
      <c r="C651" s="625"/>
    </row>
    <row r="652">
      <c r="A652" s="625"/>
      <c r="B652" s="625"/>
      <c r="C652" s="625"/>
    </row>
    <row r="653">
      <c r="A653" s="625"/>
      <c r="B653" s="625"/>
      <c r="C653" s="625"/>
    </row>
    <row r="654">
      <c r="A654" s="625"/>
      <c r="B654" s="625"/>
      <c r="C654" s="625"/>
    </row>
    <row r="655">
      <c r="A655" s="625"/>
      <c r="B655" s="625"/>
      <c r="C655" s="625"/>
    </row>
    <row r="656">
      <c r="A656" s="625"/>
      <c r="B656" s="625"/>
      <c r="C656" s="625"/>
    </row>
    <row r="657">
      <c r="A657" s="625"/>
      <c r="B657" s="625"/>
      <c r="C657" s="625"/>
    </row>
    <row r="658">
      <c r="A658" s="625"/>
      <c r="B658" s="625"/>
      <c r="C658" s="625"/>
    </row>
    <row r="659">
      <c r="A659" s="625"/>
      <c r="B659" s="625"/>
      <c r="C659" s="625"/>
    </row>
    <row r="660">
      <c r="A660" s="625"/>
      <c r="B660" s="625"/>
      <c r="C660" s="625"/>
    </row>
    <row r="661">
      <c r="A661" s="625"/>
      <c r="B661" s="625"/>
      <c r="C661" s="625"/>
    </row>
    <row r="662">
      <c r="A662" s="625"/>
      <c r="B662" s="625"/>
      <c r="C662" s="625"/>
    </row>
    <row r="663">
      <c r="A663" s="625"/>
      <c r="B663" s="625"/>
      <c r="C663" s="625"/>
    </row>
    <row r="664">
      <c r="A664" s="625"/>
      <c r="B664" s="625"/>
      <c r="C664" s="625"/>
    </row>
    <row r="665">
      <c r="A665" s="625"/>
      <c r="B665" s="625"/>
      <c r="C665" s="625"/>
    </row>
    <row r="666">
      <c r="A666" s="625"/>
      <c r="B666" s="625"/>
      <c r="C666" s="625"/>
    </row>
    <row r="667">
      <c r="A667" s="625"/>
      <c r="B667" s="625"/>
      <c r="C667" s="625"/>
    </row>
    <row r="668">
      <c r="A668" s="625"/>
      <c r="B668" s="625"/>
      <c r="C668" s="625"/>
    </row>
    <row r="669">
      <c r="A669" s="625"/>
      <c r="B669" s="625"/>
      <c r="C669" s="625"/>
    </row>
    <row r="670">
      <c r="A670" s="625"/>
      <c r="B670" s="625"/>
      <c r="C670" s="625"/>
    </row>
    <row r="671">
      <c r="A671" s="625"/>
      <c r="B671" s="625"/>
      <c r="C671" s="625"/>
    </row>
    <row r="672">
      <c r="A672" s="625"/>
      <c r="B672" s="625"/>
      <c r="C672" s="625"/>
    </row>
    <row r="673">
      <c r="A673" s="625"/>
      <c r="B673" s="625"/>
      <c r="C673" s="625"/>
    </row>
    <row r="674">
      <c r="A674" s="625"/>
      <c r="B674" s="625"/>
      <c r="C674" s="625"/>
    </row>
    <row r="675">
      <c r="A675" s="625"/>
      <c r="B675" s="625"/>
      <c r="C675" s="625"/>
    </row>
    <row r="676">
      <c r="A676" s="625"/>
      <c r="B676" s="625"/>
      <c r="C676" s="625"/>
    </row>
    <row r="677">
      <c r="A677" s="625"/>
      <c r="B677" s="625"/>
      <c r="C677" s="625"/>
    </row>
    <row r="678">
      <c r="A678" s="625"/>
      <c r="B678" s="625"/>
      <c r="C678" s="625"/>
    </row>
    <row r="679">
      <c r="A679" s="625"/>
      <c r="B679" s="625"/>
      <c r="C679" s="625"/>
    </row>
    <row r="680">
      <c r="A680" s="625"/>
      <c r="B680" s="625"/>
      <c r="C680" s="625"/>
    </row>
    <row r="681">
      <c r="A681" s="625"/>
      <c r="B681" s="625"/>
      <c r="C681" s="625"/>
    </row>
    <row r="682">
      <c r="A682" s="625"/>
      <c r="B682" s="625"/>
      <c r="C682" s="625"/>
    </row>
    <row r="683">
      <c r="A683" s="625"/>
      <c r="B683" s="625"/>
      <c r="C683" s="625"/>
    </row>
    <row r="684">
      <c r="A684" s="625"/>
      <c r="B684" s="625"/>
      <c r="C684" s="625"/>
    </row>
    <row r="685">
      <c r="A685" s="625"/>
      <c r="B685" s="625"/>
      <c r="C685" s="625"/>
    </row>
    <row r="686">
      <c r="A686" s="625"/>
      <c r="B686" s="625"/>
      <c r="C686" s="625"/>
    </row>
    <row r="687">
      <c r="A687" s="625"/>
      <c r="B687" s="625"/>
      <c r="C687" s="625"/>
    </row>
    <row r="688">
      <c r="A688" s="625"/>
      <c r="B688" s="625"/>
      <c r="C688" s="625"/>
    </row>
    <row r="689">
      <c r="A689" s="625"/>
      <c r="B689" s="625"/>
      <c r="C689" s="625"/>
    </row>
    <row r="690">
      <c r="A690" s="625"/>
      <c r="B690" s="625"/>
      <c r="C690" s="625"/>
    </row>
    <row r="691">
      <c r="A691" s="625"/>
      <c r="B691" s="625"/>
      <c r="C691" s="625"/>
    </row>
    <row r="692">
      <c r="A692" s="625"/>
      <c r="B692" s="625"/>
      <c r="C692" s="625"/>
    </row>
    <row r="693">
      <c r="A693" s="625"/>
      <c r="B693" s="625"/>
      <c r="C693" s="625"/>
    </row>
    <row r="694">
      <c r="A694" s="625"/>
      <c r="B694" s="625"/>
      <c r="C694" s="625"/>
    </row>
    <row r="695">
      <c r="A695" s="625"/>
      <c r="B695" s="625"/>
      <c r="C695" s="625"/>
    </row>
    <row r="696">
      <c r="A696" s="625"/>
      <c r="B696" s="625"/>
      <c r="C696" s="625"/>
    </row>
    <row r="697">
      <c r="A697" s="625"/>
      <c r="B697" s="625"/>
      <c r="C697" s="625"/>
    </row>
    <row r="698">
      <c r="A698" s="625"/>
      <c r="B698" s="625"/>
      <c r="C698" s="625"/>
    </row>
    <row r="699">
      <c r="A699" s="625"/>
      <c r="B699" s="625"/>
      <c r="C699" s="625"/>
    </row>
    <row r="700">
      <c r="A700" s="625"/>
      <c r="B700" s="625"/>
      <c r="C700" s="625"/>
    </row>
    <row r="701">
      <c r="A701" s="625"/>
      <c r="B701" s="625"/>
      <c r="C701" s="625"/>
    </row>
    <row r="702">
      <c r="A702" s="625"/>
      <c r="B702" s="625"/>
      <c r="C702" s="625"/>
    </row>
    <row r="703">
      <c r="A703" s="625"/>
      <c r="B703" s="625"/>
      <c r="C703" s="625"/>
    </row>
    <row r="704">
      <c r="A704" s="625"/>
      <c r="B704" s="625"/>
      <c r="C704" s="625"/>
    </row>
    <row r="705">
      <c r="A705" s="625"/>
      <c r="B705" s="625"/>
      <c r="C705" s="625"/>
    </row>
    <row r="706">
      <c r="A706" s="625"/>
      <c r="B706" s="625"/>
      <c r="C706" s="625"/>
    </row>
    <row r="707">
      <c r="A707" s="625"/>
      <c r="B707" s="625"/>
      <c r="C707" s="625"/>
    </row>
    <row r="708">
      <c r="A708" s="625"/>
      <c r="B708" s="625"/>
      <c r="C708" s="625"/>
    </row>
    <row r="709">
      <c r="A709" s="625"/>
      <c r="B709" s="625"/>
      <c r="C709" s="625"/>
    </row>
    <row r="710">
      <c r="A710" s="625"/>
      <c r="B710" s="625"/>
      <c r="C710" s="625"/>
    </row>
    <row r="711">
      <c r="A711" s="625"/>
      <c r="B711" s="625"/>
      <c r="C711" s="625"/>
    </row>
    <row r="712">
      <c r="A712" s="625"/>
      <c r="B712" s="625"/>
      <c r="C712" s="625"/>
    </row>
    <row r="713">
      <c r="A713" s="625"/>
      <c r="B713" s="625"/>
      <c r="C713" s="625"/>
    </row>
    <row r="714">
      <c r="A714" s="625"/>
      <c r="B714" s="625"/>
      <c r="C714" s="625"/>
    </row>
    <row r="715">
      <c r="A715" s="625"/>
      <c r="B715" s="625"/>
      <c r="C715" s="625"/>
    </row>
    <row r="716">
      <c r="A716" s="625"/>
      <c r="B716" s="625"/>
      <c r="C716" s="625"/>
    </row>
    <row r="717">
      <c r="A717" s="625"/>
      <c r="B717" s="625"/>
      <c r="C717" s="625"/>
    </row>
    <row r="718">
      <c r="A718" s="625"/>
      <c r="B718" s="625"/>
      <c r="C718" s="625"/>
    </row>
    <row r="719">
      <c r="A719" s="625"/>
      <c r="B719" s="625"/>
      <c r="C719" s="625"/>
    </row>
    <row r="720">
      <c r="A720" s="625"/>
      <c r="B720" s="625"/>
      <c r="C720" s="625"/>
    </row>
    <row r="721">
      <c r="A721" s="625"/>
      <c r="B721" s="625"/>
      <c r="C721" s="625"/>
    </row>
    <row r="722">
      <c r="A722" s="625"/>
      <c r="B722" s="625"/>
      <c r="C722" s="625"/>
    </row>
    <row r="723">
      <c r="A723" s="625"/>
      <c r="B723" s="625"/>
      <c r="C723" s="625"/>
    </row>
    <row r="724">
      <c r="A724" s="625"/>
      <c r="B724" s="625"/>
      <c r="C724" s="625"/>
    </row>
    <row r="725">
      <c r="A725" s="625"/>
      <c r="B725" s="625"/>
      <c r="C725" s="625"/>
    </row>
    <row r="726">
      <c r="A726" s="625"/>
      <c r="B726" s="625"/>
      <c r="C726" s="625"/>
    </row>
    <row r="727">
      <c r="A727" s="625"/>
      <c r="B727" s="625"/>
      <c r="C727" s="625"/>
    </row>
    <row r="728">
      <c r="A728" s="625"/>
      <c r="B728" s="625"/>
      <c r="C728" s="625"/>
    </row>
    <row r="729">
      <c r="A729" s="625"/>
      <c r="B729" s="625"/>
      <c r="C729" s="625"/>
    </row>
    <row r="730">
      <c r="A730" s="625"/>
      <c r="B730" s="625"/>
      <c r="C730" s="625"/>
    </row>
    <row r="731">
      <c r="A731" s="625"/>
      <c r="B731" s="625"/>
      <c r="C731" s="625"/>
    </row>
    <row r="732">
      <c r="A732" s="625"/>
      <c r="B732" s="625"/>
      <c r="C732" s="625"/>
    </row>
    <row r="733">
      <c r="A733" s="625"/>
      <c r="B733" s="625"/>
      <c r="C733" s="625"/>
    </row>
    <row r="734">
      <c r="A734" s="625"/>
      <c r="B734" s="625"/>
      <c r="C734" s="625"/>
    </row>
    <row r="735">
      <c r="A735" s="625"/>
      <c r="B735" s="625"/>
      <c r="C735" s="625"/>
    </row>
    <row r="736">
      <c r="A736" s="625"/>
      <c r="B736" s="625"/>
      <c r="C736" s="625"/>
    </row>
    <row r="737">
      <c r="A737" s="625"/>
      <c r="B737" s="625"/>
      <c r="C737" s="625"/>
    </row>
    <row r="738">
      <c r="A738" s="625"/>
      <c r="B738" s="625"/>
      <c r="C738" s="625"/>
    </row>
    <row r="739">
      <c r="A739" s="625"/>
      <c r="B739" s="625"/>
      <c r="C739" s="625"/>
    </row>
    <row r="740">
      <c r="A740" s="625"/>
      <c r="B740" s="625"/>
      <c r="C740" s="625"/>
    </row>
    <row r="741">
      <c r="A741" s="625"/>
      <c r="B741" s="625"/>
      <c r="C741" s="625"/>
    </row>
    <row r="742">
      <c r="A742" s="625"/>
      <c r="B742" s="625"/>
      <c r="C742" s="625"/>
    </row>
    <row r="743">
      <c r="A743" s="625"/>
      <c r="B743" s="625"/>
      <c r="C743" s="625"/>
    </row>
    <row r="744">
      <c r="A744" s="625"/>
      <c r="B744" s="625"/>
      <c r="C744" s="625"/>
    </row>
    <row r="745">
      <c r="A745" s="625"/>
      <c r="B745" s="625"/>
      <c r="C745" s="625"/>
    </row>
    <row r="746">
      <c r="A746" s="625"/>
      <c r="B746" s="625"/>
      <c r="C746" s="625"/>
    </row>
    <row r="747">
      <c r="A747" s="625"/>
      <c r="B747" s="625"/>
      <c r="C747" s="625"/>
    </row>
    <row r="748">
      <c r="A748" s="625"/>
      <c r="B748" s="625"/>
      <c r="C748" s="625"/>
    </row>
    <row r="749">
      <c r="A749" s="625"/>
      <c r="B749" s="625"/>
      <c r="C749" s="625"/>
    </row>
    <row r="750">
      <c r="A750" s="625"/>
      <c r="B750" s="625"/>
      <c r="C750" s="625"/>
    </row>
    <row r="751">
      <c r="A751" s="625"/>
      <c r="B751" s="625"/>
      <c r="C751" s="625"/>
    </row>
    <row r="752">
      <c r="A752" s="625"/>
      <c r="B752" s="625"/>
      <c r="C752" s="625"/>
    </row>
    <row r="753">
      <c r="A753" s="625"/>
      <c r="B753" s="625"/>
      <c r="C753" s="625"/>
    </row>
    <row r="754">
      <c r="A754" s="625"/>
      <c r="B754" s="625"/>
      <c r="C754" s="625"/>
    </row>
    <row r="755">
      <c r="A755" s="625"/>
      <c r="B755" s="625"/>
      <c r="C755" s="625"/>
    </row>
    <row r="756">
      <c r="A756" s="625"/>
      <c r="B756" s="625"/>
      <c r="C756" s="625"/>
    </row>
    <row r="757">
      <c r="A757" s="625"/>
      <c r="B757" s="625"/>
      <c r="C757" s="625"/>
    </row>
    <row r="758">
      <c r="A758" s="625"/>
      <c r="B758" s="625"/>
      <c r="C758" s="625"/>
    </row>
    <row r="759">
      <c r="A759" s="625"/>
      <c r="B759" s="625"/>
      <c r="C759" s="625"/>
    </row>
    <row r="760">
      <c r="A760" s="625"/>
      <c r="B760" s="625"/>
      <c r="C760" s="625"/>
    </row>
    <row r="761">
      <c r="A761" s="625"/>
      <c r="B761" s="625"/>
      <c r="C761" s="625"/>
    </row>
    <row r="762">
      <c r="A762" s="625"/>
      <c r="B762" s="625"/>
      <c r="C762" s="625"/>
    </row>
    <row r="763">
      <c r="A763" s="625"/>
      <c r="B763" s="625"/>
      <c r="C763" s="625"/>
    </row>
    <row r="764">
      <c r="A764" s="625"/>
      <c r="B764" s="625"/>
      <c r="C764" s="625"/>
    </row>
    <row r="765">
      <c r="A765" s="625"/>
      <c r="B765" s="625"/>
      <c r="C765" s="625"/>
    </row>
    <row r="766">
      <c r="A766" s="625"/>
      <c r="B766" s="625"/>
      <c r="C766" s="625"/>
    </row>
    <row r="767">
      <c r="A767" s="625"/>
      <c r="B767" s="625"/>
      <c r="C767" s="625"/>
    </row>
    <row r="768">
      <c r="A768" s="625"/>
      <c r="B768" s="625"/>
      <c r="C768" s="625"/>
    </row>
    <row r="769">
      <c r="A769" s="625"/>
      <c r="B769" s="625"/>
      <c r="C769" s="625"/>
    </row>
    <row r="770">
      <c r="A770" s="625"/>
      <c r="B770" s="625"/>
      <c r="C770" s="625"/>
    </row>
    <row r="771">
      <c r="A771" s="625"/>
      <c r="B771" s="625"/>
      <c r="C771" s="625"/>
    </row>
    <row r="772">
      <c r="A772" s="625"/>
      <c r="B772" s="625"/>
      <c r="C772" s="625"/>
    </row>
    <row r="773">
      <c r="A773" s="625"/>
      <c r="B773" s="625"/>
      <c r="C773" s="625"/>
    </row>
    <row r="774">
      <c r="A774" s="625"/>
      <c r="B774" s="625"/>
      <c r="C774" s="625"/>
    </row>
    <row r="775">
      <c r="A775" s="625"/>
      <c r="B775" s="625"/>
      <c r="C775" s="625"/>
    </row>
    <row r="776">
      <c r="A776" s="625"/>
      <c r="B776" s="625"/>
      <c r="C776" s="625"/>
    </row>
    <row r="777">
      <c r="A777" s="625"/>
      <c r="B777" s="625"/>
      <c r="C777" s="625"/>
    </row>
    <row r="778">
      <c r="A778" s="625"/>
      <c r="B778" s="625"/>
      <c r="C778" s="625"/>
    </row>
    <row r="779">
      <c r="A779" s="625"/>
      <c r="B779" s="625"/>
      <c r="C779" s="625"/>
    </row>
    <row r="780">
      <c r="A780" s="625"/>
      <c r="B780" s="625"/>
      <c r="C780" s="625"/>
    </row>
    <row r="781">
      <c r="A781" s="625"/>
      <c r="B781" s="625"/>
      <c r="C781" s="625"/>
    </row>
    <row r="782">
      <c r="A782" s="625"/>
      <c r="B782" s="625"/>
      <c r="C782" s="625"/>
    </row>
    <row r="783">
      <c r="A783" s="625"/>
      <c r="B783" s="625"/>
      <c r="C783" s="625"/>
    </row>
    <row r="784">
      <c r="A784" s="625"/>
      <c r="B784" s="625"/>
      <c r="C784" s="625"/>
    </row>
    <row r="785">
      <c r="A785" s="625"/>
      <c r="B785" s="625"/>
      <c r="C785" s="625"/>
    </row>
    <row r="786">
      <c r="A786" s="625"/>
      <c r="B786" s="625"/>
      <c r="C786" s="625"/>
    </row>
    <row r="787">
      <c r="A787" s="625"/>
      <c r="B787" s="625"/>
      <c r="C787" s="625"/>
    </row>
    <row r="788">
      <c r="A788" s="625"/>
      <c r="B788" s="625"/>
      <c r="C788" s="625"/>
    </row>
    <row r="789">
      <c r="A789" s="625"/>
      <c r="B789" s="625"/>
      <c r="C789" s="625"/>
    </row>
    <row r="790">
      <c r="A790" s="625"/>
      <c r="B790" s="625"/>
      <c r="C790" s="625"/>
    </row>
    <row r="791">
      <c r="A791" s="625"/>
      <c r="B791" s="625"/>
      <c r="C791" s="625"/>
    </row>
    <row r="792">
      <c r="A792" s="625"/>
      <c r="B792" s="625"/>
      <c r="C792" s="625"/>
    </row>
    <row r="793">
      <c r="A793" s="625"/>
      <c r="B793" s="625"/>
      <c r="C793" s="625"/>
    </row>
    <row r="794">
      <c r="A794" s="625"/>
      <c r="B794" s="625"/>
      <c r="C794" s="625"/>
    </row>
    <row r="795">
      <c r="A795" s="625"/>
      <c r="B795" s="625"/>
      <c r="C795" s="625"/>
    </row>
    <row r="796">
      <c r="A796" s="625"/>
      <c r="B796" s="625"/>
      <c r="C796" s="625"/>
    </row>
    <row r="797">
      <c r="A797" s="625"/>
      <c r="B797" s="625"/>
      <c r="C797" s="625"/>
    </row>
    <row r="798">
      <c r="A798" s="625"/>
      <c r="B798" s="625"/>
      <c r="C798" s="625"/>
    </row>
    <row r="799">
      <c r="A799" s="625"/>
      <c r="B799" s="625"/>
      <c r="C799" s="625"/>
    </row>
    <row r="800">
      <c r="A800" s="625"/>
      <c r="B800" s="625"/>
      <c r="C800" s="625"/>
    </row>
    <row r="801">
      <c r="A801" s="625"/>
      <c r="B801" s="625"/>
      <c r="C801" s="625"/>
    </row>
    <row r="802">
      <c r="A802" s="625"/>
      <c r="B802" s="625"/>
      <c r="C802" s="625"/>
    </row>
    <row r="803">
      <c r="A803" s="625"/>
      <c r="B803" s="625"/>
      <c r="C803" s="625"/>
    </row>
    <row r="804">
      <c r="A804" s="625"/>
      <c r="B804" s="625"/>
      <c r="C804" s="625"/>
    </row>
    <row r="805">
      <c r="A805" s="625"/>
      <c r="B805" s="625"/>
      <c r="C805" s="625"/>
    </row>
    <row r="806">
      <c r="A806" s="625"/>
      <c r="B806" s="625"/>
      <c r="C806" s="625"/>
    </row>
    <row r="807">
      <c r="A807" s="625"/>
      <c r="B807" s="625"/>
      <c r="C807" s="625"/>
    </row>
    <row r="808">
      <c r="A808" s="625"/>
      <c r="B808" s="625"/>
      <c r="C808" s="625"/>
    </row>
    <row r="809">
      <c r="A809" s="625"/>
      <c r="B809" s="625"/>
      <c r="C809" s="625"/>
    </row>
    <row r="810">
      <c r="A810" s="625"/>
      <c r="B810" s="625"/>
      <c r="C810" s="625"/>
    </row>
    <row r="811">
      <c r="A811" s="625"/>
      <c r="B811" s="625"/>
      <c r="C811" s="625"/>
    </row>
    <row r="812">
      <c r="A812" s="625"/>
      <c r="B812" s="625"/>
      <c r="C812" s="625"/>
    </row>
    <row r="813">
      <c r="A813" s="625"/>
      <c r="B813" s="625"/>
      <c r="C813" s="625"/>
    </row>
    <row r="814">
      <c r="A814" s="625"/>
      <c r="B814" s="625"/>
      <c r="C814" s="625"/>
    </row>
    <row r="815">
      <c r="A815" s="625"/>
      <c r="B815" s="625"/>
      <c r="C815" s="625"/>
    </row>
    <row r="816">
      <c r="A816" s="625"/>
      <c r="B816" s="625"/>
      <c r="C816" s="625"/>
    </row>
    <row r="817">
      <c r="A817" s="625"/>
      <c r="B817" s="625"/>
      <c r="C817" s="625"/>
    </row>
    <row r="818">
      <c r="A818" s="625"/>
      <c r="B818" s="625"/>
      <c r="C818" s="625"/>
    </row>
    <row r="819">
      <c r="A819" s="625"/>
      <c r="B819" s="625"/>
      <c r="C819" s="625"/>
    </row>
    <row r="820">
      <c r="A820" s="625"/>
      <c r="B820" s="625"/>
      <c r="C820" s="625"/>
    </row>
    <row r="821">
      <c r="A821" s="625"/>
      <c r="B821" s="625"/>
      <c r="C821" s="625"/>
    </row>
    <row r="822">
      <c r="A822" s="625"/>
      <c r="B822" s="625"/>
      <c r="C822" s="625"/>
    </row>
    <row r="823">
      <c r="A823" s="625"/>
      <c r="B823" s="625"/>
      <c r="C823" s="625"/>
    </row>
    <row r="824">
      <c r="A824" s="625"/>
      <c r="B824" s="625"/>
      <c r="C824" s="625"/>
    </row>
    <row r="825">
      <c r="A825" s="625"/>
      <c r="B825" s="625"/>
      <c r="C825" s="625"/>
    </row>
    <row r="826">
      <c r="A826" s="625"/>
      <c r="B826" s="625"/>
      <c r="C826" s="625"/>
    </row>
    <row r="827">
      <c r="A827" s="625"/>
      <c r="B827" s="625"/>
      <c r="C827" s="625"/>
    </row>
    <row r="828">
      <c r="A828" s="625"/>
      <c r="B828" s="625"/>
      <c r="C828" s="625"/>
    </row>
    <row r="829">
      <c r="A829" s="625"/>
      <c r="B829" s="625"/>
      <c r="C829" s="625"/>
    </row>
    <row r="830">
      <c r="A830" s="625"/>
      <c r="B830" s="625"/>
      <c r="C830" s="625"/>
    </row>
    <row r="831">
      <c r="A831" s="625"/>
      <c r="B831" s="625"/>
      <c r="C831" s="625"/>
    </row>
    <row r="832">
      <c r="A832" s="625"/>
      <c r="B832" s="625"/>
      <c r="C832" s="625"/>
    </row>
    <row r="833">
      <c r="A833" s="625"/>
      <c r="B833" s="625"/>
      <c r="C833" s="625"/>
    </row>
    <row r="834">
      <c r="A834" s="625"/>
      <c r="B834" s="625"/>
      <c r="C834" s="625"/>
    </row>
    <row r="835">
      <c r="A835" s="625"/>
      <c r="B835" s="625"/>
      <c r="C835" s="625"/>
    </row>
    <row r="836">
      <c r="A836" s="625"/>
      <c r="B836" s="625"/>
      <c r="C836" s="625"/>
    </row>
    <row r="837">
      <c r="A837" s="625"/>
      <c r="B837" s="625"/>
      <c r="C837" s="625"/>
    </row>
    <row r="838">
      <c r="A838" s="625"/>
      <c r="B838" s="625"/>
      <c r="C838" s="625"/>
    </row>
    <row r="839">
      <c r="A839" s="625"/>
      <c r="B839" s="625"/>
      <c r="C839" s="625"/>
    </row>
    <row r="840">
      <c r="A840" s="625"/>
      <c r="B840" s="625"/>
      <c r="C840" s="625"/>
    </row>
    <row r="841">
      <c r="A841" s="625"/>
      <c r="B841" s="625"/>
      <c r="C841" s="625"/>
    </row>
    <row r="842">
      <c r="A842" s="625"/>
      <c r="B842" s="625"/>
      <c r="C842" s="625"/>
    </row>
    <row r="843">
      <c r="A843" s="625"/>
      <c r="B843" s="625"/>
      <c r="C843" s="625"/>
    </row>
    <row r="844">
      <c r="A844" s="625"/>
      <c r="B844" s="625"/>
      <c r="C844" s="625"/>
    </row>
    <row r="845">
      <c r="A845" s="625"/>
      <c r="B845" s="625"/>
      <c r="C845" s="625"/>
    </row>
    <row r="846">
      <c r="A846" s="625"/>
      <c r="B846" s="625"/>
      <c r="C846" s="625"/>
    </row>
    <row r="847">
      <c r="A847" s="625"/>
      <c r="B847" s="625"/>
      <c r="C847" s="625"/>
    </row>
    <row r="848">
      <c r="A848" s="625"/>
      <c r="B848" s="625"/>
      <c r="C848" s="625"/>
    </row>
    <row r="849">
      <c r="A849" s="625"/>
      <c r="B849" s="625"/>
      <c r="C849" s="625"/>
    </row>
    <row r="850">
      <c r="A850" s="625"/>
      <c r="B850" s="625"/>
      <c r="C850" s="625"/>
    </row>
    <row r="851">
      <c r="A851" s="625"/>
      <c r="B851" s="625"/>
      <c r="C851" s="625"/>
    </row>
    <row r="852">
      <c r="A852" s="625"/>
      <c r="B852" s="625"/>
      <c r="C852" s="625"/>
    </row>
    <row r="853">
      <c r="A853" s="625"/>
      <c r="B853" s="625"/>
      <c r="C853" s="625"/>
    </row>
    <row r="854">
      <c r="A854" s="625"/>
      <c r="B854" s="625"/>
      <c r="C854" s="625"/>
    </row>
    <row r="855">
      <c r="A855" s="625"/>
      <c r="B855" s="625"/>
      <c r="C855" s="625"/>
    </row>
    <row r="856">
      <c r="A856" s="625"/>
      <c r="B856" s="625"/>
      <c r="C856" s="625"/>
    </row>
    <row r="857">
      <c r="A857" s="625"/>
      <c r="B857" s="625"/>
      <c r="C857" s="625"/>
    </row>
    <row r="858">
      <c r="A858" s="625"/>
      <c r="B858" s="625"/>
      <c r="C858" s="625"/>
    </row>
    <row r="859">
      <c r="A859" s="625"/>
      <c r="B859" s="625"/>
      <c r="C859" s="625"/>
    </row>
    <row r="860">
      <c r="A860" s="625"/>
      <c r="B860" s="625"/>
      <c r="C860" s="625"/>
    </row>
    <row r="861">
      <c r="A861" s="625"/>
      <c r="B861" s="625"/>
      <c r="C861" s="625"/>
    </row>
    <row r="862">
      <c r="A862" s="625"/>
      <c r="B862" s="625"/>
      <c r="C862" s="625"/>
    </row>
    <row r="863">
      <c r="A863" s="625"/>
      <c r="B863" s="625"/>
      <c r="C863" s="625"/>
    </row>
    <row r="864">
      <c r="A864" s="625"/>
      <c r="B864" s="625"/>
      <c r="C864" s="625"/>
    </row>
    <row r="865">
      <c r="A865" s="625"/>
      <c r="B865" s="625"/>
      <c r="C865" s="625"/>
    </row>
    <row r="866">
      <c r="A866" s="625"/>
      <c r="B866" s="625"/>
      <c r="C866" s="625"/>
    </row>
    <row r="867">
      <c r="A867" s="625"/>
      <c r="B867" s="625"/>
      <c r="C867" s="625"/>
    </row>
    <row r="868">
      <c r="A868" s="625"/>
      <c r="B868" s="625"/>
      <c r="C868" s="625"/>
    </row>
    <row r="869">
      <c r="A869" s="625"/>
      <c r="B869" s="625"/>
      <c r="C869" s="625"/>
    </row>
    <row r="870">
      <c r="A870" s="625"/>
      <c r="B870" s="625"/>
      <c r="C870" s="625"/>
    </row>
    <row r="871">
      <c r="A871" s="625"/>
      <c r="B871" s="625"/>
      <c r="C871" s="625"/>
    </row>
    <row r="872">
      <c r="A872" s="625"/>
      <c r="B872" s="625"/>
      <c r="C872" s="625"/>
    </row>
    <row r="873">
      <c r="A873" s="625"/>
      <c r="B873" s="625"/>
      <c r="C873" s="625"/>
    </row>
    <row r="874">
      <c r="A874" s="625"/>
      <c r="B874" s="625"/>
      <c r="C874" s="625"/>
    </row>
    <row r="875">
      <c r="A875" s="625"/>
      <c r="B875" s="625"/>
      <c r="C875" s="625"/>
    </row>
    <row r="876">
      <c r="A876" s="625"/>
      <c r="B876" s="625"/>
      <c r="C876" s="625"/>
    </row>
    <row r="877">
      <c r="A877" s="625"/>
      <c r="B877" s="625"/>
      <c r="C877" s="625"/>
    </row>
    <row r="878">
      <c r="A878" s="625"/>
      <c r="B878" s="625"/>
      <c r="C878" s="625"/>
    </row>
    <row r="879">
      <c r="A879" s="625"/>
      <c r="B879" s="625"/>
      <c r="C879" s="625"/>
    </row>
    <row r="880">
      <c r="A880" s="625"/>
      <c r="B880" s="625"/>
      <c r="C880" s="625"/>
    </row>
    <row r="881">
      <c r="A881" s="625"/>
      <c r="B881" s="625"/>
      <c r="C881" s="625"/>
    </row>
    <row r="882">
      <c r="A882" s="625"/>
      <c r="B882" s="625"/>
      <c r="C882" s="625"/>
    </row>
    <row r="883">
      <c r="A883" s="625"/>
      <c r="B883" s="625"/>
      <c r="C883" s="625"/>
    </row>
    <row r="884">
      <c r="A884" s="625"/>
      <c r="B884" s="625"/>
      <c r="C884" s="625"/>
    </row>
    <row r="885">
      <c r="A885" s="625"/>
      <c r="B885" s="625"/>
      <c r="C885" s="625"/>
    </row>
    <row r="886">
      <c r="A886" s="625"/>
      <c r="B886" s="625"/>
      <c r="C886" s="625"/>
    </row>
    <row r="887">
      <c r="A887" s="625"/>
      <c r="B887" s="625"/>
      <c r="C887" s="625"/>
    </row>
    <row r="888">
      <c r="A888" s="625"/>
      <c r="B888" s="625"/>
      <c r="C888" s="625"/>
    </row>
    <row r="889">
      <c r="A889" s="625"/>
      <c r="B889" s="625"/>
      <c r="C889" s="625"/>
    </row>
    <row r="890">
      <c r="A890" s="625"/>
      <c r="B890" s="625"/>
      <c r="C890" s="625"/>
    </row>
    <row r="891">
      <c r="A891" s="625"/>
      <c r="B891" s="625"/>
      <c r="C891" s="625"/>
    </row>
    <row r="892">
      <c r="A892" s="625"/>
      <c r="B892" s="625"/>
      <c r="C892" s="625"/>
    </row>
    <row r="893">
      <c r="A893" s="625"/>
      <c r="B893" s="625"/>
      <c r="C893" s="625"/>
    </row>
    <row r="894">
      <c r="A894" s="625"/>
      <c r="B894" s="625"/>
      <c r="C894" s="625"/>
    </row>
    <row r="895">
      <c r="A895" s="625"/>
      <c r="B895" s="625"/>
      <c r="C895" s="625"/>
    </row>
    <row r="896">
      <c r="A896" s="625"/>
      <c r="B896" s="625"/>
      <c r="C896" s="625"/>
    </row>
    <row r="897">
      <c r="A897" s="625"/>
      <c r="B897" s="625"/>
      <c r="C897" s="625"/>
    </row>
    <row r="898">
      <c r="A898" s="625"/>
      <c r="B898" s="625"/>
      <c r="C898" s="625"/>
    </row>
    <row r="899">
      <c r="A899" s="625"/>
      <c r="B899" s="625"/>
      <c r="C899" s="625"/>
    </row>
    <row r="900">
      <c r="A900" s="625"/>
      <c r="B900" s="625"/>
      <c r="C900" s="625"/>
    </row>
    <row r="901">
      <c r="A901" s="625"/>
      <c r="B901" s="625"/>
      <c r="C901" s="625"/>
    </row>
    <row r="902">
      <c r="A902" s="625"/>
      <c r="B902" s="625"/>
      <c r="C902" s="625"/>
    </row>
    <row r="903">
      <c r="A903" s="625"/>
      <c r="B903" s="625"/>
      <c r="C903" s="625"/>
    </row>
    <row r="904">
      <c r="A904" s="625"/>
      <c r="B904" s="625"/>
      <c r="C904" s="625"/>
    </row>
    <row r="905">
      <c r="A905" s="625"/>
      <c r="B905" s="625"/>
      <c r="C905" s="625"/>
    </row>
    <row r="906">
      <c r="A906" s="625"/>
      <c r="B906" s="625"/>
      <c r="C906" s="625"/>
    </row>
    <row r="907">
      <c r="A907" s="625"/>
      <c r="B907" s="625"/>
      <c r="C907" s="625"/>
    </row>
    <row r="908">
      <c r="A908" s="625"/>
      <c r="B908" s="625"/>
      <c r="C908" s="625"/>
    </row>
    <row r="909">
      <c r="A909" s="625"/>
      <c r="B909" s="625"/>
      <c r="C909" s="625"/>
    </row>
    <row r="910">
      <c r="A910" s="625"/>
      <c r="B910" s="625"/>
      <c r="C910" s="625"/>
    </row>
    <row r="911">
      <c r="A911" s="625"/>
      <c r="B911" s="625"/>
      <c r="C911" s="625"/>
    </row>
    <row r="912">
      <c r="A912" s="625"/>
      <c r="B912" s="625"/>
      <c r="C912" s="625"/>
    </row>
    <row r="913">
      <c r="A913" s="625"/>
      <c r="B913" s="625"/>
      <c r="C913" s="625"/>
    </row>
    <row r="914">
      <c r="A914" s="625"/>
      <c r="B914" s="625"/>
      <c r="C914" s="625"/>
    </row>
    <row r="915">
      <c r="A915" s="625"/>
      <c r="B915" s="625"/>
      <c r="C915" s="625"/>
    </row>
    <row r="916">
      <c r="A916" s="625"/>
      <c r="B916" s="625"/>
      <c r="C916" s="625"/>
    </row>
    <row r="917">
      <c r="A917" s="625"/>
      <c r="B917" s="625"/>
      <c r="C917" s="625"/>
    </row>
    <row r="918">
      <c r="A918" s="625"/>
      <c r="B918" s="625"/>
      <c r="C918" s="625"/>
    </row>
    <row r="919">
      <c r="A919" s="625"/>
      <c r="B919" s="625"/>
      <c r="C919" s="625"/>
    </row>
    <row r="920">
      <c r="A920" s="625"/>
      <c r="B920" s="625"/>
      <c r="C920" s="625"/>
    </row>
    <row r="921">
      <c r="A921" s="625"/>
      <c r="B921" s="625"/>
      <c r="C921" s="625"/>
    </row>
    <row r="922">
      <c r="A922" s="625"/>
      <c r="B922" s="625"/>
      <c r="C922" s="625"/>
    </row>
    <row r="923">
      <c r="A923" s="625"/>
      <c r="B923" s="625"/>
      <c r="C923" s="625"/>
    </row>
    <row r="924">
      <c r="A924" s="625"/>
      <c r="B924" s="625"/>
      <c r="C924" s="625"/>
    </row>
    <row r="925">
      <c r="A925" s="625"/>
      <c r="B925" s="625"/>
      <c r="C925" s="625"/>
    </row>
    <row r="926">
      <c r="A926" s="625"/>
      <c r="B926" s="625"/>
      <c r="C926" s="625"/>
    </row>
    <row r="927">
      <c r="A927" s="625"/>
      <c r="B927" s="625"/>
      <c r="C927" s="625"/>
    </row>
    <row r="928">
      <c r="A928" s="625"/>
      <c r="B928" s="625"/>
      <c r="C928" s="625"/>
    </row>
    <row r="929">
      <c r="A929" s="625"/>
      <c r="B929" s="625"/>
      <c r="C929" s="625"/>
    </row>
    <row r="930">
      <c r="A930" s="625"/>
      <c r="B930" s="625"/>
      <c r="C930" s="625"/>
    </row>
    <row r="931">
      <c r="A931" s="625"/>
      <c r="B931" s="625"/>
      <c r="C931" s="625"/>
    </row>
    <row r="932">
      <c r="A932" s="625"/>
      <c r="B932" s="625"/>
      <c r="C932" s="625"/>
    </row>
    <row r="933">
      <c r="A933" s="625"/>
      <c r="B933" s="625"/>
      <c r="C933" s="625"/>
    </row>
    <row r="934">
      <c r="A934" s="625"/>
      <c r="B934" s="625"/>
      <c r="C934" s="625"/>
    </row>
    <row r="935">
      <c r="A935" s="625"/>
      <c r="B935" s="625"/>
      <c r="C935" s="625"/>
    </row>
    <row r="936">
      <c r="A936" s="625"/>
      <c r="B936" s="625"/>
      <c r="C936" s="625"/>
    </row>
    <row r="937">
      <c r="A937" s="625"/>
      <c r="B937" s="625"/>
      <c r="C937" s="625"/>
    </row>
    <row r="938">
      <c r="A938" s="625"/>
      <c r="B938" s="625"/>
      <c r="C938" s="625"/>
    </row>
    <row r="939">
      <c r="A939" s="625"/>
      <c r="B939" s="625"/>
      <c r="C939" s="625"/>
    </row>
    <row r="940">
      <c r="A940" s="625"/>
      <c r="B940" s="625"/>
      <c r="C940" s="625"/>
    </row>
    <row r="941">
      <c r="A941" s="625"/>
      <c r="B941" s="625"/>
      <c r="C941" s="625"/>
    </row>
    <row r="942">
      <c r="A942" s="625"/>
      <c r="B942" s="625"/>
      <c r="C942" s="625"/>
    </row>
    <row r="943">
      <c r="A943" s="625"/>
      <c r="B943" s="625"/>
      <c r="C943" s="625"/>
    </row>
    <row r="944">
      <c r="A944" s="625"/>
      <c r="B944" s="625"/>
      <c r="C944" s="625"/>
    </row>
    <row r="945">
      <c r="A945" s="625"/>
      <c r="B945" s="625"/>
      <c r="C945" s="625"/>
    </row>
    <row r="946">
      <c r="A946" s="625"/>
      <c r="B946" s="625"/>
      <c r="C946" s="625"/>
    </row>
    <row r="947">
      <c r="A947" s="625"/>
      <c r="B947" s="625"/>
      <c r="C947" s="625"/>
    </row>
    <row r="948">
      <c r="A948" s="625"/>
      <c r="B948" s="625"/>
      <c r="C948" s="625"/>
    </row>
    <row r="949">
      <c r="A949" s="625"/>
      <c r="B949" s="625"/>
      <c r="C949" s="625"/>
    </row>
    <row r="950">
      <c r="A950" s="625"/>
      <c r="B950" s="625"/>
      <c r="C950" s="625"/>
    </row>
    <row r="951">
      <c r="A951" s="625"/>
      <c r="B951" s="625"/>
      <c r="C951" s="625"/>
    </row>
    <row r="952">
      <c r="A952" s="625"/>
      <c r="B952" s="625"/>
      <c r="C952" s="625"/>
    </row>
    <row r="953">
      <c r="A953" s="625"/>
      <c r="B953" s="625"/>
      <c r="C953" s="625"/>
    </row>
    <row r="954">
      <c r="A954" s="625"/>
      <c r="B954" s="625"/>
      <c r="C954" s="625"/>
    </row>
    <row r="955">
      <c r="A955" s="625"/>
      <c r="B955" s="625"/>
      <c r="C955" s="625"/>
    </row>
    <row r="956">
      <c r="A956" s="625"/>
      <c r="B956" s="625"/>
      <c r="C956" s="625"/>
    </row>
    <row r="957">
      <c r="A957" s="625"/>
      <c r="B957" s="625"/>
      <c r="C957" s="625"/>
    </row>
    <row r="958">
      <c r="A958" s="625"/>
      <c r="B958" s="625"/>
      <c r="C958" s="625"/>
    </row>
    <row r="959">
      <c r="A959" s="625"/>
      <c r="B959" s="625"/>
      <c r="C959" s="625"/>
    </row>
    <row r="960">
      <c r="A960" s="625"/>
      <c r="B960" s="625"/>
      <c r="C960" s="625"/>
    </row>
    <row r="961">
      <c r="A961" s="625"/>
      <c r="B961" s="625"/>
      <c r="C961" s="625"/>
    </row>
    <row r="962">
      <c r="A962" s="625"/>
      <c r="B962" s="625"/>
      <c r="C962" s="625"/>
    </row>
    <row r="963">
      <c r="A963" s="625"/>
      <c r="B963" s="625"/>
      <c r="C963" s="625"/>
    </row>
    <row r="964">
      <c r="A964" s="625"/>
      <c r="B964" s="625"/>
      <c r="C964" s="625"/>
    </row>
    <row r="965">
      <c r="A965" s="625"/>
      <c r="B965" s="625"/>
      <c r="C965" s="625"/>
    </row>
    <row r="966">
      <c r="A966" s="625"/>
      <c r="B966" s="625"/>
      <c r="C966" s="625"/>
    </row>
    <row r="967">
      <c r="A967" s="625"/>
      <c r="B967" s="625"/>
      <c r="C967" s="625"/>
    </row>
    <row r="968">
      <c r="A968" s="625"/>
      <c r="B968" s="625"/>
      <c r="C968" s="625"/>
    </row>
    <row r="969">
      <c r="A969" s="625"/>
      <c r="B969" s="625"/>
      <c r="C969" s="625"/>
    </row>
    <row r="970">
      <c r="A970" s="625"/>
      <c r="B970" s="625"/>
      <c r="C970" s="625"/>
    </row>
    <row r="971">
      <c r="A971" s="625"/>
      <c r="B971" s="625"/>
      <c r="C971" s="625"/>
    </row>
    <row r="972">
      <c r="A972" s="625"/>
      <c r="B972" s="625"/>
      <c r="C972" s="625"/>
    </row>
    <row r="973">
      <c r="A973" s="625"/>
      <c r="B973" s="625"/>
      <c r="C973" s="625"/>
    </row>
    <row r="974">
      <c r="A974" s="625"/>
      <c r="B974" s="625"/>
      <c r="C974" s="625"/>
    </row>
    <row r="975">
      <c r="A975" s="625"/>
      <c r="B975" s="625"/>
      <c r="C975" s="625"/>
    </row>
    <row r="976">
      <c r="A976" s="625"/>
      <c r="B976" s="625"/>
      <c r="C976" s="625"/>
    </row>
    <row r="977">
      <c r="A977" s="625"/>
      <c r="B977" s="625"/>
      <c r="C977" s="625"/>
    </row>
    <row r="978">
      <c r="A978" s="625"/>
      <c r="B978" s="625"/>
      <c r="C978" s="625"/>
    </row>
    <row r="979">
      <c r="A979" s="625"/>
      <c r="B979" s="625"/>
      <c r="C979" s="625"/>
    </row>
    <row r="980">
      <c r="A980" s="625"/>
      <c r="B980" s="625"/>
      <c r="C980" s="625"/>
    </row>
    <row r="981">
      <c r="A981" s="625"/>
      <c r="B981" s="625"/>
      <c r="C981" s="625"/>
    </row>
    <row r="982">
      <c r="A982" s="625"/>
      <c r="B982" s="625"/>
      <c r="C982" s="625"/>
    </row>
    <row r="983">
      <c r="A983" s="625"/>
      <c r="B983" s="625"/>
      <c r="C983" s="625"/>
    </row>
    <row r="984">
      <c r="A984" s="625"/>
      <c r="B984" s="625"/>
      <c r="C984" s="625"/>
    </row>
    <row r="985">
      <c r="A985" s="625"/>
      <c r="B985" s="625"/>
      <c r="C985" s="625"/>
    </row>
    <row r="986">
      <c r="A986" s="625"/>
      <c r="B986" s="625"/>
      <c r="C986" s="625"/>
    </row>
    <row r="987">
      <c r="A987" s="625"/>
      <c r="B987" s="625"/>
      <c r="C987" s="625"/>
    </row>
    <row r="988">
      <c r="A988" s="625"/>
      <c r="B988" s="625"/>
      <c r="C988" s="625"/>
    </row>
    <row r="989">
      <c r="A989" s="625"/>
      <c r="B989" s="625"/>
      <c r="C989" s="625"/>
    </row>
    <row r="990">
      <c r="A990" s="625"/>
      <c r="B990" s="625"/>
      <c r="C990" s="625"/>
    </row>
    <row r="991">
      <c r="A991" s="625"/>
      <c r="B991" s="625"/>
      <c r="C991" s="625"/>
    </row>
    <row r="992">
      <c r="A992" s="625"/>
      <c r="B992" s="625"/>
      <c r="C992" s="625"/>
    </row>
    <row r="993">
      <c r="A993" s="625"/>
      <c r="B993" s="625"/>
      <c r="C993" s="625"/>
    </row>
    <row r="994">
      <c r="A994" s="625"/>
      <c r="B994" s="625"/>
      <c r="C994" s="625"/>
    </row>
    <row r="995">
      <c r="A995" s="625"/>
      <c r="B995" s="625"/>
      <c r="C995" s="625"/>
    </row>
    <row r="996">
      <c r="A996" s="625"/>
      <c r="B996" s="625"/>
      <c r="C996" s="625"/>
    </row>
    <row r="997">
      <c r="A997" s="625"/>
      <c r="B997" s="625"/>
      <c r="C997" s="625"/>
    </row>
    <row r="998">
      <c r="A998" s="625"/>
      <c r="B998" s="625"/>
      <c r="C998" s="625"/>
    </row>
    <row r="999">
      <c r="A999" s="625"/>
      <c r="B999" s="625"/>
      <c r="C999" s="625"/>
    </row>
    <row r="1000">
      <c r="A1000" s="625"/>
      <c r="B1000" s="625"/>
      <c r="C1000" s="625"/>
    </row>
    <row r="1001">
      <c r="A1001" s="625"/>
      <c r="B1001" s="625"/>
      <c r="C1001" s="625"/>
    </row>
    <row r="1002">
      <c r="A1002" s="625"/>
      <c r="B1002" s="625"/>
      <c r="C1002" s="625"/>
    </row>
    <row r="1003">
      <c r="A1003" s="625"/>
      <c r="B1003" s="625"/>
      <c r="C1003" s="625"/>
    </row>
    <row r="1004">
      <c r="A1004" s="625"/>
      <c r="B1004" s="625"/>
      <c r="C1004" s="625"/>
    </row>
    <row r="1005">
      <c r="A1005" s="625"/>
      <c r="B1005" s="625"/>
      <c r="C1005" s="625"/>
    </row>
    <row r="1006">
      <c r="A1006" s="625"/>
      <c r="B1006" s="625"/>
      <c r="C1006" s="625"/>
    </row>
    <row r="1007">
      <c r="A1007" s="625"/>
      <c r="B1007" s="625"/>
      <c r="C1007" s="625"/>
    </row>
    <row r="1008">
      <c r="A1008" s="625"/>
      <c r="B1008" s="625"/>
      <c r="C1008" s="625"/>
    </row>
    <row r="1009">
      <c r="A1009" s="625"/>
      <c r="B1009" s="625"/>
      <c r="C1009" s="625"/>
    </row>
    <row r="1010">
      <c r="A1010" s="625"/>
      <c r="B1010" s="625"/>
      <c r="C1010" s="62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8.25"/>
    <col customWidth="1" min="2" max="2" width="27.5"/>
    <col customWidth="1" min="3" max="3" width="67.38"/>
    <col customWidth="1" min="4" max="4" width="20.13"/>
    <col customWidth="1" min="5" max="5" width="52.25"/>
  </cols>
  <sheetData>
    <row r="1">
      <c r="A1" s="624"/>
      <c r="B1" s="624" t="s">
        <v>1823</v>
      </c>
      <c r="C1" s="624" t="s">
        <v>1824</v>
      </c>
      <c r="D1" s="343" t="s">
        <v>1825</v>
      </c>
      <c r="E1" s="343" t="s">
        <v>1826</v>
      </c>
      <c r="F1" s="344"/>
      <c r="G1" s="344"/>
      <c r="H1" s="344"/>
      <c r="I1" s="344"/>
      <c r="J1" s="344"/>
      <c r="K1" s="344"/>
      <c r="L1" s="344"/>
      <c r="M1" s="344"/>
      <c r="N1" s="344"/>
      <c r="O1" s="344"/>
      <c r="P1" s="344"/>
      <c r="Q1" s="344"/>
      <c r="R1" s="344"/>
      <c r="S1" s="344"/>
      <c r="T1" s="344"/>
      <c r="U1" s="344"/>
      <c r="V1" s="344"/>
      <c r="W1" s="344"/>
      <c r="X1" s="344"/>
      <c r="Y1" s="344"/>
      <c r="Z1" s="344"/>
      <c r="AA1" s="344"/>
    </row>
    <row r="2">
      <c r="A2" s="41"/>
      <c r="B2" s="79" t="s">
        <v>1831</v>
      </c>
      <c r="C2" s="346" t="s">
        <v>1832</v>
      </c>
      <c r="D2" s="79" t="s">
        <v>1833</v>
      </c>
      <c r="E2" s="346" t="s">
        <v>1834</v>
      </c>
    </row>
    <row r="3">
      <c r="A3" s="41"/>
      <c r="B3" s="79" t="s">
        <v>1835</v>
      </c>
      <c r="C3" s="346" t="s">
        <v>1836</v>
      </c>
      <c r="D3" s="79" t="s">
        <v>1837</v>
      </c>
    </row>
    <row r="4">
      <c r="A4" s="41"/>
      <c r="B4" s="79" t="s">
        <v>1838</v>
      </c>
      <c r="C4" s="583"/>
      <c r="D4" s="79" t="s">
        <v>1833</v>
      </c>
      <c r="E4" s="41"/>
    </row>
    <row r="5">
      <c r="A5" s="41"/>
      <c r="B5" s="79" t="s">
        <v>1839</v>
      </c>
      <c r="C5" s="346" t="s">
        <v>1840</v>
      </c>
      <c r="D5" s="79" t="s">
        <v>1837</v>
      </c>
    </row>
    <row r="6">
      <c r="A6" s="41"/>
      <c r="B6" s="79" t="s">
        <v>1841</v>
      </c>
      <c r="C6" s="346" t="s">
        <v>1842</v>
      </c>
      <c r="D6" s="79" t="s">
        <v>1843</v>
      </c>
    </row>
    <row r="7">
      <c r="B7" s="79" t="s">
        <v>1844</v>
      </c>
      <c r="C7" s="346" t="s">
        <v>1845</v>
      </c>
      <c r="D7" s="346" t="s">
        <v>1846</v>
      </c>
      <c r="E7" s="79" t="s">
        <v>1847</v>
      </c>
    </row>
    <row r="8">
      <c r="A8" s="79" t="s">
        <v>157</v>
      </c>
      <c r="B8" s="79" t="s">
        <v>1848</v>
      </c>
      <c r="C8" s="346" t="s">
        <v>1849</v>
      </c>
      <c r="D8" s="41"/>
      <c r="E8" s="79" t="s">
        <v>1850</v>
      </c>
    </row>
    <row r="9">
      <c r="A9" s="41"/>
      <c r="B9" s="79" t="s">
        <v>1851</v>
      </c>
      <c r="C9" s="346" t="s">
        <v>1852</v>
      </c>
      <c r="D9" s="79" t="s">
        <v>1853</v>
      </c>
      <c r="E9" s="79" t="s">
        <v>1847</v>
      </c>
    </row>
    <row r="10">
      <c r="A10" s="41"/>
      <c r="B10" s="41"/>
      <c r="C10" s="583"/>
      <c r="D10" s="41"/>
    </row>
    <row r="11">
      <c r="C11" s="625"/>
    </row>
    <row r="12">
      <c r="A12" s="41"/>
      <c r="B12" s="41"/>
      <c r="C12" s="583"/>
      <c r="D12" s="41"/>
    </row>
    <row r="13">
      <c r="A13" s="41"/>
      <c r="B13" s="41"/>
      <c r="C13" s="583"/>
      <c r="D13" s="41"/>
    </row>
    <row r="14">
      <c r="C14" s="625"/>
    </row>
    <row r="15">
      <c r="A15" s="41"/>
      <c r="B15" s="41"/>
      <c r="C15" s="583"/>
      <c r="D15" s="41"/>
    </row>
    <row r="16">
      <c r="C16" s="625"/>
    </row>
    <row r="17">
      <c r="A17" s="41"/>
      <c r="B17" s="41"/>
      <c r="C17" s="583"/>
      <c r="D17" s="41"/>
      <c r="E17" s="41"/>
    </row>
    <row r="18">
      <c r="C18" s="625"/>
    </row>
    <row r="19">
      <c r="A19" s="41"/>
      <c r="B19" s="41"/>
      <c r="C19" s="583"/>
      <c r="D19" s="41"/>
    </row>
    <row r="20">
      <c r="A20" s="41"/>
      <c r="B20" s="41"/>
      <c r="C20" s="583"/>
      <c r="D20" s="41"/>
    </row>
    <row r="21">
      <c r="A21" s="41"/>
      <c r="B21" s="41"/>
      <c r="C21" s="583"/>
      <c r="D21" s="41"/>
    </row>
    <row r="22">
      <c r="A22" s="41"/>
      <c r="B22" s="41"/>
      <c r="C22" s="583"/>
      <c r="D22" s="41"/>
    </row>
    <row r="23">
      <c r="C23" s="625"/>
    </row>
    <row r="24">
      <c r="C24" s="625"/>
    </row>
    <row r="25">
      <c r="C25" s="625"/>
    </row>
    <row r="26">
      <c r="C26" s="625"/>
    </row>
    <row r="27">
      <c r="A27" s="625"/>
      <c r="B27" s="625"/>
      <c r="C27" s="625"/>
    </row>
    <row r="28">
      <c r="A28" s="625"/>
      <c r="B28" s="625"/>
      <c r="C28" s="625"/>
    </row>
    <row r="29">
      <c r="C29" s="625"/>
    </row>
    <row r="30">
      <c r="A30" s="625"/>
      <c r="B30" s="625"/>
      <c r="C30" s="625"/>
    </row>
    <row r="31">
      <c r="A31" s="625"/>
      <c r="B31" s="625"/>
      <c r="C31" s="625"/>
    </row>
    <row r="32">
      <c r="A32" s="625"/>
      <c r="B32" s="625"/>
      <c r="C32" s="625"/>
    </row>
    <row r="33">
      <c r="A33" s="625"/>
      <c r="B33" s="625"/>
      <c r="C33" s="625"/>
    </row>
    <row r="34">
      <c r="A34" s="625"/>
      <c r="B34" s="625"/>
      <c r="C34" s="625"/>
    </row>
    <row r="35">
      <c r="A35" s="625"/>
      <c r="B35" s="625"/>
      <c r="C35" s="625"/>
    </row>
    <row r="36">
      <c r="A36" s="625"/>
      <c r="B36" s="625"/>
      <c r="C36" s="625"/>
    </row>
    <row r="37">
      <c r="A37" s="625"/>
      <c r="B37" s="625"/>
      <c r="C37" s="625"/>
    </row>
    <row r="38">
      <c r="A38" s="625"/>
      <c r="B38" s="625"/>
      <c r="C38" s="625"/>
    </row>
    <row r="39">
      <c r="A39" s="625"/>
      <c r="B39" s="625"/>
      <c r="C39" s="625"/>
    </row>
    <row r="40">
      <c r="A40" s="625"/>
      <c r="B40" s="625"/>
      <c r="C40" s="625"/>
    </row>
    <row r="41">
      <c r="A41" s="625"/>
      <c r="B41" s="625"/>
      <c r="C41" s="625"/>
    </row>
    <row r="42">
      <c r="A42" s="625"/>
      <c r="B42" s="625"/>
      <c r="C42" s="625"/>
    </row>
    <row r="43">
      <c r="A43" s="625"/>
      <c r="B43" s="625"/>
      <c r="C43" s="625"/>
    </row>
    <row r="44">
      <c r="A44" s="625"/>
      <c r="B44" s="625"/>
      <c r="C44" s="625"/>
    </row>
    <row r="45">
      <c r="A45" s="625"/>
      <c r="B45" s="625"/>
      <c r="C45" s="625"/>
    </row>
    <row r="46">
      <c r="A46" s="625"/>
      <c r="B46" s="625"/>
      <c r="C46" s="625"/>
    </row>
    <row r="47">
      <c r="A47" s="625"/>
      <c r="B47" s="625"/>
      <c r="C47" s="625"/>
    </row>
    <row r="48">
      <c r="A48" s="625"/>
      <c r="B48" s="625"/>
      <c r="C48" s="625"/>
    </row>
    <row r="49">
      <c r="A49" s="625"/>
      <c r="B49" s="625"/>
      <c r="C49" s="625"/>
    </row>
    <row r="50">
      <c r="A50" s="625"/>
      <c r="B50" s="625"/>
      <c r="C50" s="625"/>
    </row>
    <row r="51">
      <c r="A51" s="625"/>
      <c r="B51" s="625"/>
      <c r="C51" s="625"/>
    </row>
    <row r="52">
      <c r="A52" s="625"/>
      <c r="B52" s="625"/>
      <c r="C52" s="625"/>
    </row>
    <row r="53">
      <c r="A53" s="625"/>
      <c r="B53" s="625"/>
      <c r="C53" s="625"/>
    </row>
    <row r="54">
      <c r="A54" s="625"/>
      <c r="B54" s="625"/>
      <c r="C54" s="625"/>
    </row>
    <row r="55">
      <c r="A55" s="625"/>
      <c r="B55" s="625"/>
      <c r="C55" s="625"/>
    </row>
    <row r="56">
      <c r="A56" s="625"/>
      <c r="B56" s="625"/>
      <c r="C56" s="625"/>
    </row>
    <row r="57">
      <c r="A57" s="625"/>
      <c r="B57" s="625"/>
      <c r="C57" s="625"/>
    </row>
    <row r="58">
      <c r="A58" s="625"/>
      <c r="B58" s="625"/>
      <c r="C58" s="625"/>
    </row>
    <row r="59">
      <c r="A59" s="625"/>
      <c r="B59" s="625"/>
      <c r="C59" s="625"/>
    </row>
    <row r="60">
      <c r="A60" s="625"/>
      <c r="B60" s="625"/>
      <c r="C60" s="625"/>
    </row>
    <row r="61">
      <c r="A61" s="625"/>
      <c r="B61" s="625"/>
      <c r="C61" s="625"/>
    </row>
    <row r="62">
      <c r="A62" s="625"/>
      <c r="B62" s="625"/>
      <c r="C62" s="625"/>
    </row>
    <row r="63">
      <c r="A63" s="625"/>
      <c r="B63" s="625"/>
      <c r="C63" s="625"/>
    </row>
    <row r="64">
      <c r="A64" s="625"/>
      <c r="B64" s="625"/>
      <c r="C64" s="625"/>
    </row>
    <row r="65">
      <c r="A65" s="625"/>
      <c r="B65" s="625"/>
      <c r="C65" s="625"/>
    </row>
    <row r="66">
      <c r="A66" s="625"/>
      <c r="B66" s="625"/>
      <c r="C66" s="625"/>
    </row>
    <row r="67">
      <c r="A67" s="625"/>
      <c r="B67" s="625"/>
      <c r="C67" s="625"/>
    </row>
    <row r="68">
      <c r="A68" s="625"/>
      <c r="B68" s="625"/>
      <c r="C68" s="625"/>
    </row>
    <row r="69">
      <c r="A69" s="625"/>
      <c r="B69" s="625"/>
      <c r="C69" s="625"/>
    </row>
    <row r="70">
      <c r="A70" s="625"/>
      <c r="B70" s="625"/>
      <c r="C70" s="625"/>
    </row>
    <row r="71">
      <c r="A71" s="625"/>
      <c r="B71" s="625"/>
      <c r="C71" s="625"/>
    </row>
    <row r="72">
      <c r="A72" s="625"/>
      <c r="B72" s="625"/>
      <c r="C72" s="625"/>
    </row>
    <row r="73">
      <c r="A73" s="625"/>
      <c r="B73" s="625"/>
      <c r="C73" s="625"/>
    </row>
    <row r="74">
      <c r="A74" s="625"/>
      <c r="B74" s="625"/>
      <c r="C74" s="625"/>
    </row>
    <row r="75">
      <c r="A75" s="625"/>
      <c r="B75" s="625"/>
      <c r="C75" s="625"/>
    </row>
    <row r="76">
      <c r="A76" s="625"/>
      <c r="B76" s="625"/>
      <c r="C76" s="625"/>
    </row>
    <row r="77">
      <c r="A77" s="625"/>
      <c r="B77" s="625"/>
      <c r="C77" s="625"/>
    </row>
    <row r="78">
      <c r="A78" s="625"/>
      <c r="B78" s="625"/>
      <c r="C78" s="625"/>
    </row>
    <row r="79">
      <c r="A79" s="625"/>
      <c r="B79" s="625"/>
      <c r="C79" s="625"/>
    </row>
    <row r="80">
      <c r="A80" s="625"/>
      <c r="B80" s="625"/>
      <c r="C80" s="625"/>
    </row>
    <row r="81">
      <c r="A81" s="625"/>
      <c r="B81" s="625"/>
      <c r="C81" s="625"/>
    </row>
    <row r="82">
      <c r="A82" s="625"/>
      <c r="B82" s="625"/>
      <c r="C82" s="625"/>
    </row>
    <row r="83">
      <c r="A83" s="625"/>
      <c r="B83" s="625"/>
      <c r="C83" s="625"/>
    </row>
    <row r="84">
      <c r="A84" s="625"/>
      <c r="B84" s="625"/>
      <c r="C84" s="625"/>
    </row>
    <row r="85">
      <c r="A85" s="625"/>
      <c r="B85" s="625"/>
      <c r="C85" s="625"/>
    </row>
    <row r="86">
      <c r="A86" s="625"/>
      <c r="B86" s="625"/>
      <c r="C86" s="625"/>
    </row>
    <row r="87">
      <c r="A87" s="625"/>
      <c r="B87" s="625"/>
      <c r="C87" s="625"/>
    </row>
    <row r="88">
      <c r="A88" s="625"/>
      <c r="B88" s="625"/>
      <c r="C88" s="625"/>
    </row>
    <row r="89">
      <c r="A89" s="625"/>
      <c r="B89" s="625"/>
      <c r="C89" s="625"/>
    </row>
    <row r="90">
      <c r="A90" s="625"/>
      <c r="B90" s="625"/>
      <c r="C90" s="625"/>
    </row>
    <row r="91">
      <c r="A91" s="625"/>
      <c r="B91" s="625"/>
      <c r="C91" s="625"/>
    </row>
    <row r="92">
      <c r="A92" s="625"/>
      <c r="B92" s="625"/>
      <c r="C92" s="625"/>
    </row>
    <row r="93">
      <c r="A93" s="625"/>
      <c r="B93" s="625"/>
      <c r="C93" s="625"/>
    </row>
    <row r="94">
      <c r="A94" s="625"/>
      <c r="B94" s="625"/>
      <c r="C94" s="625"/>
    </row>
    <row r="95">
      <c r="A95" s="625"/>
      <c r="B95" s="625"/>
      <c r="C95" s="625"/>
    </row>
    <row r="96">
      <c r="A96" s="625"/>
      <c r="B96" s="625"/>
      <c r="C96" s="625"/>
    </row>
    <row r="97">
      <c r="A97" s="625"/>
      <c r="B97" s="625"/>
      <c r="C97" s="625"/>
    </row>
    <row r="98">
      <c r="A98" s="625"/>
      <c r="B98" s="625"/>
      <c r="C98" s="625"/>
    </row>
    <row r="99">
      <c r="A99" s="625"/>
      <c r="B99" s="625"/>
      <c r="C99" s="625"/>
    </row>
    <row r="100">
      <c r="A100" s="625"/>
      <c r="B100" s="625"/>
      <c r="C100" s="625"/>
    </row>
    <row r="101">
      <c r="A101" s="625"/>
      <c r="B101" s="625"/>
      <c r="C101" s="625"/>
    </row>
    <row r="102">
      <c r="A102" s="625"/>
      <c r="B102" s="625"/>
      <c r="C102" s="625"/>
    </row>
    <row r="103">
      <c r="A103" s="625"/>
      <c r="B103" s="625"/>
      <c r="C103" s="625"/>
    </row>
    <row r="104">
      <c r="A104" s="625"/>
      <c r="B104" s="625"/>
      <c r="C104" s="625"/>
    </row>
    <row r="105">
      <c r="A105" s="625"/>
      <c r="B105" s="625"/>
      <c r="C105" s="625"/>
    </row>
    <row r="106">
      <c r="A106" s="625"/>
      <c r="B106" s="625"/>
      <c r="C106" s="625"/>
    </row>
    <row r="107">
      <c r="A107" s="625"/>
      <c r="B107" s="625"/>
      <c r="C107" s="625"/>
    </row>
    <row r="108">
      <c r="A108" s="625"/>
      <c r="B108" s="625"/>
      <c r="C108" s="625"/>
    </row>
    <row r="109">
      <c r="A109" s="625"/>
      <c r="B109" s="625"/>
      <c r="C109" s="625"/>
    </row>
    <row r="110">
      <c r="A110" s="625"/>
      <c r="B110" s="625"/>
      <c r="C110" s="625"/>
    </row>
    <row r="111">
      <c r="A111" s="625"/>
      <c r="B111" s="625"/>
      <c r="C111" s="625"/>
    </row>
    <row r="112">
      <c r="A112" s="625"/>
      <c r="B112" s="625"/>
      <c r="C112" s="625"/>
    </row>
    <row r="113">
      <c r="A113" s="625"/>
      <c r="B113" s="625"/>
      <c r="C113" s="625"/>
    </row>
    <row r="114">
      <c r="A114" s="625"/>
      <c r="B114" s="625"/>
      <c r="C114" s="625"/>
    </row>
    <row r="115">
      <c r="A115" s="625"/>
      <c r="B115" s="625"/>
      <c r="C115" s="625"/>
    </row>
    <row r="116">
      <c r="A116" s="625"/>
      <c r="B116" s="625"/>
      <c r="C116" s="625"/>
    </row>
    <row r="117">
      <c r="A117" s="625"/>
      <c r="B117" s="625"/>
      <c r="C117" s="625"/>
    </row>
    <row r="118">
      <c r="A118" s="625"/>
      <c r="B118" s="625"/>
      <c r="C118" s="625"/>
    </row>
    <row r="119">
      <c r="A119" s="625"/>
      <c r="B119" s="625"/>
      <c r="C119" s="625"/>
    </row>
    <row r="120">
      <c r="A120" s="625"/>
      <c r="B120" s="625"/>
      <c r="C120" s="625"/>
    </row>
    <row r="121">
      <c r="A121" s="625"/>
      <c r="B121" s="625"/>
      <c r="C121" s="625"/>
    </row>
    <row r="122">
      <c r="A122" s="625"/>
      <c r="B122" s="625"/>
      <c r="C122" s="625"/>
    </row>
    <row r="123">
      <c r="A123" s="625"/>
      <c r="B123" s="625"/>
      <c r="C123" s="625"/>
    </row>
    <row r="124">
      <c r="A124" s="625"/>
      <c r="B124" s="625"/>
      <c r="C124" s="625"/>
    </row>
    <row r="125">
      <c r="A125" s="625"/>
      <c r="B125" s="625"/>
      <c r="C125" s="625"/>
    </row>
    <row r="126">
      <c r="A126" s="625"/>
      <c r="B126" s="625"/>
      <c r="C126" s="625"/>
    </row>
    <row r="127">
      <c r="A127" s="625"/>
      <c r="B127" s="625"/>
      <c r="C127" s="625"/>
    </row>
    <row r="128">
      <c r="A128" s="625"/>
      <c r="B128" s="625"/>
      <c r="C128" s="625"/>
    </row>
    <row r="129">
      <c r="A129" s="625"/>
      <c r="B129" s="625"/>
      <c r="C129" s="625"/>
    </row>
    <row r="130">
      <c r="A130" s="625"/>
      <c r="B130" s="625"/>
      <c r="C130" s="625"/>
    </row>
    <row r="131">
      <c r="A131" s="625"/>
      <c r="B131" s="625"/>
      <c r="C131" s="625"/>
    </row>
    <row r="132">
      <c r="A132" s="625"/>
      <c r="B132" s="625"/>
      <c r="C132" s="625"/>
    </row>
    <row r="133">
      <c r="A133" s="625"/>
      <c r="B133" s="625"/>
      <c r="C133" s="625"/>
    </row>
    <row r="134">
      <c r="A134" s="625"/>
      <c r="B134" s="625"/>
      <c r="C134" s="625"/>
    </row>
    <row r="135">
      <c r="A135" s="625"/>
      <c r="B135" s="625"/>
      <c r="C135" s="625"/>
    </row>
    <row r="136">
      <c r="A136" s="625"/>
      <c r="B136" s="625"/>
      <c r="C136" s="625"/>
    </row>
    <row r="137">
      <c r="A137" s="625"/>
      <c r="B137" s="625"/>
      <c r="C137" s="625"/>
    </row>
    <row r="138">
      <c r="A138" s="625"/>
      <c r="B138" s="625"/>
      <c r="C138" s="625"/>
    </row>
    <row r="139">
      <c r="A139" s="625"/>
      <c r="B139" s="625"/>
      <c r="C139" s="625"/>
    </row>
    <row r="140">
      <c r="A140" s="625"/>
      <c r="B140" s="625"/>
      <c r="C140" s="625"/>
    </row>
    <row r="141">
      <c r="A141" s="625"/>
      <c r="B141" s="625"/>
      <c r="C141" s="625"/>
    </row>
    <row r="142">
      <c r="A142" s="625"/>
      <c r="B142" s="625"/>
      <c r="C142" s="625"/>
    </row>
    <row r="143">
      <c r="A143" s="625"/>
      <c r="B143" s="625"/>
      <c r="C143" s="625"/>
    </row>
    <row r="144">
      <c r="A144" s="625"/>
      <c r="B144" s="625"/>
      <c r="C144" s="625"/>
    </row>
    <row r="145">
      <c r="A145" s="625"/>
      <c r="B145" s="625"/>
      <c r="C145" s="625"/>
    </row>
    <row r="146">
      <c r="A146" s="625"/>
      <c r="B146" s="625"/>
      <c r="C146" s="625"/>
    </row>
    <row r="147">
      <c r="A147" s="625"/>
      <c r="B147" s="625"/>
      <c r="C147" s="625"/>
    </row>
    <row r="148">
      <c r="A148" s="625"/>
      <c r="B148" s="625"/>
      <c r="C148" s="625"/>
    </row>
    <row r="149">
      <c r="A149" s="625"/>
      <c r="B149" s="625"/>
      <c r="C149" s="625"/>
    </row>
    <row r="150">
      <c r="A150" s="625"/>
      <c r="B150" s="625"/>
      <c r="C150" s="625"/>
    </row>
    <row r="151">
      <c r="A151" s="625"/>
      <c r="B151" s="625"/>
      <c r="C151" s="625"/>
    </row>
    <row r="152">
      <c r="A152" s="625"/>
      <c r="B152" s="625"/>
      <c r="C152" s="625"/>
    </row>
    <row r="153">
      <c r="A153" s="625"/>
      <c r="B153" s="625"/>
      <c r="C153" s="625"/>
    </row>
    <row r="154">
      <c r="A154" s="625"/>
      <c r="B154" s="625"/>
      <c r="C154" s="625"/>
    </row>
    <row r="155">
      <c r="A155" s="625"/>
      <c r="B155" s="625"/>
      <c r="C155" s="625"/>
    </row>
    <row r="156">
      <c r="A156" s="625"/>
      <c r="B156" s="625"/>
      <c r="C156" s="625"/>
    </row>
    <row r="157">
      <c r="A157" s="625"/>
      <c r="B157" s="625"/>
      <c r="C157" s="625"/>
    </row>
    <row r="158">
      <c r="A158" s="625"/>
      <c r="B158" s="625"/>
      <c r="C158" s="625"/>
    </row>
    <row r="159">
      <c r="A159" s="625"/>
      <c r="B159" s="625"/>
      <c r="C159" s="625"/>
    </row>
    <row r="160">
      <c r="A160" s="625"/>
      <c r="B160" s="625"/>
      <c r="C160" s="625"/>
    </row>
    <row r="161">
      <c r="A161" s="625"/>
      <c r="B161" s="625"/>
      <c r="C161" s="625"/>
    </row>
    <row r="162">
      <c r="A162" s="625"/>
      <c r="B162" s="625"/>
      <c r="C162" s="625"/>
    </row>
    <row r="163">
      <c r="A163" s="625"/>
      <c r="B163" s="625"/>
      <c r="C163" s="625"/>
    </row>
    <row r="164">
      <c r="A164" s="625"/>
      <c r="B164" s="625"/>
      <c r="C164" s="625"/>
    </row>
    <row r="165">
      <c r="A165" s="625"/>
      <c r="B165" s="625"/>
      <c r="C165" s="625"/>
    </row>
    <row r="166">
      <c r="A166" s="625"/>
      <c r="B166" s="625"/>
      <c r="C166" s="625"/>
    </row>
    <row r="167">
      <c r="A167" s="625"/>
      <c r="B167" s="625"/>
      <c r="C167" s="625"/>
    </row>
    <row r="168">
      <c r="A168" s="625"/>
      <c r="B168" s="625"/>
      <c r="C168" s="625"/>
    </row>
    <row r="169">
      <c r="A169" s="625"/>
      <c r="B169" s="625"/>
      <c r="C169" s="625"/>
    </row>
    <row r="170">
      <c r="A170" s="625"/>
      <c r="B170" s="625"/>
      <c r="C170" s="625"/>
    </row>
    <row r="171">
      <c r="A171" s="625"/>
      <c r="B171" s="625"/>
      <c r="C171" s="625"/>
    </row>
    <row r="172">
      <c r="A172" s="625"/>
      <c r="B172" s="625"/>
      <c r="C172" s="625"/>
    </row>
    <row r="173">
      <c r="A173" s="625"/>
      <c r="B173" s="625"/>
      <c r="C173" s="625"/>
    </row>
    <row r="174">
      <c r="A174" s="625"/>
      <c r="B174" s="625"/>
      <c r="C174" s="625"/>
    </row>
    <row r="175">
      <c r="A175" s="625"/>
      <c r="B175" s="625"/>
      <c r="C175" s="625"/>
    </row>
    <row r="176">
      <c r="A176" s="625"/>
      <c r="B176" s="625"/>
      <c r="C176" s="625"/>
    </row>
    <row r="177">
      <c r="A177" s="625"/>
      <c r="B177" s="625"/>
      <c r="C177" s="625"/>
    </row>
    <row r="178">
      <c r="A178" s="625"/>
      <c r="B178" s="625"/>
      <c r="C178" s="625"/>
    </row>
    <row r="179">
      <c r="A179" s="625"/>
      <c r="B179" s="625"/>
      <c r="C179" s="625"/>
    </row>
    <row r="180">
      <c r="A180" s="625"/>
      <c r="B180" s="625"/>
      <c r="C180" s="625"/>
    </row>
    <row r="181">
      <c r="A181" s="625"/>
      <c r="B181" s="625"/>
      <c r="C181" s="625"/>
    </row>
    <row r="182">
      <c r="A182" s="625"/>
      <c r="B182" s="625"/>
      <c r="C182" s="625"/>
    </row>
    <row r="183">
      <c r="A183" s="625"/>
      <c r="B183" s="625"/>
      <c r="C183" s="625"/>
    </row>
    <row r="184">
      <c r="A184" s="625"/>
      <c r="B184" s="625"/>
      <c r="C184" s="625"/>
    </row>
    <row r="185">
      <c r="A185" s="625"/>
      <c r="B185" s="625"/>
      <c r="C185" s="625"/>
    </row>
    <row r="186">
      <c r="A186" s="625"/>
      <c r="B186" s="625"/>
      <c r="C186" s="625"/>
    </row>
    <row r="187">
      <c r="A187" s="625"/>
      <c r="B187" s="625"/>
      <c r="C187" s="625"/>
    </row>
    <row r="188">
      <c r="A188" s="625"/>
      <c r="B188" s="625"/>
      <c r="C188" s="625"/>
    </row>
    <row r="189">
      <c r="A189" s="625"/>
      <c r="B189" s="625"/>
      <c r="C189" s="625"/>
    </row>
    <row r="190">
      <c r="A190" s="625"/>
      <c r="B190" s="625"/>
      <c r="C190" s="625"/>
    </row>
    <row r="191">
      <c r="A191" s="625"/>
      <c r="B191" s="625"/>
      <c r="C191" s="625"/>
    </row>
    <row r="192">
      <c r="A192" s="625"/>
      <c r="B192" s="625"/>
      <c r="C192" s="625"/>
    </row>
    <row r="193">
      <c r="A193" s="625"/>
      <c r="B193" s="625"/>
      <c r="C193" s="625"/>
    </row>
    <row r="194">
      <c r="A194" s="625"/>
      <c r="B194" s="625"/>
      <c r="C194" s="625"/>
    </row>
    <row r="195">
      <c r="A195" s="625"/>
      <c r="B195" s="625"/>
      <c r="C195" s="625"/>
    </row>
    <row r="196">
      <c r="A196" s="625"/>
      <c r="B196" s="625"/>
      <c r="C196" s="625"/>
    </row>
    <row r="197">
      <c r="A197" s="625"/>
      <c r="B197" s="625"/>
      <c r="C197" s="625"/>
    </row>
    <row r="198">
      <c r="A198" s="625"/>
      <c r="B198" s="625"/>
      <c r="C198" s="625"/>
    </row>
    <row r="199">
      <c r="A199" s="625"/>
      <c r="B199" s="625"/>
      <c r="C199" s="625"/>
    </row>
    <row r="200">
      <c r="A200" s="625"/>
      <c r="B200" s="625"/>
      <c r="C200" s="625"/>
    </row>
    <row r="201">
      <c r="A201" s="625"/>
      <c r="B201" s="625"/>
      <c r="C201" s="625"/>
    </row>
    <row r="202">
      <c r="A202" s="625"/>
      <c r="B202" s="625"/>
      <c r="C202" s="625"/>
    </row>
    <row r="203">
      <c r="A203" s="625"/>
      <c r="B203" s="625"/>
      <c r="C203" s="625"/>
    </row>
    <row r="204">
      <c r="A204" s="625"/>
      <c r="B204" s="625"/>
      <c r="C204" s="625"/>
    </row>
    <row r="205">
      <c r="A205" s="625"/>
      <c r="B205" s="625"/>
      <c r="C205" s="625"/>
    </row>
    <row r="206">
      <c r="A206" s="625"/>
      <c r="B206" s="625"/>
      <c r="C206" s="625"/>
    </row>
    <row r="207">
      <c r="A207" s="625"/>
      <c r="B207" s="625"/>
      <c r="C207" s="625"/>
    </row>
    <row r="208">
      <c r="A208" s="625"/>
      <c r="B208" s="625"/>
      <c r="C208" s="625"/>
    </row>
    <row r="209">
      <c r="A209" s="625"/>
      <c r="B209" s="625"/>
      <c r="C209" s="625"/>
    </row>
    <row r="210">
      <c r="A210" s="625"/>
      <c r="B210" s="625"/>
      <c r="C210" s="625"/>
    </row>
    <row r="211">
      <c r="A211" s="625"/>
      <c r="B211" s="625"/>
      <c r="C211" s="625"/>
    </row>
    <row r="212">
      <c r="A212" s="625"/>
      <c r="B212" s="625"/>
      <c r="C212" s="625"/>
    </row>
    <row r="213">
      <c r="A213" s="625"/>
      <c r="B213" s="625"/>
      <c r="C213" s="625"/>
    </row>
    <row r="214">
      <c r="A214" s="625"/>
      <c r="B214" s="625"/>
      <c r="C214" s="625"/>
    </row>
    <row r="215">
      <c r="A215" s="625"/>
      <c r="B215" s="625"/>
      <c r="C215" s="625"/>
    </row>
    <row r="216">
      <c r="A216" s="625"/>
      <c r="B216" s="625"/>
      <c r="C216" s="625"/>
    </row>
    <row r="217">
      <c r="A217" s="625"/>
      <c r="B217" s="625"/>
      <c r="C217" s="625"/>
    </row>
    <row r="218">
      <c r="A218" s="625"/>
      <c r="B218" s="625"/>
      <c r="C218" s="625"/>
    </row>
    <row r="219">
      <c r="A219" s="625"/>
      <c r="B219" s="625"/>
      <c r="C219" s="625"/>
    </row>
    <row r="220">
      <c r="A220" s="625"/>
      <c r="B220" s="625"/>
      <c r="C220" s="625"/>
    </row>
    <row r="221">
      <c r="A221" s="625"/>
      <c r="B221" s="625"/>
      <c r="C221" s="625"/>
    </row>
    <row r="222">
      <c r="A222" s="625"/>
      <c r="B222" s="625"/>
      <c r="C222" s="625"/>
    </row>
    <row r="223">
      <c r="A223" s="625"/>
      <c r="B223" s="625"/>
      <c r="C223" s="625"/>
    </row>
    <row r="224">
      <c r="A224" s="625"/>
      <c r="B224" s="625"/>
      <c r="C224" s="625"/>
    </row>
    <row r="225">
      <c r="A225" s="625"/>
      <c r="B225" s="625"/>
      <c r="C225" s="625"/>
    </row>
    <row r="226">
      <c r="A226" s="625"/>
      <c r="B226" s="625"/>
      <c r="C226" s="625"/>
    </row>
    <row r="227">
      <c r="A227" s="625"/>
      <c r="B227" s="625"/>
      <c r="C227" s="625"/>
    </row>
    <row r="228">
      <c r="A228" s="625"/>
      <c r="B228" s="625"/>
      <c r="C228" s="625"/>
    </row>
    <row r="229">
      <c r="A229" s="625"/>
      <c r="B229" s="625"/>
      <c r="C229" s="625"/>
    </row>
    <row r="230">
      <c r="A230" s="625"/>
      <c r="B230" s="625"/>
      <c r="C230" s="625"/>
    </row>
    <row r="231">
      <c r="A231" s="625"/>
      <c r="B231" s="625"/>
      <c r="C231" s="625"/>
    </row>
    <row r="232">
      <c r="A232" s="625"/>
      <c r="B232" s="625"/>
      <c r="C232" s="625"/>
    </row>
    <row r="233">
      <c r="A233" s="625"/>
      <c r="B233" s="625"/>
      <c r="C233" s="625"/>
    </row>
    <row r="234">
      <c r="A234" s="625"/>
      <c r="B234" s="625"/>
      <c r="C234" s="625"/>
    </row>
    <row r="235">
      <c r="A235" s="625"/>
      <c r="B235" s="625"/>
      <c r="C235" s="625"/>
    </row>
    <row r="236">
      <c r="A236" s="625"/>
      <c r="B236" s="625"/>
      <c r="C236" s="625"/>
    </row>
    <row r="237">
      <c r="A237" s="625"/>
      <c r="B237" s="625"/>
      <c r="C237" s="625"/>
    </row>
    <row r="238">
      <c r="A238" s="625"/>
      <c r="B238" s="625"/>
      <c r="C238" s="625"/>
    </row>
    <row r="239">
      <c r="A239" s="625"/>
      <c r="B239" s="625"/>
      <c r="C239" s="625"/>
    </row>
    <row r="240">
      <c r="A240" s="625"/>
      <c r="B240" s="625"/>
      <c r="C240" s="625"/>
    </row>
    <row r="241">
      <c r="A241" s="625"/>
      <c r="B241" s="625"/>
      <c r="C241" s="625"/>
    </row>
    <row r="242">
      <c r="A242" s="625"/>
      <c r="B242" s="625"/>
      <c r="C242" s="625"/>
    </row>
    <row r="243">
      <c r="A243" s="625"/>
      <c r="B243" s="625"/>
      <c r="C243" s="625"/>
    </row>
    <row r="244">
      <c r="A244" s="625"/>
      <c r="B244" s="625"/>
      <c r="C244" s="625"/>
    </row>
    <row r="245">
      <c r="A245" s="625"/>
      <c r="B245" s="625"/>
      <c r="C245" s="625"/>
    </row>
    <row r="246">
      <c r="A246" s="625"/>
      <c r="B246" s="625"/>
      <c r="C246" s="625"/>
    </row>
    <row r="247">
      <c r="A247" s="625"/>
      <c r="B247" s="625"/>
      <c r="C247" s="625"/>
    </row>
    <row r="248">
      <c r="A248" s="625"/>
      <c r="B248" s="625"/>
      <c r="C248" s="625"/>
    </row>
    <row r="249">
      <c r="A249" s="625"/>
      <c r="B249" s="625"/>
      <c r="C249" s="625"/>
    </row>
    <row r="250">
      <c r="A250" s="625"/>
      <c r="B250" s="625"/>
      <c r="C250" s="625"/>
    </row>
    <row r="251">
      <c r="A251" s="625"/>
      <c r="B251" s="625"/>
      <c r="C251" s="625"/>
    </row>
    <row r="252">
      <c r="A252" s="625"/>
      <c r="B252" s="625"/>
      <c r="C252" s="625"/>
    </row>
    <row r="253">
      <c r="A253" s="625"/>
      <c r="B253" s="625"/>
      <c r="C253" s="625"/>
    </row>
    <row r="254">
      <c r="A254" s="625"/>
      <c r="B254" s="625"/>
      <c r="C254" s="625"/>
    </row>
    <row r="255">
      <c r="A255" s="625"/>
      <c r="B255" s="625"/>
      <c r="C255" s="625"/>
    </row>
    <row r="256">
      <c r="A256" s="625"/>
      <c r="B256" s="625"/>
      <c r="C256" s="625"/>
    </row>
    <row r="257">
      <c r="A257" s="625"/>
      <c r="B257" s="625"/>
      <c r="C257" s="625"/>
    </row>
    <row r="258">
      <c r="A258" s="625"/>
      <c r="B258" s="625"/>
      <c r="C258" s="625"/>
    </row>
    <row r="259">
      <c r="A259" s="625"/>
      <c r="B259" s="625"/>
      <c r="C259" s="625"/>
    </row>
    <row r="260">
      <c r="A260" s="625"/>
      <c r="B260" s="625"/>
      <c r="C260" s="625"/>
    </row>
    <row r="261">
      <c r="A261" s="625"/>
      <c r="B261" s="625"/>
      <c r="C261" s="625"/>
    </row>
    <row r="262">
      <c r="A262" s="625"/>
      <c r="B262" s="625"/>
      <c r="C262" s="625"/>
    </row>
    <row r="263">
      <c r="A263" s="625"/>
      <c r="B263" s="625"/>
      <c r="C263" s="625"/>
    </row>
    <row r="264">
      <c r="A264" s="625"/>
      <c r="B264" s="625"/>
      <c r="C264" s="625"/>
    </row>
    <row r="265">
      <c r="A265" s="625"/>
      <c r="B265" s="625"/>
      <c r="C265" s="625"/>
    </row>
    <row r="266">
      <c r="A266" s="625"/>
      <c r="B266" s="625"/>
      <c r="C266" s="625"/>
    </row>
    <row r="267">
      <c r="A267" s="625"/>
      <c r="B267" s="625"/>
      <c r="C267" s="625"/>
    </row>
    <row r="268">
      <c r="A268" s="625"/>
      <c r="B268" s="625"/>
      <c r="C268" s="625"/>
    </row>
    <row r="269">
      <c r="A269" s="625"/>
      <c r="B269" s="625"/>
      <c r="C269" s="625"/>
    </row>
    <row r="270">
      <c r="A270" s="625"/>
      <c r="B270" s="625"/>
      <c r="C270" s="625"/>
    </row>
    <row r="271">
      <c r="A271" s="625"/>
      <c r="B271" s="625"/>
      <c r="C271" s="625"/>
    </row>
    <row r="272">
      <c r="A272" s="625"/>
      <c r="B272" s="625"/>
      <c r="C272" s="625"/>
    </row>
    <row r="273">
      <c r="A273" s="625"/>
      <c r="B273" s="625"/>
      <c r="C273" s="625"/>
    </row>
    <row r="274">
      <c r="A274" s="625"/>
      <c r="B274" s="625"/>
      <c r="C274" s="625"/>
    </row>
    <row r="275">
      <c r="A275" s="625"/>
      <c r="B275" s="625"/>
      <c r="C275" s="625"/>
    </row>
    <row r="276">
      <c r="A276" s="625"/>
      <c r="B276" s="625"/>
      <c r="C276" s="625"/>
    </row>
    <row r="277">
      <c r="A277" s="625"/>
      <c r="B277" s="625"/>
      <c r="C277" s="625"/>
    </row>
    <row r="278">
      <c r="A278" s="625"/>
      <c r="B278" s="625"/>
      <c r="C278" s="625"/>
    </row>
    <row r="279">
      <c r="A279" s="625"/>
      <c r="B279" s="625"/>
      <c r="C279" s="625"/>
    </row>
    <row r="280">
      <c r="A280" s="625"/>
      <c r="B280" s="625"/>
      <c r="C280" s="625"/>
    </row>
    <row r="281">
      <c r="A281" s="625"/>
      <c r="B281" s="625"/>
      <c r="C281" s="625"/>
    </row>
    <row r="282">
      <c r="A282" s="625"/>
      <c r="B282" s="625"/>
      <c r="C282" s="625"/>
    </row>
    <row r="283">
      <c r="A283" s="625"/>
      <c r="B283" s="625"/>
      <c r="C283" s="625"/>
    </row>
    <row r="284">
      <c r="A284" s="625"/>
      <c r="B284" s="625"/>
      <c r="C284" s="625"/>
    </row>
    <row r="285">
      <c r="A285" s="625"/>
      <c r="B285" s="625"/>
      <c r="C285" s="625"/>
    </row>
    <row r="286">
      <c r="A286" s="625"/>
      <c r="B286" s="625"/>
      <c r="C286" s="625"/>
    </row>
    <row r="287">
      <c r="A287" s="625"/>
      <c r="B287" s="625"/>
      <c r="C287" s="625"/>
    </row>
    <row r="288">
      <c r="A288" s="625"/>
      <c r="B288" s="625"/>
      <c r="C288" s="625"/>
    </row>
    <row r="289">
      <c r="A289" s="625"/>
      <c r="B289" s="625"/>
      <c r="C289" s="625"/>
    </row>
    <row r="290">
      <c r="A290" s="625"/>
      <c r="B290" s="625"/>
      <c r="C290" s="625"/>
    </row>
    <row r="291">
      <c r="A291" s="625"/>
      <c r="B291" s="625"/>
      <c r="C291" s="625"/>
    </row>
    <row r="292">
      <c r="A292" s="625"/>
      <c r="B292" s="625"/>
      <c r="C292" s="625"/>
    </row>
    <row r="293">
      <c r="A293" s="625"/>
      <c r="B293" s="625"/>
      <c r="C293" s="625"/>
    </row>
    <row r="294">
      <c r="A294" s="625"/>
      <c r="B294" s="625"/>
      <c r="C294" s="625"/>
    </row>
    <row r="295">
      <c r="A295" s="625"/>
      <c r="B295" s="625"/>
      <c r="C295" s="625"/>
    </row>
    <row r="296">
      <c r="A296" s="625"/>
      <c r="B296" s="625"/>
      <c r="C296" s="625"/>
    </row>
    <row r="297">
      <c r="A297" s="625"/>
      <c r="B297" s="625"/>
      <c r="C297" s="625"/>
    </row>
    <row r="298">
      <c r="A298" s="625"/>
      <c r="B298" s="625"/>
      <c r="C298" s="625"/>
    </row>
    <row r="299">
      <c r="A299" s="625"/>
      <c r="B299" s="625"/>
      <c r="C299" s="625"/>
    </row>
    <row r="300">
      <c r="A300" s="625"/>
      <c r="B300" s="625"/>
      <c r="C300" s="625"/>
    </row>
    <row r="301">
      <c r="A301" s="625"/>
      <c r="B301" s="625"/>
      <c r="C301" s="625"/>
    </row>
    <row r="302">
      <c r="A302" s="625"/>
      <c r="B302" s="625"/>
      <c r="C302" s="625"/>
    </row>
    <row r="303">
      <c r="A303" s="625"/>
      <c r="B303" s="625"/>
      <c r="C303" s="625"/>
    </row>
    <row r="304">
      <c r="A304" s="625"/>
      <c r="B304" s="625"/>
      <c r="C304" s="625"/>
    </row>
    <row r="305">
      <c r="A305" s="625"/>
      <c r="B305" s="625"/>
      <c r="C305" s="625"/>
    </row>
    <row r="306">
      <c r="A306" s="625"/>
      <c r="B306" s="625"/>
      <c r="C306" s="625"/>
    </row>
    <row r="307">
      <c r="A307" s="625"/>
      <c r="B307" s="625"/>
      <c r="C307" s="625"/>
    </row>
    <row r="308">
      <c r="A308" s="625"/>
      <c r="B308" s="625"/>
      <c r="C308" s="625"/>
    </row>
    <row r="309">
      <c r="A309" s="625"/>
      <c r="B309" s="625"/>
      <c r="C309" s="625"/>
    </row>
    <row r="310">
      <c r="A310" s="625"/>
      <c r="B310" s="625"/>
      <c r="C310" s="625"/>
    </row>
    <row r="311">
      <c r="A311" s="625"/>
      <c r="B311" s="625"/>
      <c r="C311" s="625"/>
    </row>
    <row r="312">
      <c r="A312" s="625"/>
      <c r="B312" s="625"/>
      <c r="C312" s="625"/>
    </row>
    <row r="313">
      <c r="A313" s="625"/>
      <c r="B313" s="625"/>
      <c r="C313" s="625"/>
    </row>
    <row r="314">
      <c r="A314" s="625"/>
      <c r="B314" s="625"/>
      <c r="C314" s="625"/>
    </row>
    <row r="315">
      <c r="A315" s="625"/>
      <c r="B315" s="625"/>
      <c r="C315" s="625"/>
    </row>
    <row r="316">
      <c r="A316" s="625"/>
      <c r="B316" s="625"/>
      <c r="C316" s="625"/>
    </row>
    <row r="317">
      <c r="A317" s="625"/>
      <c r="B317" s="625"/>
      <c r="C317" s="625"/>
    </row>
    <row r="318">
      <c r="A318" s="625"/>
      <c r="B318" s="625"/>
      <c r="C318" s="625"/>
    </row>
    <row r="319">
      <c r="A319" s="625"/>
      <c r="B319" s="625"/>
      <c r="C319" s="625"/>
    </row>
    <row r="320">
      <c r="A320" s="625"/>
      <c r="B320" s="625"/>
      <c r="C320" s="625"/>
    </row>
    <row r="321">
      <c r="A321" s="625"/>
      <c r="B321" s="625"/>
      <c r="C321" s="625"/>
    </row>
    <row r="322">
      <c r="A322" s="625"/>
      <c r="B322" s="625"/>
      <c r="C322" s="625"/>
    </row>
    <row r="323">
      <c r="A323" s="625"/>
      <c r="B323" s="625"/>
      <c r="C323" s="625"/>
    </row>
    <row r="324">
      <c r="A324" s="625"/>
      <c r="B324" s="625"/>
      <c r="C324" s="625"/>
    </row>
    <row r="325">
      <c r="A325" s="625"/>
      <c r="B325" s="625"/>
      <c r="C325" s="625"/>
    </row>
    <row r="326">
      <c r="A326" s="625"/>
      <c r="B326" s="625"/>
      <c r="C326" s="625"/>
    </row>
    <row r="327">
      <c r="A327" s="625"/>
      <c r="B327" s="625"/>
      <c r="C327" s="625"/>
    </row>
    <row r="328">
      <c r="A328" s="625"/>
      <c r="B328" s="625"/>
      <c r="C328" s="625"/>
    </row>
    <row r="329">
      <c r="A329" s="625"/>
      <c r="B329" s="625"/>
      <c r="C329" s="625"/>
    </row>
    <row r="330">
      <c r="A330" s="625"/>
      <c r="B330" s="625"/>
      <c r="C330" s="625"/>
    </row>
    <row r="331">
      <c r="A331" s="625"/>
      <c r="B331" s="625"/>
      <c r="C331" s="625"/>
    </row>
    <row r="332">
      <c r="A332" s="625"/>
      <c r="B332" s="625"/>
      <c r="C332" s="625"/>
    </row>
    <row r="333">
      <c r="A333" s="625"/>
      <c r="B333" s="625"/>
      <c r="C333" s="625"/>
    </row>
    <row r="334">
      <c r="A334" s="625"/>
      <c r="B334" s="625"/>
      <c r="C334" s="625"/>
    </row>
    <row r="335">
      <c r="A335" s="625"/>
      <c r="B335" s="625"/>
      <c r="C335" s="625"/>
    </row>
    <row r="336">
      <c r="A336" s="625"/>
      <c r="B336" s="625"/>
      <c r="C336" s="625"/>
    </row>
    <row r="337">
      <c r="A337" s="625"/>
      <c r="B337" s="625"/>
      <c r="C337" s="625"/>
    </row>
    <row r="338">
      <c r="A338" s="625"/>
      <c r="B338" s="625"/>
      <c r="C338" s="625"/>
    </row>
    <row r="339">
      <c r="A339" s="625"/>
      <c r="B339" s="625"/>
      <c r="C339" s="625"/>
    </row>
    <row r="340">
      <c r="A340" s="625"/>
      <c r="B340" s="625"/>
      <c r="C340" s="625"/>
    </row>
    <row r="341">
      <c r="A341" s="625"/>
      <c r="B341" s="625"/>
      <c r="C341" s="625"/>
    </row>
    <row r="342">
      <c r="A342" s="625"/>
      <c r="B342" s="625"/>
      <c r="C342" s="625"/>
    </row>
    <row r="343">
      <c r="A343" s="625"/>
      <c r="B343" s="625"/>
      <c r="C343" s="625"/>
    </row>
    <row r="344">
      <c r="A344" s="625"/>
      <c r="B344" s="625"/>
      <c r="C344" s="625"/>
    </row>
    <row r="345">
      <c r="A345" s="625"/>
      <c r="B345" s="625"/>
      <c r="C345" s="625"/>
    </row>
    <row r="346">
      <c r="A346" s="625"/>
      <c r="B346" s="625"/>
      <c r="C346" s="625"/>
    </row>
    <row r="347">
      <c r="A347" s="625"/>
      <c r="B347" s="625"/>
      <c r="C347" s="625"/>
    </row>
    <row r="348">
      <c r="A348" s="625"/>
      <c r="B348" s="625"/>
      <c r="C348" s="625"/>
    </row>
    <row r="349">
      <c r="A349" s="625"/>
      <c r="B349" s="625"/>
      <c r="C349" s="625"/>
    </row>
    <row r="350">
      <c r="A350" s="625"/>
      <c r="B350" s="625"/>
      <c r="C350" s="625"/>
    </row>
    <row r="351">
      <c r="A351" s="625"/>
      <c r="B351" s="625"/>
      <c r="C351" s="625"/>
    </row>
    <row r="352">
      <c r="A352" s="625"/>
      <c r="B352" s="625"/>
      <c r="C352" s="625"/>
    </row>
    <row r="353">
      <c r="A353" s="625"/>
      <c r="B353" s="625"/>
      <c r="C353" s="625"/>
    </row>
    <row r="354">
      <c r="A354" s="625"/>
      <c r="B354" s="625"/>
      <c r="C354" s="625"/>
    </row>
    <row r="355">
      <c r="A355" s="625"/>
      <c r="B355" s="625"/>
      <c r="C355" s="625"/>
    </row>
    <row r="356">
      <c r="A356" s="625"/>
      <c r="B356" s="625"/>
      <c r="C356" s="625"/>
    </row>
    <row r="357">
      <c r="A357" s="625"/>
      <c r="B357" s="625"/>
      <c r="C357" s="625"/>
    </row>
    <row r="358">
      <c r="A358" s="625"/>
      <c r="B358" s="625"/>
      <c r="C358" s="625"/>
    </row>
    <row r="359">
      <c r="A359" s="625"/>
      <c r="B359" s="625"/>
      <c r="C359" s="625"/>
    </row>
    <row r="360">
      <c r="A360" s="625"/>
      <c r="B360" s="625"/>
      <c r="C360" s="625"/>
    </row>
    <row r="361">
      <c r="A361" s="625"/>
      <c r="B361" s="625"/>
      <c r="C361" s="625"/>
    </row>
    <row r="362">
      <c r="A362" s="625"/>
      <c r="B362" s="625"/>
      <c r="C362" s="625"/>
    </row>
    <row r="363">
      <c r="A363" s="625"/>
      <c r="B363" s="625"/>
      <c r="C363" s="625"/>
    </row>
    <row r="364">
      <c r="A364" s="625"/>
      <c r="B364" s="625"/>
      <c r="C364" s="625"/>
    </row>
    <row r="365">
      <c r="A365" s="625"/>
      <c r="B365" s="625"/>
      <c r="C365" s="625"/>
    </row>
    <row r="366">
      <c r="A366" s="625"/>
      <c r="B366" s="625"/>
      <c r="C366" s="625"/>
    </row>
    <row r="367">
      <c r="A367" s="625"/>
      <c r="B367" s="625"/>
      <c r="C367" s="625"/>
    </row>
    <row r="368">
      <c r="A368" s="625"/>
      <c r="B368" s="625"/>
      <c r="C368" s="625"/>
    </row>
    <row r="369">
      <c r="A369" s="625"/>
      <c r="B369" s="625"/>
      <c r="C369" s="625"/>
    </row>
    <row r="370">
      <c r="A370" s="625"/>
      <c r="B370" s="625"/>
      <c r="C370" s="625"/>
    </row>
    <row r="371">
      <c r="A371" s="625"/>
      <c r="B371" s="625"/>
      <c r="C371" s="625"/>
    </row>
    <row r="372">
      <c r="A372" s="625"/>
      <c r="B372" s="625"/>
      <c r="C372" s="625"/>
    </row>
    <row r="373">
      <c r="A373" s="625"/>
      <c r="B373" s="625"/>
      <c r="C373" s="625"/>
    </row>
    <row r="374">
      <c r="A374" s="625"/>
      <c r="B374" s="625"/>
      <c r="C374" s="625"/>
    </row>
    <row r="375">
      <c r="A375" s="625"/>
      <c r="B375" s="625"/>
      <c r="C375" s="625"/>
    </row>
    <row r="376">
      <c r="A376" s="625"/>
      <c r="B376" s="625"/>
      <c r="C376" s="625"/>
    </row>
    <row r="377">
      <c r="A377" s="625"/>
      <c r="B377" s="625"/>
      <c r="C377" s="625"/>
    </row>
    <row r="378">
      <c r="A378" s="625"/>
      <c r="B378" s="625"/>
      <c r="C378" s="625"/>
    </row>
    <row r="379">
      <c r="A379" s="625"/>
      <c r="B379" s="625"/>
      <c r="C379" s="625"/>
    </row>
    <row r="380">
      <c r="A380" s="625"/>
      <c r="B380" s="625"/>
      <c r="C380" s="625"/>
    </row>
    <row r="381">
      <c r="A381" s="625"/>
      <c r="B381" s="625"/>
      <c r="C381" s="625"/>
    </row>
    <row r="382">
      <c r="A382" s="625"/>
      <c r="B382" s="625"/>
      <c r="C382" s="625"/>
    </row>
    <row r="383">
      <c r="A383" s="625"/>
      <c r="B383" s="625"/>
      <c r="C383" s="625"/>
    </row>
    <row r="384">
      <c r="A384" s="625"/>
      <c r="B384" s="625"/>
      <c r="C384" s="625"/>
    </row>
    <row r="385">
      <c r="A385" s="625"/>
      <c r="B385" s="625"/>
      <c r="C385" s="625"/>
    </row>
    <row r="386">
      <c r="A386" s="625"/>
      <c r="B386" s="625"/>
      <c r="C386" s="625"/>
    </row>
    <row r="387">
      <c r="A387" s="625"/>
      <c r="B387" s="625"/>
      <c r="C387" s="625"/>
    </row>
    <row r="388">
      <c r="A388" s="625"/>
      <c r="B388" s="625"/>
      <c r="C388" s="625"/>
    </row>
    <row r="389">
      <c r="A389" s="625"/>
      <c r="B389" s="625"/>
      <c r="C389" s="625"/>
    </row>
    <row r="390">
      <c r="A390" s="625"/>
      <c r="B390" s="625"/>
      <c r="C390" s="625"/>
    </row>
    <row r="391">
      <c r="A391" s="625"/>
      <c r="B391" s="625"/>
      <c r="C391" s="625"/>
    </row>
    <row r="392">
      <c r="A392" s="625"/>
      <c r="B392" s="625"/>
      <c r="C392" s="625"/>
    </row>
    <row r="393">
      <c r="A393" s="625"/>
      <c r="B393" s="625"/>
      <c r="C393" s="625"/>
    </row>
    <row r="394">
      <c r="A394" s="625"/>
      <c r="B394" s="625"/>
      <c r="C394" s="625"/>
    </row>
    <row r="395">
      <c r="A395" s="625"/>
      <c r="B395" s="625"/>
      <c r="C395" s="625"/>
    </row>
    <row r="396">
      <c r="A396" s="625"/>
      <c r="B396" s="625"/>
      <c r="C396" s="625"/>
    </row>
    <row r="397">
      <c r="A397" s="625"/>
      <c r="B397" s="625"/>
      <c r="C397" s="625"/>
    </row>
    <row r="398">
      <c r="A398" s="625"/>
      <c r="B398" s="625"/>
      <c r="C398" s="625"/>
    </row>
    <row r="399">
      <c r="A399" s="625"/>
      <c r="B399" s="625"/>
      <c r="C399" s="625"/>
    </row>
    <row r="400">
      <c r="A400" s="625"/>
      <c r="B400" s="625"/>
      <c r="C400" s="625"/>
    </row>
    <row r="401">
      <c r="A401" s="625"/>
      <c r="B401" s="625"/>
      <c r="C401" s="625"/>
    </row>
    <row r="402">
      <c r="A402" s="625"/>
      <c r="B402" s="625"/>
      <c r="C402" s="625"/>
    </row>
    <row r="403">
      <c r="A403" s="625"/>
      <c r="B403" s="625"/>
      <c r="C403" s="625"/>
    </row>
    <row r="404">
      <c r="A404" s="625"/>
      <c r="B404" s="625"/>
      <c r="C404" s="625"/>
    </row>
    <row r="405">
      <c r="A405" s="625"/>
      <c r="B405" s="625"/>
      <c r="C405" s="625"/>
    </row>
    <row r="406">
      <c r="A406" s="625"/>
      <c r="B406" s="625"/>
      <c r="C406" s="625"/>
    </row>
    <row r="407">
      <c r="A407" s="625"/>
      <c r="B407" s="625"/>
      <c r="C407" s="625"/>
    </row>
    <row r="408">
      <c r="A408" s="625"/>
      <c r="B408" s="625"/>
      <c r="C408" s="625"/>
    </row>
    <row r="409">
      <c r="A409" s="625"/>
      <c r="B409" s="625"/>
      <c r="C409" s="625"/>
    </row>
    <row r="410">
      <c r="A410" s="625"/>
      <c r="B410" s="625"/>
      <c r="C410" s="625"/>
    </row>
    <row r="411">
      <c r="A411" s="625"/>
      <c r="B411" s="625"/>
      <c r="C411" s="625"/>
    </row>
    <row r="412">
      <c r="A412" s="625"/>
      <c r="B412" s="625"/>
      <c r="C412" s="625"/>
    </row>
    <row r="413">
      <c r="A413" s="625"/>
      <c r="B413" s="625"/>
      <c r="C413" s="625"/>
    </row>
    <row r="414">
      <c r="A414" s="625"/>
      <c r="B414" s="625"/>
      <c r="C414" s="625"/>
    </row>
    <row r="415">
      <c r="A415" s="625"/>
      <c r="B415" s="625"/>
      <c r="C415" s="625"/>
    </row>
    <row r="416">
      <c r="A416" s="625"/>
      <c r="B416" s="625"/>
      <c r="C416" s="625"/>
    </row>
    <row r="417">
      <c r="A417" s="625"/>
      <c r="B417" s="625"/>
      <c r="C417" s="625"/>
    </row>
    <row r="418">
      <c r="A418" s="625"/>
      <c r="B418" s="625"/>
      <c r="C418" s="625"/>
    </row>
    <row r="419">
      <c r="A419" s="625"/>
      <c r="B419" s="625"/>
      <c r="C419" s="625"/>
    </row>
    <row r="420">
      <c r="A420" s="625"/>
      <c r="B420" s="625"/>
      <c r="C420" s="625"/>
    </row>
    <row r="421">
      <c r="A421" s="625"/>
      <c r="B421" s="625"/>
      <c r="C421" s="625"/>
    </row>
    <row r="422">
      <c r="A422" s="625"/>
      <c r="B422" s="625"/>
      <c r="C422" s="625"/>
    </row>
    <row r="423">
      <c r="A423" s="625"/>
      <c r="B423" s="625"/>
      <c r="C423" s="625"/>
    </row>
    <row r="424">
      <c r="A424" s="625"/>
      <c r="B424" s="625"/>
      <c r="C424" s="625"/>
    </row>
    <row r="425">
      <c r="A425" s="625"/>
      <c r="B425" s="625"/>
      <c r="C425" s="625"/>
    </row>
    <row r="426">
      <c r="A426" s="625"/>
      <c r="B426" s="625"/>
      <c r="C426" s="625"/>
    </row>
    <row r="427">
      <c r="A427" s="625"/>
      <c r="B427" s="625"/>
      <c r="C427" s="625"/>
    </row>
    <row r="428">
      <c r="A428" s="625"/>
      <c r="B428" s="625"/>
      <c r="C428" s="625"/>
    </row>
    <row r="429">
      <c r="A429" s="625"/>
      <c r="B429" s="625"/>
      <c r="C429" s="625"/>
    </row>
    <row r="430">
      <c r="A430" s="625"/>
      <c r="B430" s="625"/>
      <c r="C430" s="625"/>
    </row>
    <row r="431">
      <c r="A431" s="625"/>
      <c r="B431" s="625"/>
      <c r="C431" s="625"/>
    </row>
    <row r="432">
      <c r="A432" s="625"/>
      <c r="B432" s="625"/>
      <c r="C432" s="625"/>
    </row>
    <row r="433">
      <c r="A433" s="625"/>
      <c r="B433" s="625"/>
      <c r="C433" s="625"/>
    </row>
    <row r="434">
      <c r="A434" s="625"/>
      <c r="B434" s="625"/>
      <c r="C434" s="625"/>
    </row>
    <row r="435">
      <c r="A435" s="625"/>
      <c r="B435" s="625"/>
      <c r="C435" s="625"/>
    </row>
    <row r="436">
      <c r="A436" s="625"/>
      <c r="B436" s="625"/>
      <c r="C436" s="625"/>
    </row>
    <row r="437">
      <c r="A437" s="625"/>
      <c r="B437" s="625"/>
      <c r="C437" s="625"/>
    </row>
    <row r="438">
      <c r="A438" s="625"/>
      <c r="B438" s="625"/>
      <c r="C438" s="625"/>
    </row>
    <row r="439">
      <c r="A439" s="625"/>
      <c r="B439" s="625"/>
      <c r="C439" s="625"/>
    </row>
    <row r="440">
      <c r="A440" s="625"/>
      <c r="B440" s="625"/>
      <c r="C440" s="625"/>
    </row>
    <row r="441">
      <c r="A441" s="625"/>
      <c r="B441" s="625"/>
      <c r="C441" s="625"/>
    </row>
    <row r="442">
      <c r="A442" s="625"/>
      <c r="B442" s="625"/>
      <c r="C442" s="625"/>
    </row>
    <row r="443">
      <c r="A443" s="625"/>
      <c r="B443" s="625"/>
      <c r="C443" s="625"/>
    </row>
    <row r="444">
      <c r="A444" s="625"/>
      <c r="B444" s="625"/>
      <c r="C444" s="625"/>
    </row>
    <row r="445">
      <c r="A445" s="625"/>
      <c r="B445" s="625"/>
      <c r="C445" s="625"/>
    </row>
    <row r="446">
      <c r="A446" s="625"/>
      <c r="B446" s="625"/>
      <c r="C446" s="625"/>
    </row>
    <row r="447">
      <c r="A447" s="625"/>
      <c r="B447" s="625"/>
      <c r="C447" s="625"/>
    </row>
    <row r="448">
      <c r="A448" s="625"/>
      <c r="B448" s="625"/>
      <c r="C448" s="625"/>
    </row>
    <row r="449">
      <c r="A449" s="625"/>
      <c r="B449" s="625"/>
      <c r="C449" s="625"/>
    </row>
    <row r="450">
      <c r="A450" s="625"/>
      <c r="B450" s="625"/>
      <c r="C450" s="625"/>
    </row>
    <row r="451">
      <c r="A451" s="625"/>
      <c r="B451" s="625"/>
      <c r="C451" s="625"/>
    </row>
    <row r="452">
      <c r="A452" s="625"/>
      <c r="B452" s="625"/>
      <c r="C452" s="625"/>
    </row>
    <row r="453">
      <c r="A453" s="625"/>
      <c r="B453" s="625"/>
      <c r="C453" s="625"/>
    </row>
    <row r="454">
      <c r="A454" s="625"/>
      <c r="B454" s="625"/>
      <c r="C454" s="625"/>
    </row>
    <row r="455">
      <c r="A455" s="625"/>
      <c r="B455" s="625"/>
      <c r="C455" s="625"/>
    </row>
    <row r="456">
      <c r="A456" s="625"/>
      <c r="B456" s="625"/>
      <c r="C456" s="625"/>
    </row>
    <row r="457">
      <c r="A457" s="625"/>
      <c r="B457" s="625"/>
      <c r="C457" s="625"/>
    </row>
    <row r="458">
      <c r="A458" s="625"/>
      <c r="B458" s="625"/>
      <c r="C458" s="625"/>
    </row>
    <row r="459">
      <c r="A459" s="625"/>
      <c r="B459" s="625"/>
      <c r="C459" s="625"/>
    </row>
    <row r="460">
      <c r="A460" s="625"/>
      <c r="B460" s="625"/>
      <c r="C460" s="625"/>
    </row>
    <row r="461">
      <c r="A461" s="625"/>
      <c r="B461" s="625"/>
      <c r="C461" s="625"/>
    </row>
    <row r="462">
      <c r="A462" s="625"/>
      <c r="B462" s="625"/>
      <c r="C462" s="625"/>
    </row>
    <row r="463">
      <c r="A463" s="625"/>
      <c r="B463" s="625"/>
      <c r="C463" s="625"/>
    </row>
    <row r="464">
      <c r="A464" s="625"/>
      <c r="B464" s="625"/>
      <c r="C464" s="625"/>
    </row>
    <row r="465">
      <c r="A465" s="625"/>
      <c r="B465" s="625"/>
      <c r="C465" s="625"/>
    </row>
    <row r="466">
      <c r="A466" s="625"/>
      <c r="B466" s="625"/>
      <c r="C466" s="625"/>
    </row>
    <row r="467">
      <c r="A467" s="625"/>
      <c r="B467" s="625"/>
      <c r="C467" s="625"/>
    </row>
    <row r="468">
      <c r="A468" s="625"/>
      <c r="B468" s="625"/>
      <c r="C468" s="625"/>
    </row>
    <row r="469">
      <c r="A469" s="625"/>
      <c r="B469" s="625"/>
      <c r="C469" s="625"/>
    </row>
    <row r="470">
      <c r="A470" s="625"/>
      <c r="B470" s="625"/>
      <c r="C470" s="625"/>
    </row>
    <row r="471">
      <c r="A471" s="625"/>
      <c r="B471" s="625"/>
      <c r="C471" s="625"/>
    </row>
    <row r="472">
      <c r="A472" s="625"/>
      <c r="B472" s="625"/>
      <c r="C472" s="625"/>
    </row>
    <row r="473">
      <c r="A473" s="625"/>
      <c r="B473" s="625"/>
      <c r="C473" s="625"/>
    </row>
    <row r="474">
      <c r="A474" s="625"/>
      <c r="B474" s="625"/>
      <c r="C474" s="625"/>
    </row>
    <row r="475">
      <c r="A475" s="625"/>
      <c r="B475" s="625"/>
      <c r="C475" s="625"/>
    </row>
    <row r="476">
      <c r="A476" s="625"/>
      <c r="B476" s="625"/>
      <c r="C476" s="625"/>
    </row>
    <row r="477">
      <c r="A477" s="625"/>
      <c r="B477" s="625"/>
      <c r="C477" s="625"/>
    </row>
    <row r="478">
      <c r="A478" s="625"/>
      <c r="B478" s="625"/>
      <c r="C478" s="625"/>
    </row>
    <row r="479">
      <c r="A479" s="625"/>
      <c r="B479" s="625"/>
      <c r="C479" s="625"/>
    </row>
    <row r="480">
      <c r="A480" s="625"/>
      <c r="B480" s="625"/>
      <c r="C480" s="625"/>
    </row>
    <row r="481">
      <c r="A481" s="625"/>
      <c r="B481" s="625"/>
      <c r="C481" s="625"/>
    </row>
    <row r="482">
      <c r="A482" s="625"/>
      <c r="B482" s="625"/>
      <c r="C482" s="625"/>
    </row>
    <row r="483">
      <c r="A483" s="625"/>
      <c r="B483" s="625"/>
      <c r="C483" s="625"/>
    </row>
    <row r="484">
      <c r="A484" s="625"/>
      <c r="B484" s="625"/>
      <c r="C484" s="625"/>
    </row>
    <row r="485">
      <c r="A485" s="625"/>
      <c r="B485" s="625"/>
      <c r="C485" s="625"/>
    </row>
    <row r="486">
      <c r="A486" s="625"/>
      <c r="B486" s="625"/>
      <c r="C486" s="625"/>
    </row>
    <row r="487">
      <c r="A487" s="625"/>
      <c r="B487" s="625"/>
      <c r="C487" s="625"/>
    </row>
    <row r="488">
      <c r="A488" s="625"/>
      <c r="B488" s="625"/>
      <c r="C488" s="625"/>
    </row>
    <row r="489">
      <c r="A489" s="625"/>
      <c r="B489" s="625"/>
      <c r="C489" s="625"/>
    </row>
    <row r="490">
      <c r="A490" s="625"/>
      <c r="B490" s="625"/>
      <c r="C490" s="625"/>
    </row>
    <row r="491">
      <c r="A491" s="625"/>
      <c r="B491" s="625"/>
      <c r="C491" s="625"/>
    </row>
    <row r="492">
      <c r="A492" s="625"/>
      <c r="B492" s="625"/>
      <c r="C492" s="625"/>
    </row>
    <row r="493">
      <c r="A493" s="625"/>
      <c r="B493" s="625"/>
      <c r="C493" s="625"/>
    </row>
    <row r="494">
      <c r="A494" s="625"/>
      <c r="B494" s="625"/>
      <c r="C494" s="625"/>
    </row>
    <row r="495">
      <c r="A495" s="625"/>
      <c r="B495" s="625"/>
      <c r="C495" s="625"/>
    </row>
    <row r="496">
      <c r="A496" s="625"/>
      <c r="B496" s="625"/>
      <c r="C496" s="625"/>
    </row>
    <row r="497">
      <c r="A497" s="625"/>
      <c r="B497" s="625"/>
      <c r="C497" s="625"/>
    </row>
    <row r="498">
      <c r="A498" s="625"/>
      <c r="B498" s="625"/>
      <c r="C498" s="625"/>
    </row>
    <row r="499">
      <c r="A499" s="625"/>
      <c r="B499" s="625"/>
      <c r="C499" s="625"/>
    </row>
    <row r="500">
      <c r="A500" s="625"/>
      <c r="B500" s="625"/>
      <c r="C500" s="625"/>
    </row>
    <row r="501">
      <c r="A501" s="625"/>
      <c r="B501" s="625"/>
      <c r="C501" s="625"/>
    </row>
    <row r="502">
      <c r="A502" s="625"/>
      <c r="B502" s="625"/>
      <c r="C502" s="625"/>
    </row>
    <row r="503">
      <c r="A503" s="625"/>
      <c r="B503" s="625"/>
      <c r="C503" s="625"/>
    </row>
    <row r="504">
      <c r="A504" s="625"/>
      <c r="B504" s="625"/>
      <c r="C504" s="625"/>
    </row>
    <row r="505">
      <c r="A505" s="625"/>
      <c r="B505" s="625"/>
      <c r="C505" s="625"/>
    </row>
    <row r="506">
      <c r="A506" s="625"/>
      <c r="B506" s="625"/>
      <c r="C506" s="625"/>
    </row>
    <row r="507">
      <c r="A507" s="625"/>
      <c r="B507" s="625"/>
      <c r="C507" s="625"/>
    </row>
    <row r="508">
      <c r="A508" s="625"/>
      <c r="B508" s="625"/>
      <c r="C508" s="625"/>
    </row>
    <row r="509">
      <c r="A509" s="625"/>
      <c r="B509" s="625"/>
      <c r="C509" s="625"/>
    </row>
    <row r="510">
      <c r="A510" s="625"/>
      <c r="B510" s="625"/>
      <c r="C510" s="625"/>
    </row>
    <row r="511">
      <c r="A511" s="625"/>
      <c r="B511" s="625"/>
      <c r="C511" s="625"/>
    </row>
    <row r="512">
      <c r="A512" s="625"/>
      <c r="B512" s="625"/>
      <c r="C512" s="625"/>
    </row>
    <row r="513">
      <c r="A513" s="625"/>
      <c r="B513" s="625"/>
      <c r="C513" s="625"/>
    </row>
    <row r="514">
      <c r="A514" s="625"/>
      <c r="B514" s="625"/>
      <c r="C514" s="625"/>
    </row>
    <row r="515">
      <c r="A515" s="625"/>
      <c r="B515" s="625"/>
      <c r="C515" s="625"/>
    </row>
    <row r="516">
      <c r="A516" s="625"/>
      <c r="B516" s="625"/>
      <c r="C516" s="625"/>
    </row>
    <row r="517">
      <c r="A517" s="625"/>
      <c r="B517" s="625"/>
      <c r="C517" s="625"/>
    </row>
    <row r="518">
      <c r="A518" s="625"/>
      <c r="B518" s="625"/>
      <c r="C518" s="625"/>
    </row>
    <row r="519">
      <c r="A519" s="625"/>
      <c r="B519" s="625"/>
      <c r="C519" s="625"/>
    </row>
    <row r="520">
      <c r="A520" s="625"/>
      <c r="B520" s="625"/>
      <c r="C520" s="625"/>
    </row>
    <row r="521">
      <c r="A521" s="625"/>
      <c r="B521" s="625"/>
      <c r="C521" s="625"/>
    </row>
    <row r="522">
      <c r="A522" s="625"/>
      <c r="B522" s="625"/>
      <c r="C522" s="625"/>
    </row>
    <row r="523">
      <c r="A523" s="625"/>
      <c r="B523" s="625"/>
      <c r="C523" s="625"/>
    </row>
    <row r="524">
      <c r="A524" s="625"/>
      <c r="B524" s="625"/>
      <c r="C524" s="625"/>
    </row>
    <row r="525">
      <c r="A525" s="625"/>
      <c r="B525" s="625"/>
      <c r="C525" s="625"/>
    </row>
    <row r="526">
      <c r="A526" s="625"/>
      <c r="B526" s="625"/>
      <c r="C526" s="625"/>
    </row>
    <row r="527">
      <c r="A527" s="625"/>
      <c r="B527" s="625"/>
      <c r="C527" s="625"/>
    </row>
    <row r="528">
      <c r="A528" s="625"/>
      <c r="B528" s="625"/>
      <c r="C528" s="625"/>
    </row>
    <row r="529">
      <c r="A529" s="625"/>
      <c r="B529" s="625"/>
      <c r="C529" s="625"/>
    </row>
    <row r="530">
      <c r="A530" s="625"/>
      <c r="B530" s="625"/>
      <c r="C530" s="625"/>
    </row>
    <row r="531">
      <c r="A531" s="625"/>
      <c r="B531" s="625"/>
      <c r="C531" s="625"/>
    </row>
    <row r="532">
      <c r="A532" s="625"/>
      <c r="B532" s="625"/>
      <c r="C532" s="625"/>
    </row>
    <row r="533">
      <c r="A533" s="625"/>
      <c r="B533" s="625"/>
      <c r="C533" s="625"/>
    </row>
    <row r="534">
      <c r="A534" s="625"/>
      <c r="B534" s="625"/>
      <c r="C534" s="625"/>
    </row>
    <row r="535">
      <c r="A535" s="625"/>
      <c r="B535" s="625"/>
      <c r="C535" s="625"/>
    </row>
    <row r="536">
      <c r="A536" s="625"/>
      <c r="B536" s="625"/>
      <c r="C536" s="625"/>
    </row>
    <row r="537">
      <c r="A537" s="625"/>
      <c r="B537" s="625"/>
      <c r="C537" s="625"/>
    </row>
    <row r="538">
      <c r="A538" s="625"/>
      <c r="B538" s="625"/>
      <c r="C538" s="625"/>
    </row>
    <row r="539">
      <c r="A539" s="625"/>
      <c r="B539" s="625"/>
      <c r="C539" s="625"/>
    </row>
    <row r="540">
      <c r="A540" s="625"/>
      <c r="B540" s="625"/>
      <c r="C540" s="625"/>
    </row>
    <row r="541">
      <c r="A541" s="625"/>
      <c r="B541" s="625"/>
      <c r="C541" s="625"/>
    </row>
    <row r="542">
      <c r="A542" s="625"/>
      <c r="B542" s="625"/>
      <c r="C542" s="625"/>
    </row>
    <row r="543">
      <c r="A543" s="625"/>
      <c r="B543" s="625"/>
      <c r="C543" s="625"/>
    </row>
    <row r="544">
      <c r="A544" s="625"/>
      <c r="B544" s="625"/>
      <c r="C544" s="625"/>
    </row>
    <row r="545">
      <c r="A545" s="625"/>
      <c r="B545" s="625"/>
      <c r="C545" s="625"/>
    </row>
    <row r="546">
      <c r="A546" s="625"/>
      <c r="B546" s="625"/>
      <c r="C546" s="625"/>
    </row>
    <row r="547">
      <c r="A547" s="625"/>
      <c r="B547" s="625"/>
      <c r="C547" s="625"/>
    </row>
    <row r="548">
      <c r="A548" s="625"/>
      <c r="B548" s="625"/>
      <c r="C548" s="625"/>
    </row>
    <row r="549">
      <c r="A549" s="625"/>
      <c r="B549" s="625"/>
      <c r="C549" s="625"/>
    </row>
    <row r="550">
      <c r="A550" s="625"/>
      <c r="B550" s="625"/>
      <c r="C550" s="625"/>
    </row>
    <row r="551">
      <c r="A551" s="625"/>
      <c r="B551" s="625"/>
      <c r="C551" s="625"/>
    </row>
    <row r="552">
      <c r="A552" s="625"/>
      <c r="B552" s="625"/>
      <c r="C552" s="625"/>
    </row>
    <row r="553">
      <c r="A553" s="625"/>
      <c r="B553" s="625"/>
      <c r="C553" s="625"/>
    </row>
    <row r="554">
      <c r="A554" s="625"/>
      <c r="B554" s="625"/>
      <c r="C554" s="625"/>
    </row>
    <row r="555">
      <c r="A555" s="625"/>
      <c r="B555" s="625"/>
      <c r="C555" s="625"/>
    </row>
    <row r="556">
      <c r="A556" s="625"/>
      <c r="B556" s="625"/>
      <c r="C556" s="625"/>
    </row>
    <row r="557">
      <c r="A557" s="625"/>
      <c r="B557" s="625"/>
      <c r="C557" s="625"/>
    </row>
    <row r="558">
      <c r="A558" s="625"/>
      <c r="B558" s="625"/>
      <c r="C558" s="625"/>
    </row>
    <row r="559">
      <c r="A559" s="625"/>
      <c r="B559" s="625"/>
      <c r="C559" s="625"/>
    </row>
    <row r="560">
      <c r="A560" s="625"/>
      <c r="B560" s="625"/>
      <c r="C560" s="625"/>
    </row>
    <row r="561">
      <c r="A561" s="625"/>
      <c r="B561" s="625"/>
      <c r="C561" s="625"/>
    </row>
    <row r="562">
      <c r="A562" s="625"/>
      <c r="B562" s="625"/>
      <c r="C562" s="625"/>
    </row>
    <row r="563">
      <c r="A563" s="625"/>
      <c r="B563" s="625"/>
      <c r="C563" s="625"/>
    </row>
    <row r="564">
      <c r="A564" s="625"/>
      <c r="B564" s="625"/>
      <c r="C564" s="625"/>
    </row>
    <row r="565">
      <c r="A565" s="625"/>
      <c r="B565" s="625"/>
      <c r="C565" s="625"/>
    </row>
    <row r="566">
      <c r="A566" s="625"/>
      <c r="B566" s="625"/>
      <c r="C566" s="625"/>
    </row>
    <row r="567">
      <c r="A567" s="625"/>
      <c r="B567" s="625"/>
      <c r="C567" s="625"/>
    </row>
    <row r="568">
      <c r="A568" s="625"/>
      <c r="B568" s="625"/>
      <c r="C568" s="625"/>
    </row>
    <row r="569">
      <c r="A569" s="625"/>
      <c r="B569" s="625"/>
      <c r="C569" s="625"/>
    </row>
    <row r="570">
      <c r="A570" s="625"/>
      <c r="B570" s="625"/>
      <c r="C570" s="625"/>
    </row>
    <row r="571">
      <c r="A571" s="625"/>
      <c r="B571" s="625"/>
      <c r="C571" s="625"/>
    </row>
    <row r="572">
      <c r="A572" s="625"/>
      <c r="B572" s="625"/>
      <c r="C572" s="625"/>
    </row>
    <row r="573">
      <c r="A573" s="625"/>
      <c r="B573" s="625"/>
      <c r="C573" s="625"/>
    </row>
    <row r="574">
      <c r="A574" s="625"/>
      <c r="B574" s="625"/>
      <c r="C574" s="625"/>
    </row>
    <row r="575">
      <c r="A575" s="625"/>
      <c r="B575" s="625"/>
      <c r="C575" s="625"/>
    </row>
    <row r="576">
      <c r="A576" s="625"/>
      <c r="B576" s="625"/>
      <c r="C576" s="625"/>
    </row>
    <row r="577">
      <c r="A577" s="625"/>
      <c r="B577" s="625"/>
      <c r="C577" s="625"/>
    </row>
    <row r="578">
      <c r="A578" s="625"/>
      <c r="B578" s="625"/>
      <c r="C578" s="625"/>
    </row>
    <row r="579">
      <c r="A579" s="625"/>
      <c r="B579" s="625"/>
      <c r="C579" s="625"/>
    </row>
    <row r="580">
      <c r="A580" s="625"/>
      <c r="B580" s="625"/>
      <c r="C580" s="625"/>
    </row>
    <row r="581">
      <c r="A581" s="625"/>
      <c r="B581" s="625"/>
      <c r="C581" s="625"/>
    </row>
    <row r="582">
      <c r="A582" s="625"/>
      <c r="B582" s="625"/>
      <c r="C582" s="625"/>
    </row>
    <row r="583">
      <c r="A583" s="625"/>
      <c r="B583" s="625"/>
      <c r="C583" s="625"/>
    </row>
    <row r="584">
      <c r="A584" s="625"/>
      <c r="B584" s="625"/>
      <c r="C584" s="625"/>
    </row>
    <row r="585">
      <c r="A585" s="625"/>
      <c r="B585" s="625"/>
      <c r="C585" s="625"/>
    </row>
    <row r="586">
      <c r="A586" s="625"/>
      <c r="B586" s="625"/>
      <c r="C586" s="625"/>
    </row>
    <row r="587">
      <c r="A587" s="625"/>
      <c r="B587" s="625"/>
      <c r="C587" s="625"/>
    </row>
    <row r="588">
      <c r="A588" s="625"/>
      <c r="B588" s="625"/>
      <c r="C588" s="625"/>
    </row>
    <row r="589">
      <c r="A589" s="625"/>
      <c r="B589" s="625"/>
      <c r="C589" s="625"/>
    </row>
    <row r="590">
      <c r="A590" s="625"/>
      <c r="B590" s="625"/>
      <c r="C590" s="625"/>
    </row>
    <row r="591">
      <c r="A591" s="625"/>
      <c r="B591" s="625"/>
      <c r="C591" s="625"/>
    </row>
    <row r="592">
      <c r="A592" s="625"/>
      <c r="B592" s="625"/>
      <c r="C592" s="625"/>
    </row>
    <row r="593">
      <c r="A593" s="625"/>
      <c r="B593" s="625"/>
      <c r="C593" s="625"/>
    </row>
    <row r="594">
      <c r="A594" s="625"/>
      <c r="B594" s="625"/>
      <c r="C594" s="625"/>
    </row>
    <row r="595">
      <c r="A595" s="625"/>
      <c r="B595" s="625"/>
      <c r="C595" s="625"/>
    </row>
    <row r="596">
      <c r="A596" s="625"/>
      <c r="B596" s="625"/>
      <c r="C596" s="625"/>
    </row>
    <row r="597">
      <c r="A597" s="625"/>
      <c r="B597" s="625"/>
      <c r="C597" s="625"/>
    </row>
    <row r="598">
      <c r="A598" s="625"/>
      <c r="B598" s="625"/>
      <c r="C598" s="625"/>
    </row>
    <row r="599">
      <c r="A599" s="625"/>
      <c r="B599" s="625"/>
      <c r="C599" s="625"/>
    </row>
    <row r="600">
      <c r="A600" s="625"/>
      <c r="B600" s="625"/>
      <c r="C600" s="625"/>
    </row>
    <row r="601">
      <c r="A601" s="625"/>
      <c r="B601" s="625"/>
      <c r="C601" s="625"/>
    </row>
    <row r="602">
      <c r="A602" s="625"/>
      <c r="B602" s="625"/>
      <c r="C602" s="625"/>
    </row>
    <row r="603">
      <c r="A603" s="625"/>
      <c r="B603" s="625"/>
      <c r="C603" s="625"/>
    </row>
    <row r="604">
      <c r="A604" s="625"/>
      <c r="B604" s="625"/>
      <c r="C604" s="625"/>
    </row>
    <row r="605">
      <c r="A605" s="625"/>
      <c r="B605" s="625"/>
      <c r="C605" s="625"/>
    </row>
    <row r="606">
      <c r="A606" s="625"/>
      <c r="B606" s="625"/>
      <c r="C606" s="625"/>
    </row>
    <row r="607">
      <c r="A607" s="625"/>
      <c r="B607" s="625"/>
      <c r="C607" s="625"/>
    </row>
    <row r="608">
      <c r="A608" s="625"/>
      <c r="B608" s="625"/>
      <c r="C608" s="625"/>
    </row>
    <row r="609">
      <c r="A609" s="625"/>
      <c r="B609" s="625"/>
      <c r="C609" s="625"/>
    </row>
    <row r="610">
      <c r="A610" s="625"/>
      <c r="B610" s="625"/>
      <c r="C610" s="625"/>
    </row>
    <row r="611">
      <c r="A611" s="625"/>
      <c r="B611" s="625"/>
      <c r="C611" s="625"/>
    </row>
    <row r="612">
      <c r="A612" s="625"/>
      <c r="B612" s="625"/>
      <c r="C612" s="625"/>
    </row>
    <row r="613">
      <c r="A613" s="625"/>
      <c r="B613" s="625"/>
      <c r="C613" s="625"/>
    </row>
    <row r="614">
      <c r="A614" s="625"/>
      <c r="B614" s="625"/>
      <c r="C614" s="625"/>
    </row>
    <row r="615">
      <c r="A615" s="625"/>
      <c r="B615" s="625"/>
      <c r="C615" s="625"/>
    </row>
    <row r="616">
      <c r="A616" s="625"/>
      <c r="B616" s="625"/>
      <c r="C616" s="625"/>
    </row>
    <row r="617">
      <c r="A617" s="625"/>
      <c r="B617" s="625"/>
      <c r="C617" s="625"/>
    </row>
    <row r="618">
      <c r="A618" s="625"/>
      <c r="B618" s="625"/>
      <c r="C618" s="625"/>
    </row>
    <row r="619">
      <c r="A619" s="625"/>
      <c r="B619" s="625"/>
      <c r="C619" s="625"/>
    </row>
    <row r="620">
      <c r="A620" s="625"/>
      <c r="B620" s="625"/>
      <c r="C620" s="625"/>
    </row>
    <row r="621">
      <c r="A621" s="625"/>
      <c r="B621" s="625"/>
      <c r="C621" s="625"/>
    </row>
    <row r="622">
      <c r="A622" s="625"/>
      <c r="B622" s="625"/>
      <c r="C622" s="625"/>
    </row>
    <row r="623">
      <c r="A623" s="625"/>
      <c r="B623" s="625"/>
      <c r="C623" s="625"/>
    </row>
    <row r="624">
      <c r="A624" s="625"/>
      <c r="B624" s="625"/>
      <c r="C624" s="625"/>
    </row>
    <row r="625">
      <c r="A625" s="625"/>
      <c r="B625" s="625"/>
      <c r="C625" s="625"/>
    </row>
    <row r="626">
      <c r="A626" s="625"/>
      <c r="B626" s="625"/>
      <c r="C626" s="625"/>
    </row>
    <row r="627">
      <c r="A627" s="625"/>
      <c r="B627" s="625"/>
      <c r="C627" s="625"/>
    </row>
    <row r="628">
      <c r="A628" s="625"/>
      <c r="B628" s="625"/>
      <c r="C628" s="625"/>
    </row>
    <row r="629">
      <c r="A629" s="625"/>
      <c r="B629" s="625"/>
      <c r="C629" s="625"/>
    </row>
    <row r="630">
      <c r="A630" s="625"/>
      <c r="B630" s="625"/>
      <c r="C630" s="625"/>
    </row>
    <row r="631">
      <c r="A631" s="625"/>
      <c r="B631" s="625"/>
      <c r="C631" s="625"/>
    </row>
    <row r="632">
      <c r="A632" s="625"/>
      <c r="B632" s="625"/>
      <c r="C632" s="625"/>
    </row>
    <row r="633">
      <c r="A633" s="625"/>
      <c r="B633" s="625"/>
      <c r="C633" s="625"/>
    </row>
    <row r="634">
      <c r="A634" s="625"/>
      <c r="B634" s="625"/>
      <c r="C634" s="625"/>
    </row>
    <row r="635">
      <c r="A635" s="625"/>
      <c r="B635" s="625"/>
      <c r="C635" s="625"/>
    </row>
    <row r="636">
      <c r="A636" s="625"/>
      <c r="B636" s="625"/>
      <c r="C636" s="625"/>
    </row>
    <row r="637">
      <c r="A637" s="625"/>
      <c r="B637" s="625"/>
      <c r="C637" s="625"/>
    </row>
    <row r="638">
      <c r="A638" s="625"/>
      <c r="B638" s="625"/>
      <c r="C638" s="625"/>
    </row>
    <row r="639">
      <c r="A639" s="625"/>
      <c r="B639" s="625"/>
      <c r="C639" s="625"/>
    </row>
    <row r="640">
      <c r="A640" s="625"/>
      <c r="B640" s="625"/>
      <c r="C640" s="625"/>
    </row>
    <row r="641">
      <c r="A641" s="625"/>
      <c r="B641" s="625"/>
      <c r="C641" s="625"/>
    </row>
    <row r="642">
      <c r="A642" s="625"/>
      <c r="B642" s="625"/>
      <c r="C642" s="625"/>
    </row>
    <row r="643">
      <c r="A643" s="625"/>
      <c r="B643" s="625"/>
      <c r="C643" s="625"/>
    </row>
    <row r="644">
      <c r="A644" s="625"/>
      <c r="B644" s="625"/>
      <c r="C644" s="625"/>
    </row>
    <row r="645">
      <c r="A645" s="625"/>
      <c r="B645" s="625"/>
      <c r="C645" s="625"/>
    </row>
    <row r="646">
      <c r="A646" s="625"/>
      <c r="B646" s="625"/>
      <c r="C646" s="625"/>
    </row>
    <row r="647">
      <c r="A647" s="625"/>
      <c r="B647" s="625"/>
      <c r="C647" s="625"/>
    </row>
    <row r="648">
      <c r="A648" s="625"/>
      <c r="B648" s="625"/>
      <c r="C648" s="625"/>
    </row>
    <row r="649">
      <c r="A649" s="625"/>
      <c r="B649" s="625"/>
      <c r="C649" s="625"/>
    </row>
    <row r="650">
      <c r="A650" s="625"/>
      <c r="B650" s="625"/>
      <c r="C650" s="625"/>
    </row>
    <row r="651">
      <c r="A651" s="625"/>
      <c r="B651" s="625"/>
      <c r="C651" s="625"/>
    </row>
    <row r="652">
      <c r="A652" s="625"/>
      <c r="B652" s="625"/>
      <c r="C652" s="625"/>
    </row>
    <row r="653">
      <c r="A653" s="625"/>
      <c r="B653" s="625"/>
      <c r="C653" s="625"/>
    </row>
    <row r="654">
      <c r="A654" s="625"/>
      <c r="B654" s="625"/>
      <c r="C654" s="625"/>
    </row>
    <row r="655">
      <c r="A655" s="625"/>
      <c r="B655" s="625"/>
      <c r="C655" s="625"/>
    </row>
    <row r="656">
      <c r="A656" s="625"/>
      <c r="B656" s="625"/>
      <c r="C656" s="625"/>
    </row>
    <row r="657">
      <c r="A657" s="625"/>
      <c r="B657" s="625"/>
      <c r="C657" s="625"/>
    </row>
    <row r="658">
      <c r="A658" s="625"/>
      <c r="B658" s="625"/>
      <c r="C658" s="625"/>
    </row>
    <row r="659">
      <c r="A659" s="625"/>
      <c r="B659" s="625"/>
      <c r="C659" s="625"/>
    </row>
    <row r="660">
      <c r="A660" s="625"/>
      <c r="B660" s="625"/>
      <c r="C660" s="625"/>
    </row>
    <row r="661">
      <c r="A661" s="625"/>
      <c r="B661" s="625"/>
      <c r="C661" s="625"/>
    </row>
    <row r="662">
      <c r="A662" s="625"/>
      <c r="B662" s="625"/>
      <c r="C662" s="625"/>
    </row>
    <row r="663">
      <c r="A663" s="625"/>
      <c r="B663" s="625"/>
      <c r="C663" s="625"/>
    </row>
    <row r="664">
      <c r="A664" s="625"/>
      <c r="B664" s="625"/>
      <c r="C664" s="625"/>
    </row>
    <row r="665">
      <c r="A665" s="625"/>
      <c r="B665" s="625"/>
      <c r="C665" s="625"/>
    </row>
    <row r="666">
      <c r="A666" s="625"/>
      <c r="B666" s="625"/>
      <c r="C666" s="625"/>
    </row>
    <row r="667">
      <c r="A667" s="625"/>
      <c r="B667" s="625"/>
      <c r="C667" s="625"/>
    </row>
    <row r="668">
      <c r="A668" s="625"/>
      <c r="B668" s="625"/>
      <c r="C668" s="625"/>
    </row>
    <row r="669">
      <c r="A669" s="625"/>
      <c r="B669" s="625"/>
      <c r="C669" s="625"/>
    </row>
    <row r="670">
      <c r="A670" s="625"/>
      <c r="B670" s="625"/>
      <c r="C670" s="625"/>
    </row>
    <row r="671">
      <c r="A671" s="625"/>
      <c r="B671" s="625"/>
      <c r="C671" s="625"/>
    </row>
    <row r="672">
      <c r="A672" s="625"/>
      <c r="B672" s="625"/>
      <c r="C672" s="625"/>
    </row>
    <row r="673">
      <c r="A673" s="625"/>
      <c r="B673" s="625"/>
      <c r="C673" s="625"/>
    </row>
    <row r="674">
      <c r="A674" s="625"/>
      <c r="B674" s="625"/>
      <c r="C674" s="625"/>
    </row>
    <row r="675">
      <c r="A675" s="625"/>
      <c r="B675" s="625"/>
      <c r="C675" s="625"/>
    </row>
    <row r="676">
      <c r="A676" s="625"/>
      <c r="B676" s="625"/>
      <c r="C676" s="625"/>
    </row>
    <row r="677">
      <c r="A677" s="625"/>
      <c r="B677" s="625"/>
      <c r="C677" s="625"/>
    </row>
    <row r="678">
      <c r="A678" s="625"/>
      <c r="B678" s="625"/>
      <c r="C678" s="625"/>
    </row>
    <row r="679">
      <c r="A679" s="625"/>
      <c r="B679" s="625"/>
      <c r="C679" s="625"/>
    </row>
    <row r="680">
      <c r="A680" s="625"/>
      <c r="B680" s="625"/>
      <c r="C680" s="625"/>
    </row>
    <row r="681">
      <c r="A681" s="625"/>
      <c r="B681" s="625"/>
      <c r="C681" s="625"/>
    </row>
    <row r="682">
      <c r="A682" s="625"/>
      <c r="B682" s="625"/>
      <c r="C682" s="625"/>
    </row>
    <row r="683">
      <c r="A683" s="625"/>
      <c r="B683" s="625"/>
      <c r="C683" s="625"/>
    </row>
    <row r="684">
      <c r="A684" s="625"/>
      <c r="B684" s="625"/>
      <c r="C684" s="625"/>
    </row>
    <row r="685">
      <c r="A685" s="625"/>
      <c r="B685" s="625"/>
      <c r="C685" s="625"/>
    </row>
    <row r="686">
      <c r="A686" s="625"/>
      <c r="B686" s="625"/>
      <c r="C686" s="625"/>
    </row>
    <row r="687">
      <c r="A687" s="625"/>
      <c r="B687" s="625"/>
      <c r="C687" s="625"/>
    </row>
    <row r="688">
      <c r="A688" s="625"/>
      <c r="B688" s="625"/>
      <c r="C688" s="625"/>
    </row>
    <row r="689">
      <c r="A689" s="625"/>
      <c r="B689" s="625"/>
      <c r="C689" s="625"/>
    </row>
    <row r="690">
      <c r="A690" s="625"/>
      <c r="B690" s="625"/>
      <c r="C690" s="625"/>
    </row>
    <row r="691">
      <c r="A691" s="625"/>
      <c r="B691" s="625"/>
      <c r="C691" s="625"/>
    </row>
    <row r="692">
      <c r="A692" s="625"/>
      <c r="B692" s="625"/>
      <c r="C692" s="625"/>
    </row>
    <row r="693">
      <c r="A693" s="625"/>
      <c r="B693" s="625"/>
      <c r="C693" s="625"/>
    </row>
    <row r="694">
      <c r="A694" s="625"/>
      <c r="B694" s="625"/>
      <c r="C694" s="625"/>
    </row>
    <row r="695">
      <c r="A695" s="625"/>
      <c r="B695" s="625"/>
      <c r="C695" s="625"/>
    </row>
    <row r="696">
      <c r="A696" s="625"/>
      <c r="B696" s="625"/>
      <c r="C696" s="625"/>
    </row>
    <row r="697">
      <c r="A697" s="625"/>
      <c r="B697" s="625"/>
      <c r="C697" s="625"/>
    </row>
    <row r="698">
      <c r="A698" s="625"/>
      <c r="B698" s="625"/>
      <c r="C698" s="625"/>
    </row>
    <row r="699">
      <c r="A699" s="625"/>
      <c r="B699" s="625"/>
      <c r="C699" s="625"/>
    </row>
    <row r="700">
      <c r="A700" s="625"/>
      <c r="B700" s="625"/>
      <c r="C700" s="625"/>
    </row>
    <row r="701">
      <c r="A701" s="625"/>
      <c r="B701" s="625"/>
      <c r="C701" s="625"/>
    </row>
    <row r="702">
      <c r="A702" s="625"/>
      <c r="B702" s="625"/>
      <c r="C702" s="625"/>
    </row>
    <row r="703">
      <c r="A703" s="625"/>
      <c r="B703" s="625"/>
      <c r="C703" s="625"/>
    </row>
    <row r="704">
      <c r="A704" s="625"/>
      <c r="B704" s="625"/>
      <c r="C704" s="625"/>
    </row>
    <row r="705">
      <c r="A705" s="625"/>
      <c r="B705" s="625"/>
      <c r="C705" s="625"/>
    </row>
    <row r="706">
      <c r="A706" s="625"/>
      <c r="B706" s="625"/>
      <c r="C706" s="625"/>
    </row>
    <row r="707">
      <c r="A707" s="625"/>
      <c r="B707" s="625"/>
      <c r="C707" s="625"/>
    </row>
    <row r="708">
      <c r="A708" s="625"/>
      <c r="B708" s="625"/>
      <c r="C708" s="625"/>
    </row>
    <row r="709">
      <c r="A709" s="625"/>
      <c r="B709" s="625"/>
      <c r="C709" s="625"/>
    </row>
    <row r="710">
      <c r="A710" s="625"/>
      <c r="B710" s="625"/>
      <c r="C710" s="625"/>
    </row>
    <row r="711">
      <c r="A711" s="625"/>
      <c r="B711" s="625"/>
      <c r="C711" s="625"/>
    </row>
    <row r="712">
      <c r="A712" s="625"/>
      <c r="B712" s="625"/>
      <c r="C712" s="625"/>
    </row>
    <row r="713">
      <c r="A713" s="625"/>
      <c r="B713" s="625"/>
      <c r="C713" s="625"/>
    </row>
    <row r="714">
      <c r="A714" s="625"/>
      <c r="B714" s="625"/>
      <c r="C714" s="625"/>
    </row>
    <row r="715">
      <c r="A715" s="625"/>
      <c r="B715" s="625"/>
      <c r="C715" s="625"/>
    </row>
    <row r="716">
      <c r="A716" s="625"/>
      <c r="B716" s="625"/>
      <c r="C716" s="625"/>
    </row>
    <row r="717">
      <c r="A717" s="625"/>
      <c r="B717" s="625"/>
      <c r="C717" s="625"/>
    </row>
    <row r="718">
      <c r="A718" s="625"/>
      <c r="B718" s="625"/>
      <c r="C718" s="625"/>
    </row>
    <row r="719">
      <c r="A719" s="625"/>
      <c r="B719" s="625"/>
      <c r="C719" s="625"/>
    </row>
    <row r="720">
      <c r="A720" s="625"/>
      <c r="B720" s="625"/>
      <c r="C720" s="625"/>
    </row>
    <row r="721">
      <c r="A721" s="625"/>
      <c r="B721" s="625"/>
      <c r="C721" s="625"/>
    </row>
    <row r="722">
      <c r="A722" s="625"/>
      <c r="B722" s="625"/>
      <c r="C722" s="625"/>
    </row>
    <row r="723">
      <c r="A723" s="625"/>
      <c r="B723" s="625"/>
      <c r="C723" s="625"/>
    </row>
    <row r="724">
      <c r="A724" s="625"/>
      <c r="B724" s="625"/>
      <c r="C724" s="625"/>
    </row>
    <row r="725">
      <c r="A725" s="625"/>
      <c r="B725" s="625"/>
      <c r="C725" s="625"/>
    </row>
    <row r="726">
      <c r="A726" s="625"/>
      <c r="B726" s="625"/>
      <c r="C726" s="625"/>
    </row>
    <row r="727">
      <c r="A727" s="625"/>
      <c r="B727" s="625"/>
      <c r="C727" s="625"/>
    </row>
    <row r="728">
      <c r="A728" s="625"/>
      <c r="B728" s="625"/>
      <c r="C728" s="625"/>
    </row>
    <row r="729">
      <c r="A729" s="625"/>
      <c r="B729" s="625"/>
      <c r="C729" s="625"/>
    </row>
    <row r="730">
      <c r="A730" s="625"/>
      <c r="B730" s="625"/>
      <c r="C730" s="625"/>
    </row>
    <row r="731">
      <c r="A731" s="625"/>
      <c r="B731" s="625"/>
      <c r="C731" s="625"/>
    </row>
    <row r="732">
      <c r="A732" s="625"/>
      <c r="B732" s="625"/>
      <c r="C732" s="625"/>
    </row>
    <row r="733">
      <c r="A733" s="625"/>
      <c r="B733" s="625"/>
      <c r="C733" s="625"/>
    </row>
    <row r="734">
      <c r="A734" s="625"/>
      <c r="B734" s="625"/>
      <c r="C734" s="625"/>
    </row>
    <row r="735">
      <c r="A735" s="625"/>
      <c r="B735" s="625"/>
      <c r="C735" s="625"/>
    </row>
    <row r="736">
      <c r="A736" s="625"/>
      <c r="B736" s="625"/>
      <c r="C736" s="625"/>
    </row>
    <row r="737">
      <c r="A737" s="625"/>
      <c r="B737" s="625"/>
      <c r="C737" s="625"/>
    </row>
    <row r="738">
      <c r="A738" s="625"/>
      <c r="B738" s="625"/>
      <c r="C738" s="625"/>
    </row>
    <row r="739">
      <c r="A739" s="625"/>
      <c r="B739" s="625"/>
      <c r="C739" s="625"/>
    </row>
    <row r="740">
      <c r="A740" s="625"/>
      <c r="B740" s="625"/>
      <c r="C740" s="625"/>
    </row>
    <row r="741">
      <c r="A741" s="625"/>
      <c r="B741" s="625"/>
      <c r="C741" s="625"/>
    </row>
    <row r="742">
      <c r="A742" s="625"/>
      <c r="B742" s="625"/>
      <c r="C742" s="625"/>
    </row>
    <row r="743">
      <c r="A743" s="625"/>
      <c r="B743" s="625"/>
      <c r="C743" s="625"/>
    </row>
    <row r="744">
      <c r="A744" s="625"/>
      <c r="B744" s="625"/>
      <c r="C744" s="625"/>
    </row>
    <row r="745">
      <c r="A745" s="625"/>
      <c r="B745" s="625"/>
      <c r="C745" s="625"/>
    </row>
    <row r="746">
      <c r="A746" s="625"/>
      <c r="B746" s="625"/>
      <c r="C746" s="625"/>
    </row>
    <row r="747">
      <c r="A747" s="625"/>
      <c r="B747" s="625"/>
      <c r="C747" s="625"/>
    </row>
    <row r="748">
      <c r="A748" s="625"/>
      <c r="B748" s="625"/>
      <c r="C748" s="625"/>
    </row>
    <row r="749">
      <c r="A749" s="625"/>
      <c r="B749" s="625"/>
      <c r="C749" s="625"/>
    </row>
    <row r="750">
      <c r="A750" s="625"/>
      <c r="B750" s="625"/>
      <c r="C750" s="625"/>
    </row>
    <row r="751">
      <c r="A751" s="625"/>
      <c r="B751" s="625"/>
      <c r="C751" s="625"/>
    </row>
    <row r="752">
      <c r="A752" s="625"/>
      <c r="B752" s="625"/>
      <c r="C752" s="625"/>
    </row>
    <row r="753">
      <c r="A753" s="625"/>
      <c r="B753" s="625"/>
      <c r="C753" s="625"/>
    </row>
    <row r="754">
      <c r="A754" s="625"/>
      <c r="B754" s="625"/>
      <c r="C754" s="625"/>
    </row>
    <row r="755">
      <c r="A755" s="625"/>
      <c r="B755" s="625"/>
      <c r="C755" s="625"/>
    </row>
    <row r="756">
      <c r="A756" s="625"/>
      <c r="B756" s="625"/>
      <c r="C756" s="625"/>
    </row>
    <row r="757">
      <c r="A757" s="625"/>
      <c r="B757" s="625"/>
      <c r="C757" s="625"/>
    </row>
    <row r="758">
      <c r="A758" s="625"/>
      <c r="B758" s="625"/>
      <c r="C758" s="625"/>
    </row>
    <row r="759">
      <c r="A759" s="625"/>
      <c r="B759" s="625"/>
      <c r="C759" s="625"/>
    </row>
    <row r="760">
      <c r="A760" s="625"/>
      <c r="B760" s="625"/>
      <c r="C760" s="625"/>
    </row>
    <row r="761">
      <c r="A761" s="625"/>
      <c r="B761" s="625"/>
      <c r="C761" s="625"/>
    </row>
    <row r="762">
      <c r="A762" s="625"/>
      <c r="B762" s="625"/>
      <c r="C762" s="625"/>
    </row>
    <row r="763">
      <c r="A763" s="625"/>
      <c r="B763" s="625"/>
      <c r="C763" s="625"/>
    </row>
    <row r="764">
      <c r="A764" s="625"/>
      <c r="B764" s="625"/>
      <c r="C764" s="625"/>
    </row>
    <row r="765">
      <c r="A765" s="625"/>
      <c r="B765" s="625"/>
      <c r="C765" s="625"/>
    </row>
    <row r="766">
      <c r="A766" s="625"/>
      <c r="B766" s="625"/>
      <c r="C766" s="625"/>
    </row>
    <row r="767">
      <c r="A767" s="625"/>
      <c r="B767" s="625"/>
      <c r="C767" s="625"/>
    </row>
    <row r="768">
      <c r="A768" s="625"/>
      <c r="B768" s="625"/>
      <c r="C768" s="625"/>
    </row>
    <row r="769">
      <c r="A769" s="625"/>
      <c r="B769" s="625"/>
      <c r="C769" s="625"/>
    </row>
    <row r="770">
      <c r="A770" s="625"/>
      <c r="B770" s="625"/>
      <c r="C770" s="625"/>
    </row>
    <row r="771">
      <c r="A771" s="625"/>
      <c r="B771" s="625"/>
      <c r="C771" s="625"/>
    </row>
    <row r="772">
      <c r="A772" s="625"/>
      <c r="B772" s="625"/>
      <c r="C772" s="625"/>
    </row>
    <row r="773">
      <c r="A773" s="625"/>
      <c r="B773" s="625"/>
      <c r="C773" s="625"/>
    </row>
    <row r="774">
      <c r="A774" s="625"/>
      <c r="B774" s="625"/>
      <c r="C774" s="625"/>
    </row>
    <row r="775">
      <c r="A775" s="625"/>
      <c r="B775" s="625"/>
      <c r="C775" s="625"/>
    </row>
    <row r="776">
      <c r="A776" s="625"/>
      <c r="B776" s="625"/>
      <c r="C776" s="625"/>
    </row>
    <row r="777">
      <c r="A777" s="625"/>
      <c r="B777" s="625"/>
      <c r="C777" s="625"/>
    </row>
    <row r="778">
      <c r="A778" s="625"/>
      <c r="B778" s="625"/>
      <c r="C778" s="625"/>
    </row>
    <row r="779">
      <c r="A779" s="625"/>
      <c r="B779" s="625"/>
      <c r="C779" s="625"/>
    </row>
    <row r="780">
      <c r="A780" s="625"/>
      <c r="B780" s="625"/>
      <c r="C780" s="625"/>
    </row>
    <row r="781">
      <c r="A781" s="625"/>
      <c r="B781" s="625"/>
      <c r="C781" s="625"/>
    </row>
    <row r="782">
      <c r="A782" s="625"/>
      <c r="B782" s="625"/>
      <c r="C782" s="625"/>
    </row>
    <row r="783">
      <c r="A783" s="625"/>
      <c r="B783" s="625"/>
      <c r="C783" s="625"/>
    </row>
    <row r="784">
      <c r="A784" s="625"/>
      <c r="B784" s="625"/>
      <c r="C784" s="625"/>
    </row>
    <row r="785">
      <c r="A785" s="625"/>
      <c r="B785" s="625"/>
      <c r="C785" s="625"/>
    </row>
    <row r="786">
      <c r="A786" s="625"/>
      <c r="B786" s="625"/>
      <c r="C786" s="625"/>
    </row>
    <row r="787">
      <c r="A787" s="625"/>
      <c r="B787" s="625"/>
      <c r="C787" s="625"/>
    </row>
    <row r="788">
      <c r="A788" s="625"/>
      <c r="B788" s="625"/>
      <c r="C788" s="625"/>
    </row>
    <row r="789">
      <c r="A789" s="625"/>
      <c r="B789" s="625"/>
      <c r="C789" s="625"/>
    </row>
    <row r="790">
      <c r="A790" s="625"/>
      <c r="B790" s="625"/>
      <c r="C790" s="625"/>
    </row>
    <row r="791">
      <c r="A791" s="625"/>
      <c r="B791" s="625"/>
      <c r="C791" s="625"/>
    </row>
    <row r="792">
      <c r="A792" s="625"/>
      <c r="B792" s="625"/>
      <c r="C792" s="625"/>
    </row>
    <row r="793">
      <c r="A793" s="625"/>
      <c r="B793" s="625"/>
      <c r="C793" s="625"/>
    </row>
    <row r="794">
      <c r="A794" s="625"/>
      <c r="B794" s="625"/>
      <c r="C794" s="625"/>
    </row>
    <row r="795">
      <c r="A795" s="625"/>
      <c r="B795" s="625"/>
      <c r="C795" s="625"/>
    </row>
    <row r="796">
      <c r="A796" s="625"/>
      <c r="B796" s="625"/>
      <c r="C796" s="625"/>
    </row>
    <row r="797">
      <c r="A797" s="625"/>
      <c r="B797" s="625"/>
      <c r="C797" s="625"/>
    </row>
    <row r="798">
      <c r="A798" s="625"/>
      <c r="B798" s="625"/>
      <c r="C798" s="625"/>
    </row>
    <row r="799">
      <c r="A799" s="625"/>
      <c r="B799" s="625"/>
      <c r="C799" s="625"/>
    </row>
    <row r="800">
      <c r="A800" s="625"/>
      <c r="B800" s="625"/>
      <c r="C800" s="625"/>
    </row>
    <row r="801">
      <c r="A801" s="625"/>
      <c r="B801" s="625"/>
      <c r="C801" s="625"/>
    </row>
    <row r="802">
      <c r="A802" s="625"/>
      <c r="B802" s="625"/>
      <c r="C802" s="625"/>
    </row>
    <row r="803">
      <c r="A803" s="625"/>
      <c r="B803" s="625"/>
      <c r="C803" s="625"/>
    </row>
    <row r="804">
      <c r="A804" s="625"/>
      <c r="B804" s="625"/>
      <c r="C804" s="625"/>
    </row>
    <row r="805">
      <c r="A805" s="625"/>
      <c r="B805" s="625"/>
      <c r="C805" s="625"/>
    </row>
    <row r="806">
      <c r="A806" s="625"/>
      <c r="B806" s="625"/>
      <c r="C806" s="625"/>
    </row>
    <row r="807">
      <c r="A807" s="625"/>
      <c r="B807" s="625"/>
      <c r="C807" s="625"/>
    </row>
    <row r="808">
      <c r="A808" s="625"/>
      <c r="B808" s="625"/>
      <c r="C808" s="625"/>
    </row>
    <row r="809">
      <c r="A809" s="625"/>
      <c r="B809" s="625"/>
      <c r="C809" s="625"/>
    </row>
    <row r="810">
      <c r="A810" s="625"/>
      <c r="B810" s="625"/>
      <c r="C810" s="625"/>
    </row>
    <row r="811">
      <c r="A811" s="625"/>
      <c r="B811" s="625"/>
      <c r="C811" s="625"/>
    </row>
    <row r="812">
      <c r="A812" s="625"/>
      <c r="B812" s="625"/>
      <c r="C812" s="625"/>
    </row>
    <row r="813">
      <c r="A813" s="625"/>
      <c r="B813" s="625"/>
      <c r="C813" s="625"/>
    </row>
    <row r="814">
      <c r="A814" s="625"/>
      <c r="B814" s="625"/>
      <c r="C814" s="625"/>
    </row>
    <row r="815">
      <c r="A815" s="625"/>
      <c r="B815" s="625"/>
      <c r="C815" s="625"/>
    </row>
    <row r="816">
      <c r="A816" s="625"/>
      <c r="B816" s="625"/>
      <c r="C816" s="625"/>
    </row>
    <row r="817">
      <c r="A817" s="625"/>
      <c r="B817" s="625"/>
      <c r="C817" s="625"/>
    </row>
    <row r="818">
      <c r="A818" s="625"/>
      <c r="B818" s="625"/>
      <c r="C818" s="625"/>
    </row>
    <row r="819">
      <c r="A819" s="625"/>
      <c r="B819" s="625"/>
      <c r="C819" s="625"/>
    </row>
    <row r="820">
      <c r="A820" s="625"/>
      <c r="B820" s="625"/>
      <c r="C820" s="625"/>
    </row>
    <row r="821">
      <c r="A821" s="625"/>
      <c r="B821" s="625"/>
      <c r="C821" s="625"/>
    </row>
    <row r="822">
      <c r="A822" s="625"/>
      <c r="B822" s="625"/>
      <c r="C822" s="625"/>
    </row>
    <row r="823">
      <c r="A823" s="625"/>
      <c r="B823" s="625"/>
      <c r="C823" s="625"/>
    </row>
    <row r="824">
      <c r="A824" s="625"/>
      <c r="B824" s="625"/>
      <c r="C824" s="625"/>
    </row>
    <row r="825">
      <c r="A825" s="625"/>
      <c r="B825" s="625"/>
      <c r="C825" s="625"/>
    </row>
    <row r="826">
      <c r="A826" s="625"/>
      <c r="B826" s="625"/>
      <c r="C826" s="625"/>
    </row>
    <row r="827">
      <c r="A827" s="625"/>
      <c r="B827" s="625"/>
      <c r="C827" s="625"/>
    </row>
    <row r="828">
      <c r="A828" s="625"/>
      <c r="B828" s="625"/>
      <c r="C828" s="625"/>
    </row>
    <row r="829">
      <c r="A829" s="625"/>
      <c r="B829" s="625"/>
      <c r="C829" s="625"/>
    </row>
    <row r="830">
      <c r="A830" s="625"/>
      <c r="B830" s="625"/>
      <c r="C830" s="625"/>
    </row>
    <row r="831">
      <c r="A831" s="625"/>
      <c r="B831" s="625"/>
      <c r="C831" s="625"/>
    </row>
    <row r="832">
      <c r="A832" s="625"/>
      <c r="B832" s="625"/>
      <c r="C832" s="625"/>
    </row>
    <row r="833">
      <c r="A833" s="625"/>
      <c r="B833" s="625"/>
      <c r="C833" s="625"/>
    </row>
    <row r="834">
      <c r="A834" s="625"/>
      <c r="B834" s="625"/>
      <c r="C834" s="625"/>
    </row>
    <row r="835">
      <c r="A835" s="625"/>
      <c r="B835" s="625"/>
      <c r="C835" s="625"/>
    </row>
    <row r="836">
      <c r="A836" s="625"/>
      <c r="B836" s="625"/>
      <c r="C836" s="625"/>
    </row>
    <row r="837">
      <c r="A837" s="625"/>
      <c r="B837" s="625"/>
      <c r="C837" s="625"/>
    </row>
    <row r="838">
      <c r="A838" s="625"/>
      <c r="B838" s="625"/>
      <c r="C838" s="625"/>
    </row>
    <row r="839">
      <c r="A839" s="625"/>
      <c r="B839" s="625"/>
      <c r="C839" s="625"/>
    </row>
    <row r="840">
      <c r="A840" s="625"/>
      <c r="B840" s="625"/>
      <c r="C840" s="625"/>
    </row>
    <row r="841">
      <c r="A841" s="625"/>
      <c r="B841" s="625"/>
      <c r="C841" s="625"/>
    </row>
    <row r="842">
      <c r="A842" s="625"/>
      <c r="B842" s="625"/>
      <c r="C842" s="625"/>
    </row>
    <row r="843">
      <c r="A843" s="625"/>
      <c r="B843" s="625"/>
      <c r="C843" s="625"/>
    </row>
    <row r="844">
      <c r="A844" s="625"/>
      <c r="B844" s="625"/>
      <c r="C844" s="625"/>
    </row>
    <row r="845">
      <c r="A845" s="625"/>
      <c r="B845" s="625"/>
      <c r="C845" s="625"/>
    </row>
    <row r="846">
      <c r="A846" s="625"/>
      <c r="B846" s="625"/>
      <c r="C846" s="625"/>
    </row>
    <row r="847">
      <c r="A847" s="625"/>
      <c r="B847" s="625"/>
      <c r="C847" s="625"/>
    </row>
    <row r="848">
      <c r="A848" s="625"/>
      <c r="B848" s="625"/>
      <c r="C848" s="625"/>
    </row>
    <row r="849">
      <c r="A849" s="625"/>
      <c r="B849" s="625"/>
      <c r="C849" s="625"/>
    </row>
    <row r="850">
      <c r="A850" s="625"/>
      <c r="B850" s="625"/>
      <c r="C850" s="625"/>
    </row>
    <row r="851">
      <c r="A851" s="625"/>
      <c r="B851" s="625"/>
      <c r="C851" s="625"/>
    </row>
    <row r="852">
      <c r="A852" s="625"/>
      <c r="B852" s="625"/>
      <c r="C852" s="625"/>
    </row>
    <row r="853">
      <c r="A853" s="625"/>
      <c r="B853" s="625"/>
      <c r="C853" s="625"/>
    </row>
    <row r="854">
      <c r="A854" s="625"/>
      <c r="B854" s="625"/>
      <c r="C854" s="625"/>
    </row>
    <row r="855">
      <c r="A855" s="625"/>
      <c r="B855" s="625"/>
      <c r="C855" s="625"/>
    </row>
    <row r="856">
      <c r="A856" s="625"/>
      <c r="B856" s="625"/>
      <c r="C856" s="625"/>
    </row>
    <row r="857">
      <c r="A857" s="625"/>
      <c r="B857" s="625"/>
      <c r="C857" s="625"/>
    </row>
    <row r="858">
      <c r="A858" s="625"/>
      <c r="B858" s="625"/>
      <c r="C858" s="625"/>
    </row>
    <row r="859">
      <c r="A859" s="625"/>
      <c r="B859" s="625"/>
      <c r="C859" s="625"/>
    </row>
    <row r="860">
      <c r="A860" s="625"/>
      <c r="B860" s="625"/>
      <c r="C860" s="625"/>
    </row>
    <row r="861">
      <c r="A861" s="625"/>
      <c r="B861" s="625"/>
      <c r="C861" s="625"/>
    </row>
    <row r="862">
      <c r="A862" s="625"/>
      <c r="B862" s="625"/>
      <c r="C862" s="625"/>
    </row>
    <row r="863">
      <c r="A863" s="625"/>
      <c r="B863" s="625"/>
      <c r="C863" s="625"/>
    </row>
    <row r="864">
      <c r="A864" s="625"/>
      <c r="B864" s="625"/>
      <c r="C864" s="625"/>
    </row>
    <row r="865">
      <c r="A865" s="625"/>
      <c r="B865" s="625"/>
      <c r="C865" s="625"/>
    </row>
    <row r="866">
      <c r="A866" s="625"/>
      <c r="B866" s="625"/>
      <c r="C866" s="625"/>
    </row>
    <row r="867">
      <c r="A867" s="625"/>
      <c r="B867" s="625"/>
      <c r="C867" s="625"/>
    </row>
    <row r="868">
      <c r="A868" s="625"/>
      <c r="B868" s="625"/>
      <c r="C868" s="625"/>
    </row>
    <row r="869">
      <c r="A869" s="625"/>
      <c r="B869" s="625"/>
      <c r="C869" s="625"/>
    </row>
    <row r="870">
      <c r="A870" s="625"/>
      <c r="B870" s="625"/>
      <c r="C870" s="625"/>
    </row>
    <row r="871">
      <c r="A871" s="625"/>
      <c r="B871" s="625"/>
      <c r="C871" s="625"/>
    </row>
    <row r="872">
      <c r="A872" s="625"/>
      <c r="B872" s="625"/>
      <c r="C872" s="625"/>
    </row>
    <row r="873">
      <c r="A873" s="625"/>
      <c r="B873" s="625"/>
      <c r="C873" s="625"/>
    </row>
    <row r="874">
      <c r="A874" s="625"/>
      <c r="B874" s="625"/>
      <c r="C874" s="625"/>
    </row>
    <row r="875">
      <c r="A875" s="625"/>
      <c r="B875" s="625"/>
      <c r="C875" s="625"/>
    </row>
    <row r="876">
      <c r="A876" s="625"/>
      <c r="B876" s="625"/>
      <c r="C876" s="625"/>
    </row>
    <row r="877">
      <c r="A877" s="625"/>
      <c r="B877" s="625"/>
      <c r="C877" s="625"/>
    </row>
    <row r="878">
      <c r="A878" s="625"/>
      <c r="B878" s="625"/>
      <c r="C878" s="625"/>
    </row>
    <row r="879">
      <c r="A879" s="625"/>
      <c r="B879" s="625"/>
      <c r="C879" s="625"/>
    </row>
    <row r="880">
      <c r="A880" s="625"/>
      <c r="B880" s="625"/>
      <c r="C880" s="625"/>
    </row>
    <row r="881">
      <c r="A881" s="625"/>
      <c r="B881" s="625"/>
      <c r="C881" s="625"/>
    </row>
    <row r="882">
      <c r="A882" s="625"/>
      <c r="B882" s="625"/>
      <c r="C882" s="625"/>
    </row>
    <row r="883">
      <c r="A883" s="625"/>
      <c r="B883" s="625"/>
      <c r="C883" s="625"/>
    </row>
    <row r="884">
      <c r="A884" s="625"/>
      <c r="B884" s="625"/>
      <c r="C884" s="625"/>
    </row>
    <row r="885">
      <c r="A885" s="625"/>
      <c r="B885" s="625"/>
      <c r="C885" s="625"/>
    </row>
    <row r="886">
      <c r="A886" s="625"/>
      <c r="B886" s="625"/>
      <c r="C886" s="625"/>
    </row>
    <row r="887">
      <c r="A887" s="625"/>
      <c r="B887" s="625"/>
      <c r="C887" s="625"/>
    </row>
    <row r="888">
      <c r="A888" s="625"/>
      <c r="B888" s="625"/>
      <c r="C888" s="625"/>
    </row>
    <row r="889">
      <c r="A889" s="625"/>
      <c r="B889" s="625"/>
      <c r="C889" s="625"/>
    </row>
    <row r="890">
      <c r="A890" s="625"/>
      <c r="B890" s="625"/>
      <c r="C890" s="625"/>
    </row>
    <row r="891">
      <c r="A891" s="625"/>
      <c r="B891" s="625"/>
      <c r="C891" s="625"/>
    </row>
    <row r="892">
      <c r="A892" s="625"/>
      <c r="B892" s="625"/>
      <c r="C892" s="625"/>
    </row>
    <row r="893">
      <c r="A893" s="625"/>
      <c r="B893" s="625"/>
      <c r="C893" s="625"/>
    </row>
    <row r="894">
      <c r="A894" s="625"/>
      <c r="B894" s="625"/>
      <c r="C894" s="625"/>
    </row>
    <row r="895">
      <c r="A895" s="625"/>
      <c r="B895" s="625"/>
      <c r="C895" s="625"/>
    </row>
    <row r="896">
      <c r="A896" s="625"/>
      <c r="B896" s="625"/>
      <c r="C896" s="625"/>
    </row>
    <row r="897">
      <c r="A897" s="625"/>
      <c r="B897" s="625"/>
      <c r="C897" s="625"/>
    </row>
    <row r="898">
      <c r="A898" s="625"/>
      <c r="B898" s="625"/>
      <c r="C898" s="625"/>
    </row>
    <row r="899">
      <c r="A899" s="625"/>
      <c r="B899" s="625"/>
      <c r="C899" s="625"/>
    </row>
    <row r="900">
      <c r="A900" s="625"/>
      <c r="B900" s="625"/>
      <c r="C900" s="625"/>
    </row>
    <row r="901">
      <c r="A901" s="625"/>
      <c r="B901" s="625"/>
      <c r="C901" s="625"/>
    </row>
    <row r="902">
      <c r="A902" s="625"/>
      <c r="B902" s="625"/>
      <c r="C902" s="625"/>
    </row>
    <row r="903">
      <c r="A903" s="625"/>
      <c r="B903" s="625"/>
      <c r="C903" s="625"/>
    </row>
    <row r="904">
      <c r="A904" s="625"/>
      <c r="B904" s="625"/>
      <c r="C904" s="625"/>
    </row>
    <row r="905">
      <c r="A905" s="625"/>
      <c r="B905" s="625"/>
      <c r="C905" s="625"/>
    </row>
    <row r="906">
      <c r="A906" s="625"/>
      <c r="B906" s="625"/>
      <c r="C906" s="625"/>
    </row>
    <row r="907">
      <c r="A907" s="625"/>
      <c r="B907" s="625"/>
      <c r="C907" s="625"/>
    </row>
    <row r="908">
      <c r="A908" s="625"/>
      <c r="B908" s="625"/>
      <c r="C908" s="625"/>
    </row>
    <row r="909">
      <c r="A909" s="625"/>
      <c r="B909" s="625"/>
      <c r="C909" s="625"/>
    </row>
    <row r="910">
      <c r="A910" s="625"/>
      <c r="B910" s="625"/>
      <c r="C910" s="625"/>
    </row>
    <row r="911">
      <c r="A911" s="625"/>
      <c r="B911" s="625"/>
      <c r="C911" s="625"/>
    </row>
    <row r="912">
      <c r="A912" s="625"/>
      <c r="B912" s="625"/>
      <c r="C912" s="625"/>
    </row>
    <row r="913">
      <c r="A913" s="625"/>
      <c r="B913" s="625"/>
      <c r="C913" s="625"/>
    </row>
    <row r="914">
      <c r="A914" s="625"/>
      <c r="B914" s="625"/>
      <c r="C914" s="625"/>
    </row>
    <row r="915">
      <c r="A915" s="625"/>
      <c r="B915" s="625"/>
      <c r="C915" s="625"/>
    </row>
    <row r="916">
      <c r="A916" s="625"/>
      <c r="B916" s="625"/>
      <c r="C916" s="625"/>
    </row>
    <row r="917">
      <c r="A917" s="625"/>
      <c r="B917" s="625"/>
      <c r="C917" s="625"/>
    </row>
    <row r="918">
      <c r="A918" s="625"/>
      <c r="B918" s="625"/>
      <c r="C918" s="625"/>
    </row>
    <row r="919">
      <c r="A919" s="625"/>
      <c r="B919" s="625"/>
      <c r="C919" s="625"/>
    </row>
    <row r="920">
      <c r="A920" s="625"/>
      <c r="B920" s="625"/>
      <c r="C920" s="625"/>
    </row>
    <row r="921">
      <c r="A921" s="625"/>
      <c r="B921" s="625"/>
      <c r="C921" s="625"/>
    </row>
    <row r="922">
      <c r="A922" s="625"/>
      <c r="B922" s="625"/>
      <c r="C922" s="625"/>
    </row>
    <row r="923">
      <c r="A923" s="625"/>
      <c r="B923" s="625"/>
      <c r="C923" s="625"/>
    </row>
    <row r="924">
      <c r="A924" s="625"/>
      <c r="B924" s="625"/>
      <c r="C924" s="625"/>
    </row>
    <row r="925">
      <c r="A925" s="625"/>
      <c r="B925" s="625"/>
      <c r="C925" s="625"/>
    </row>
    <row r="926">
      <c r="A926" s="625"/>
      <c r="B926" s="625"/>
      <c r="C926" s="625"/>
    </row>
    <row r="927">
      <c r="A927" s="625"/>
      <c r="B927" s="625"/>
      <c r="C927" s="625"/>
    </row>
    <row r="928">
      <c r="A928" s="625"/>
      <c r="B928" s="625"/>
      <c r="C928" s="625"/>
    </row>
    <row r="929">
      <c r="A929" s="625"/>
      <c r="B929" s="625"/>
      <c r="C929" s="625"/>
    </row>
    <row r="930">
      <c r="A930" s="625"/>
      <c r="B930" s="625"/>
      <c r="C930" s="625"/>
    </row>
    <row r="931">
      <c r="A931" s="625"/>
      <c r="B931" s="625"/>
      <c r="C931" s="625"/>
    </row>
    <row r="932">
      <c r="A932" s="625"/>
      <c r="B932" s="625"/>
      <c r="C932" s="625"/>
    </row>
    <row r="933">
      <c r="A933" s="625"/>
      <c r="B933" s="625"/>
      <c r="C933" s="625"/>
    </row>
    <row r="934">
      <c r="A934" s="625"/>
      <c r="B934" s="625"/>
      <c r="C934" s="625"/>
    </row>
    <row r="935">
      <c r="A935" s="625"/>
      <c r="B935" s="625"/>
      <c r="C935" s="625"/>
    </row>
    <row r="936">
      <c r="A936" s="625"/>
      <c r="B936" s="625"/>
      <c r="C936" s="625"/>
    </row>
    <row r="937">
      <c r="A937" s="625"/>
      <c r="B937" s="625"/>
      <c r="C937" s="625"/>
    </row>
    <row r="938">
      <c r="A938" s="625"/>
      <c r="B938" s="625"/>
      <c r="C938" s="625"/>
    </row>
    <row r="939">
      <c r="A939" s="625"/>
      <c r="B939" s="625"/>
      <c r="C939" s="625"/>
    </row>
    <row r="940">
      <c r="A940" s="625"/>
      <c r="B940" s="625"/>
      <c r="C940" s="625"/>
    </row>
    <row r="941">
      <c r="A941" s="625"/>
      <c r="B941" s="625"/>
      <c r="C941" s="625"/>
    </row>
    <row r="942">
      <c r="A942" s="625"/>
      <c r="B942" s="625"/>
      <c r="C942" s="625"/>
    </row>
    <row r="943">
      <c r="A943" s="625"/>
      <c r="B943" s="625"/>
      <c r="C943" s="625"/>
    </row>
    <row r="944">
      <c r="A944" s="625"/>
      <c r="B944" s="625"/>
      <c r="C944" s="625"/>
    </row>
    <row r="945">
      <c r="A945" s="625"/>
      <c r="B945" s="625"/>
      <c r="C945" s="625"/>
    </row>
    <row r="946">
      <c r="A946" s="625"/>
      <c r="B946" s="625"/>
      <c r="C946" s="625"/>
    </row>
    <row r="947">
      <c r="A947" s="625"/>
      <c r="B947" s="625"/>
      <c r="C947" s="625"/>
    </row>
    <row r="948">
      <c r="A948" s="625"/>
      <c r="B948" s="625"/>
      <c r="C948" s="625"/>
    </row>
    <row r="949">
      <c r="A949" s="625"/>
      <c r="B949" s="625"/>
      <c r="C949" s="625"/>
    </row>
    <row r="950">
      <c r="A950" s="625"/>
      <c r="B950" s="625"/>
      <c r="C950" s="625"/>
    </row>
    <row r="951">
      <c r="A951" s="625"/>
      <c r="B951" s="625"/>
      <c r="C951" s="625"/>
    </row>
    <row r="952">
      <c r="A952" s="625"/>
      <c r="B952" s="625"/>
      <c r="C952" s="625"/>
    </row>
    <row r="953">
      <c r="A953" s="625"/>
      <c r="B953" s="625"/>
      <c r="C953" s="625"/>
    </row>
    <row r="954">
      <c r="A954" s="625"/>
      <c r="B954" s="625"/>
      <c r="C954" s="625"/>
    </row>
    <row r="955">
      <c r="A955" s="625"/>
      <c r="B955" s="625"/>
      <c r="C955" s="625"/>
    </row>
    <row r="956">
      <c r="A956" s="625"/>
      <c r="B956" s="625"/>
      <c r="C956" s="625"/>
    </row>
    <row r="957">
      <c r="A957" s="625"/>
      <c r="B957" s="625"/>
      <c r="C957" s="625"/>
    </row>
    <row r="958">
      <c r="A958" s="625"/>
      <c r="B958" s="625"/>
      <c r="C958" s="625"/>
    </row>
    <row r="959">
      <c r="A959" s="625"/>
      <c r="B959" s="625"/>
      <c r="C959" s="625"/>
    </row>
    <row r="960">
      <c r="A960" s="625"/>
      <c r="B960" s="625"/>
      <c r="C960" s="625"/>
    </row>
    <row r="961">
      <c r="A961" s="625"/>
      <c r="B961" s="625"/>
      <c r="C961" s="625"/>
    </row>
    <row r="962">
      <c r="A962" s="625"/>
      <c r="B962" s="625"/>
      <c r="C962" s="625"/>
    </row>
    <row r="963">
      <c r="A963" s="625"/>
      <c r="B963" s="625"/>
      <c r="C963" s="625"/>
    </row>
    <row r="964">
      <c r="A964" s="625"/>
      <c r="B964" s="625"/>
      <c r="C964" s="625"/>
    </row>
    <row r="965">
      <c r="A965" s="625"/>
      <c r="B965" s="625"/>
      <c r="C965" s="625"/>
    </row>
    <row r="966">
      <c r="A966" s="625"/>
      <c r="B966" s="625"/>
      <c r="C966" s="625"/>
    </row>
    <row r="967">
      <c r="A967" s="625"/>
      <c r="B967" s="625"/>
      <c r="C967" s="625"/>
    </row>
    <row r="968">
      <c r="A968" s="625"/>
      <c r="B968" s="625"/>
      <c r="C968" s="625"/>
    </row>
    <row r="969">
      <c r="A969" s="625"/>
      <c r="B969" s="625"/>
      <c r="C969" s="625"/>
    </row>
    <row r="970">
      <c r="A970" s="625"/>
      <c r="B970" s="625"/>
      <c r="C970" s="625"/>
    </row>
    <row r="971">
      <c r="A971" s="625"/>
      <c r="B971" s="625"/>
      <c r="C971" s="625"/>
    </row>
    <row r="972">
      <c r="A972" s="625"/>
      <c r="B972" s="625"/>
      <c r="C972" s="625"/>
    </row>
    <row r="973">
      <c r="A973" s="625"/>
      <c r="B973" s="625"/>
      <c r="C973" s="625"/>
    </row>
    <row r="974">
      <c r="A974" s="625"/>
      <c r="B974" s="625"/>
      <c r="C974" s="625"/>
    </row>
    <row r="975">
      <c r="A975" s="625"/>
      <c r="B975" s="625"/>
      <c r="C975" s="625"/>
    </row>
    <row r="976">
      <c r="A976" s="625"/>
      <c r="B976" s="625"/>
      <c r="C976" s="625"/>
    </row>
    <row r="977">
      <c r="A977" s="625"/>
      <c r="B977" s="625"/>
      <c r="C977" s="625"/>
    </row>
    <row r="978">
      <c r="A978" s="625"/>
      <c r="B978" s="625"/>
      <c r="C978" s="625"/>
    </row>
    <row r="979">
      <c r="A979" s="625"/>
      <c r="B979" s="625"/>
      <c r="C979" s="625"/>
    </row>
    <row r="980">
      <c r="A980" s="625"/>
      <c r="B980" s="625"/>
      <c r="C980" s="625"/>
    </row>
    <row r="981">
      <c r="A981" s="625"/>
      <c r="B981" s="625"/>
      <c r="C981" s="625"/>
    </row>
    <row r="982">
      <c r="A982" s="625"/>
      <c r="B982" s="625"/>
      <c r="C982" s="625"/>
    </row>
    <row r="983">
      <c r="A983" s="625"/>
      <c r="B983" s="625"/>
      <c r="C983" s="625"/>
    </row>
    <row r="984">
      <c r="A984" s="625"/>
      <c r="B984" s="625"/>
      <c r="C984" s="625"/>
    </row>
    <row r="985">
      <c r="A985" s="625"/>
      <c r="B985" s="625"/>
      <c r="C985" s="625"/>
    </row>
    <row r="986">
      <c r="A986" s="625"/>
      <c r="B986" s="625"/>
      <c r="C986" s="625"/>
    </row>
    <row r="987">
      <c r="A987" s="625"/>
      <c r="B987" s="625"/>
      <c r="C987" s="625"/>
    </row>
    <row r="988">
      <c r="A988" s="625"/>
      <c r="B988" s="625"/>
      <c r="C988" s="625"/>
    </row>
    <row r="989">
      <c r="A989" s="625"/>
      <c r="B989" s="625"/>
      <c r="C989" s="625"/>
    </row>
    <row r="990">
      <c r="A990" s="625"/>
      <c r="B990" s="625"/>
      <c r="C990" s="625"/>
    </row>
    <row r="991">
      <c r="A991" s="625"/>
      <c r="B991" s="625"/>
      <c r="C991" s="625"/>
    </row>
    <row r="992">
      <c r="A992" s="625"/>
      <c r="B992" s="625"/>
      <c r="C992" s="625"/>
    </row>
    <row r="993">
      <c r="A993" s="625"/>
      <c r="B993" s="625"/>
      <c r="C993" s="625"/>
    </row>
    <row r="994">
      <c r="A994" s="625"/>
      <c r="B994" s="625"/>
      <c r="C994" s="625"/>
    </row>
    <row r="995">
      <c r="A995" s="625"/>
      <c r="B995" s="625"/>
      <c r="C995" s="625"/>
    </row>
    <row r="996">
      <c r="A996" s="625"/>
      <c r="B996" s="625"/>
      <c r="C996" s="625"/>
    </row>
    <row r="997">
      <c r="A997" s="625"/>
      <c r="B997" s="625"/>
      <c r="C997" s="625"/>
    </row>
    <row r="998">
      <c r="A998" s="625"/>
      <c r="B998" s="625"/>
      <c r="C998" s="625"/>
    </row>
    <row r="999">
      <c r="A999" s="625"/>
      <c r="B999" s="625"/>
      <c r="C999" s="625"/>
    </row>
    <row r="1000">
      <c r="A1000" s="625"/>
      <c r="B1000" s="625"/>
      <c r="C1000" s="625"/>
    </row>
    <row r="1001">
      <c r="A1001" s="625"/>
      <c r="B1001" s="625"/>
      <c r="C1001" s="625"/>
    </row>
    <row r="1002">
      <c r="A1002" s="625"/>
      <c r="B1002" s="625"/>
      <c r="C1002" s="625"/>
    </row>
    <row r="1003">
      <c r="A1003" s="625"/>
      <c r="B1003" s="625"/>
      <c r="C1003" s="625"/>
    </row>
    <row r="1004">
      <c r="A1004" s="625"/>
      <c r="B1004" s="625"/>
      <c r="C1004" s="625"/>
    </row>
    <row r="1005">
      <c r="A1005" s="625"/>
      <c r="B1005" s="625"/>
      <c r="C1005" s="625"/>
    </row>
    <row r="1006">
      <c r="A1006" s="625"/>
      <c r="B1006" s="625"/>
      <c r="C1006" s="625"/>
    </row>
    <row r="1007">
      <c r="A1007" s="625"/>
      <c r="B1007" s="625"/>
      <c r="C1007" s="625"/>
    </row>
    <row r="1008">
      <c r="A1008" s="625"/>
      <c r="B1008" s="625"/>
      <c r="C1008" s="625"/>
    </row>
    <row r="1009">
      <c r="A1009" s="625"/>
      <c r="B1009" s="625"/>
      <c r="C1009" s="625"/>
    </row>
    <row r="1010">
      <c r="A1010" s="625"/>
      <c r="B1010" s="625"/>
      <c r="C1010" s="625"/>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8.25"/>
    <col customWidth="1" min="2" max="2" width="27.5"/>
    <col customWidth="1" min="3" max="3" width="67.38"/>
    <col customWidth="1" min="4" max="4" width="20.13"/>
    <col customWidth="1" min="5" max="5" width="52.25"/>
  </cols>
  <sheetData>
    <row r="1">
      <c r="A1" s="624"/>
      <c r="B1" s="624" t="s">
        <v>1823</v>
      </c>
      <c r="C1" s="624" t="s">
        <v>1824</v>
      </c>
      <c r="D1" s="343" t="s">
        <v>1825</v>
      </c>
      <c r="E1" s="343" t="s">
        <v>1826</v>
      </c>
      <c r="F1" s="344"/>
      <c r="G1" s="344"/>
      <c r="H1" s="344"/>
      <c r="I1" s="344"/>
      <c r="J1" s="344"/>
      <c r="K1" s="344"/>
      <c r="L1" s="344"/>
      <c r="M1" s="344"/>
      <c r="N1" s="344"/>
      <c r="O1" s="344"/>
      <c r="P1" s="344"/>
      <c r="Q1" s="344"/>
      <c r="R1" s="344"/>
      <c r="S1" s="344"/>
      <c r="T1" s="344"/>
      <c r="U1" s="344"/>
      <c r="V1" s="344"/>
      <c r="W1" s="344"/>
      <c r="X1" s="344"/>
      <c r="Y1" s="344"/>
      <c r="Z1" s="344"/>
      <c r="AA1" s="344"/>
    </row>
    <row r="2">
      <c r="A2" s="626" t="s">
        <v>1854</v>
      </c>
      <c r="B2" s="146" t="s">
        <v>1855</v>
      </c>
      <c r="C2" s="146" t="s">
        <v>1856</v>
      </c>
      <c r="D2" s="627" t="s">
        <v>1833</v>
      </c>
      <c r="E2" s="346" t="s">
        <v>1857</v>
      </c>
    </row>
    <row r="3">
      <c r="A3" s="628"/>
    </row>
    <row r="4">
      <c r="A4" s="629" t="s">
        <v>1858</v>
      </c>
      <c r="B4" s="630" t="s">
        <v>1859</v>
      </c>
      <c r="C4" s="631" t="s">
        <v>1860</v>
      </c>
      <c r="D4" s="627" t="s">
        <v>1837</v>
      </c>
      <c r="E4" s="346" t="s">
        <v>1861</v>
      </c>
    </row>
    <row r="5">
      <c r="A5" s="222"/>
      <c r="B5" s="632" t="s">
        <v>1862</v>
      </c>
      <c r="C5" s="631" t="s">
        <v>1863</v>
      </c>
      <c r="D5" s="627" t="s">
        <v>1837</v>
      </c>
      <c r="E5" s="79" t="s">
        <v>1864</v>
      </c>
    </row>
    <row r="6">
      <c r="A6" s="304"/>
      <c r="B6" s="633"/>
    </row>
    <row r="7">
      <c r="A7" s="91" t="s">
        <v>1865</v>
      </c>
      <c r="B7" s="630" t="s">
        <v>1866</v>
      </c>
      <c r="C7" s="631" t="s">
        <v>1867</v>
      </c>
      <c r="D7" s="627" t="s">
        <v>1837</v>
      </c>
      <c r="E7" s="79" t="s">
        <v>1868</v>
      </c>
    </row>
    <row r="8">
      <c r="A8" s="105"/>
      <c r="B8" s="630" t="s">
        <v>1869</v>
      </c>
      <c r="C8" s="631" t="s">
        <v>1870</v>
      </c>
      <c r="D8" s="627" t="s">
        <v>1837</v>
      </c>
      <c r="E8" s="79" t="s">
        <v>1868</v>
      </c>
    </row>
    <row r="9">
      <c r="A9" s="95"/>
      <c r="B9" s="634" t="s">
        <v>1871</v>
      </c>
      <c r="C9" s="635" t="s">
        <v>1872</v>
      </c>
      <c r="D9" s="627" t="s">
        <v>1833</v>
      </c>
    </row>
    <row r="10">
      <c r="A10" s="304"/>
    </row>
    <row r="11">
      <c r="A11" s="636" t="s">
        <v>26</v>
      </c>
      <c r="B11" s="631" t="s">
        <v>1873</v>
      </c>
      <c r="C11" s="631" t="s">
        <v>1874</v>
      </c>
      <c r="D11" s="627" t="s">
        <v>1875</v>
      </c>
      <c r="E11" s="79" t="s">
        <v>1868</v>
      </c>
    </row>
    <row r="12">
      <c r="A12" s="95"/>
      <c r="B12" s="631" t="s">
        <v>1876</v>
      </c>
      <c r="C12" s="631" t="s">
        <v>1877</v>
      </c>
      <c r="D12" s="627" t="s">
        <v>1875</v>
      </c>
      <c r="E12" s="79" t="s">
        <v>1878</v>
      </c>
    </row>
    <row r="13">
      <c r="A13" s="304"/>
    </row>
    <row r="14">
      <c r="A14" s="145" t="s">
        <v>22</v>
      </c>
      <c r="B14" s="146" t="s">
        <v>1879</v>
      </c>
      <c r="C14" s="146" t="s">
        <v>1880</v>
      </c>
      <c r="D14" s="627" t="s">
        <v>1875</v>
      </c>
      <c r="E14" s="79" t="s">
        <v>1881</v>
      </c>
    </row>
    <row r="15">
      <c r="A15" s="86"/>
    </row>
    <row r="16">
      <c r="A16" s="145" t="s">
        <v>1</v>
      </c>
      <c r="B16" s="146" t="s">
        <v>1882</v>
      </c>
      <c r="C16" s="631" t="s">
        <v>1883</v>
      </c>
      <c r="D16" s="627" t="s">
        <v>1875</v>
      </c>
      <c r="E16" s="346" t="s">
        <v>1884</v>
      </c>
    </row>
    <row r="18">
      <c r="A18" s="91" t="s">
        <v>1885</v>
      </c>
      <c r="B18" s="637" t="s">
        <v>1886</v>
      </c>
      <c r="C18" s="631" t="s">
        <v>1887</v>
      </c>
      <c r="D18" s="627" t="s">
        <v>1833</v>
      </c>
      <c r="E18" s="79" t="s">
        <v>1888</v>
      </c>
    </row>
    <row r="19">
      <c r="A19" s="105"/>
      <c r="B19" s="637" t="s">
        <v>1889</v>
      </c>
      <c r="C19" s="631" t="s">
        <v>1890</v>
      </c>
      <c r="D19" s="627" t="s">
        <v>1833</v>
      </c>
      <c r="E19" s="79" t="s">
        <v>1891</v>
      </c>
    </row>
    <row r="20">
      <c r="A20" s="105"/>
      <c r="B20" s="637" t="s">
        <v>1892</v>
      </c>
      <c r="C20" s="631" t="s">
        <v>1893</v>
      </c>
      <c r="D20" s="627" t="s">
        <v>1833</v>
      </c>
      <c r="E20" s="79" t="s">
        <v>1891</v>
      </c>
    </row>
    <row r="21">
      <c r="A21" s="95"/>
      <c r="B21" s="637" t="s">
        <v>1894</v>
      </c>
      <c r="C21" s="631" t="s">
        <v>1895</v>
      </c>
      <c r="D21" s="627" t="s">
        <v>1837</v>
      </c>
      <c r="E21" s="79" t="s">
        <v>1896</v>
      </c>
    </row>
    <row r="26">
      <c r="A26" s="625"/>
      <c r="B26" s="625"/>
      <c r="C26" s="625"/>
    </row>
    <row r="27">
      <c r="A27" s="625"/>
      <c r="B27" s="625"/>
      <c r="C27" s="625"/>
    </row>
    <row r="29">
      <c r="A29" s="625"/>
      <c r="B29" s="625"/>
      <c r="C29" s="625"/>
    </row>
    <row r="30">
      <c r="A30" s="625"/>
      <c r="B30" s="625"/>
      <c r="C30" s="625"/>
    </row>
    <row r="31">
      <c r="A31" s="625"/>
      <c r="B31" s="625"/>
      <c r="C31" s="625"/>
    </row>
    <row r="32">
      <c r="A32" s="625"/>
      <c r="B32" s="625"/>
      <c r="C32" s="625"/>
    </row>
    <row r="33">
      <c r="A33" s="625"/>
      <c r="B33" s="625"/>
      <c r="C33" s="625"/>
    </row>
    <row r="34">
      <c r="A34" s="625"/>
      <c r="B34" s="625"/>
      <c r="C34" s="625"/>
    </row>
    <row r="35">
      <c r="A35" s="625"/>
      <c r="B35" s="625"/>
      <c r="C35" s="625"/>
    </row>
    <row r="36">
      <c r="A36" s="625"/>
      <c r="B36" s="625"/>
      <c r="C36" s="625"/>
    </row>
    <row r="37">
      <c r="A37" s="625"/>
      <c r="B37" s="625"/>
      <c r="C37" s="625"/>
    </row>
    <row r="38">
      <c r="A38" s="625"/>
      <c r="B38" s="625"/>
      <c r="C38" s="625"/>
    </row>
    <row r="39">
      <c r="A39" s="625"/>
      <c r="B39" s="625"/>
      <c r="C39" s="625"/>
    </row>
    <row r="40">
      <c r="A40" s="625"/>
      <c r="B40" s="625"/>
      <c r="C40" s="625"/>
    </row>
    <row r="41">
      <c r="A41" s="625"/>
      <c r="B41" s="625"/>
      <c r="C41" s="625"/>
    </row>
    <row r="42">
      <c r="A42" s="625"/>
      <c r="B42" s="625"/>
      <c r="C42" s="625"/>
    </row>
    <row r="43">
      <c r="A43" s="625"/>
      <c r="B43" s="625"/>
      <c r="C43" s="625"/>
    </row>
    <row r="44">
      <c r="A44" s="625"/>
      <c r="B44" s="625"/>
      <c r="C44" s="625"/>
    </row>
    <row r="45">
      <c r="A45" s="625"/>
      <c r="B45" s="625"/>
      <c r="C45" s="625"/>
    </row>
    <row r="46">
      <c r="A46" s="625"/>
      <c r="B46" s="625"/>
      <c r="C46" s="625"/>
    </row>
    <row r="47">
      <c r="A47" s="625"/>
      <c r="B47" s="625"/>
      <c r="C47" s="625"/>
    </row>
    <row r="48">
      <c r="A48" s="625"/>
      <c r="B48" s="625"/>
      <c r="C48" s="625"/>
    </row>
    <row r="49">
      <c r="A49" s="625"/>
      <c r="B49" s="625"/>
      <c r="C49" s="625"/>
    </row>
    <row r="50">
      <c r="A50" s="625"/>
      <c r="B50" s="625"/>
      <c r="C50" s="625"/>
    </row>
    <row r="51">
      <c r="A51" s="625"/>
      <c r="B51" s="625"/>
      <c r="C51" s="625"/>
    </row>
    <row r="52">
      <c r="A52" s="625"/>
      <c r="B52" s="625"/>
      <c r="C52" s="625"/>
    </row>
    <row r="53">
      <c r="A53" s="625"/>
      <c r="B53" s="625"/>
      <c r="C53" s="625"/>
    </row>
    <row r="54">
      <c r="A54" s="625"/>
      <c r="B54" s="625"/>
      <c r="C54" s="625"/>
    </row>
    <row r="55">
      <c r="A55" s="625"/>
      <c r="B55" s="625"/>
      <c r="C55" s="625"/>
    </row>
    <row r="56">
      <c r="A56" s="625"/>
      <c r="B56" s="625"/>
      <c r="C56" s="625"/>
    </row>
    <row r="57">
      <c r="A57" s="625"/>
      <c r="B57" s="625"/>
      <c r="C57" s="625"/>
    </row>
    <row r="58">
      <c r="A58" s="625"/>
      <c r="B58" s="625"/>
      <c r="C58" s="625"/>
    </row>
    <row r="59">
      <c r="A59" s="625"/>
      <c r="B59" s="625"/>
      <c r="C59" s="625"/>
    </row>
    <row r="60">
      <c r="A60" s="625"/>
      <c r="B60" s="625"/>
      <c r="C60" s="625"/>
    </row>
    <row r="61">
      <c r="A61" s="625"/>
      <c r="B61" s="625"/>
      <c r="C61" s="625"/>
    </row>
    <row r="62">
      <c r="A62" s="625"/>
      <c r="B62" s="625"/>
      <c r="C62" s="625"/>
    </row>
    <row r="63">
      <c r="A63" s="625"/>
      <c r="B63" s="625"/>
      <c r="C63" s="625"/>
    </row>
    <row r="64">
      <c r="A64" s="625"/>
      <c r="B64" s="625"/>
      <c r="C64" s="625"/>
    </row>
    <row r="65">
      <c r="A65" s="625"/>
      <c r="B65" s="625"/>
      <c r="C65" s="625"/>
    </row>
    <row r="66">
      <c r="A66" s="625"/>
      <c r="B66" s="625"/>
      <c r="C66" s="625"/>
    </row>
    <row r="67">
      <c r="A67" s="625"/>
      <c r="B67" s="625"/>
      <c r="C67" s="625"/>
    </row>
    <row r="68">
      <c r="A68" s="625"/>
      <c r="B68" s="625"/>
      <c r="C68" s="625"/>
    </row>
    <row r="69">
      <c r="A69" s="625"/>
      <c r="B69" s="625"/>
      <c r="C69" s="625"/>
    </row>
    <row r="70">
      <c r="A70" s="625"/>
      <c r="B70" s="625"/>
      <c r="C70" s="625"/>
    </row>
    <row r="71">
      <c r="A71" s="625"/>
      <c r="B71" s="625"/>
      <c r="C71" s="625"/>
    </row>
    <row r="72">
      <c r="A72" s="625"/>
      <c r="B72" s="625"/>
      <c r="C72" s="625"/>
    </row>
    <row r="73">
      <c r="A73" s="625"/>
      <c r="B73" s="625"/>
      <c r="C73" s="625"/>
    </row>
    <row r="74">
      <c r="A74" s="625"/>
      <c r="B74" s="625"/>
      <c r="C74" s="625"/>
    </row>
    <row r="75">
      <c r="A75" s="625"/>
      <c r="B75" s="625"/>
      <c r="C75" s="625"/>
    </row>
    <row r="76">
      <c r="A76" s="625"/>
      <c r="B76" s="625"/>
      <c r="C76" s="625"/>
    </row>
    <row r="77">
      <c r="A77" s="625"/>
      <c r="B77" s="625"/>
      <c r="C77" s="625"/>
    </row>
    <row r="78">
      <c r="A78" s="625"/>
      <c r="B78" s="625"/>
      <c r="C78" s="625"/>
    </row>
    <row r="79">
      <c r="A79" s="625"/>
      <c r="B79" s="625"/>
      <c r="C79" s="625"/>
    </row>
    <row r="80">
      <c r="A80" s="625"/>
      <c r="B80" s="625"/>
      <c r="C80" s="625"/>
    </row>
    <row r="81">
      <c r="A81" s="625"/>
      <c r="B81" s="625"/>
      <c r="C81" s="625"/>
    </row>
    <row r="82">
      <c r="A82" s="625"/>
      <c r="B82" s="625"/>
      <c r="C82" s="625"/>
    </row>
    <row r="83">
      <c r="A83" s="625"/>
      <c r="B83" s="625"/>
      <c r="C83" s="625"/>
    </row>
    <row r="84">
      <c r="A84" s="625"/>
      <c r="B84" s="625"/>
      <c r="C84" s="625"/>
    </row>
    <row r="85">
      <c r="A85" s="625"/>
      <c r="B85" s="625"/>
      <c r="C85" s="625"/>
    </row>
    <row r="86">
      <c r="A86" s="625"/>
      <c r="B86" s="625"/>
      <c r="C86" s="625"/>
    </row>
    <row r="87">
      <c r="A87" s="625"/>
      <c r="B87" s="625"/>
      <c r="C87" s="625"/>
    </row>
    <row r="88">
      <c r="A88" s="625"/>
      <c r="B88" s="625"/>
      <c r="C88" s="625"/>
    </row>
    <row r="89">
      <c r="A89" s="625"/>
      <c r="B89" s="625"/>
      <c r="C89" s="625"/>
    </row>
    <row r="90">
      <c r="A90" s="625"/>
      <c r="B90" s="625"/>
      <c r="C90" s="625"/>
    </row>
    <row r="91">
      <c r="A91" s="625"/>
      <c r="B91" s="625"/>
      <c r="C91" s="625"/>
    </row>
    <row r="92">
      <c r="A92" s="625"/>
      <c r="B92" s="625"/>
      <c r="C92" s="625"/>
    </row>
    <row r="93">
      <c r="A93" s="625"/>
      <c r="B93" s="625"/>
      <c r="C93" s="625"/>
    </row>
    <row r="94">
      <c r="A94" s="625"/>
      <c r="B94" s="625"/>
      <c r="C94" s="625"/>
    </row>
    <row r="95">
      <c r="A95" s="625"/>
      <c r="B95" s="625"/>
      <c r="C95" s="625"/>
    </row>
    <row r="96">
      <c r="A96" s="625"/>
      <c r="B96" s="625"/>
      <c r="C96" s="625"/>
    </row>
    <row r="97">
      <c r="A97" s="625"/>
      <c r="B97" s="625"/>
      <c r="C97" s="625"/>
    </row>
    <row r="98">
      <c r="A98" s="625"/>
      <c r="B98" s="625"/>
      <c r="C98" s="625"/>
    </row>
    <row r="99">
      <c r="A99" s="625"/>
      <c r="B99" s="625"/>
      <c r="C99" s="625"/>
    </row>
    <row r="100">
      <c r="A100" s="625"/>
      <c r="B100" s="625"/>
      <c r="C100" s="625"/>
    </row>
    <row r="101">
      <c r="A101" s="625"/>
      <c r="B101" s="625"/>
      <c r="C101" s="625"/>
    </row>
    <row r="102">
      <c r="A102" s="625"/>
      <c r="B102" s="625"/>
      <c r="C102" s="625"/>
    </row>
    <row r="103">
      <c r="A103" s="625"/>
      <c r="B103" s="625"/>
      <c r="C103" s="625"/>
    </row>
    <row r="104">
      <c r="A104" s="625"/>
      <c r="B104" s="625"/>
      <c r="C104" s="625"/>
    </row>
    <row r="105">
      <c r="A105" s="625"/>
      <c r="B105" s="625"/>
      <c r="C105" s="625"/>
    </row>
    <row r="106">
      <c r="A106" s="625"/>
      <c r="B106" s="625"/>
      <c r="C106" s="625"/>
    </row>
    <row r="107">
      <c r="A107" s="625"/>
      <c r="B107" s="625"/>
      <c r="C107" s="625"/>
    </row>
    <row r="108">
      <c r="A108" s="625"/>
      <c r="B108" s="625"/>
      <c r="C108" s="625"/>
    </row>
    <row r="109">
      <c r="A109" s="625"/>
      <c r="B109" s="625"/>
      <c r="C109" s="625"/>
    </row>
    <row r="110">
      <c r="A110" s="625"/>
      <c r="B110" s="625"/>
      <c r="C110" s="625"/>
    </row>
    <row r="111">
      <c r="A111" s="625"/>
      <c r="B111" s="625"/>
      <c r="C111" s="625"/>
    </row>
    <row r="112">
      <c r="A112" s="625"/>
      <c r="B112" s="625"/>
      <c r="C112" s="625"/>
    </row>
    <row r="113">
      <c r="A113" s="625"/>
      <c r="B113" s="625"/>
      <c r="C113" s="625"/>
    </row>
    <row r="114">
      <c r="A114" s="625"/>
      <c r="B114" s="625"/>
      <c r="C114" s="625"/>
    </row>
    <row r="115">
      <c r="A115" s="625"/>
      <c r="B115" s="625"/>
      <c r="C115" s="625"/>
    </row>
    <row r="116">
      <c r="A116" s="625"/>
      <c r="B116" s="625"/>
      <c r="C116" s="625"/>
    </row>
    <row r="117">
      <c r="A117" s="625"/>
      <c r="B117" s="625"/>
      <c r="C117" s="625"/>
    </row>
    <row r="118">
      <c r="A118" s="625"/>
      <c r="B118" s="625"/>
      <c r="C118" s="625"/>
    </row>
    <row r="119">
      <c r="A119" s="625"/>
      <c r="B119" s="625"/>
      <c r="C119" s="625"/>
    </row>
    <row r="120">
      <c r="A120" s="625"/>
      <c r="B120" s="625"/>
      <c r="C120" s="625"/>
    </row>
    <row r="121">
      <c r="A121" s="625"/>
      <c r="B121" s="625"/>
      <c r="C121" s="625"/>
    </row>
    <row r="122">
      <c r="A122" s="625"/>
      <c r="B122" s="625"/>
      <c r="C122" s="625"/>
    </row>
    <row r="123">
      <c r="A123" s="625"/>
      <c r="B123" s="625"/>
      <c r="C123" s="625"/>
    </row>
    <row r="124">
      <c r="A124" s="625"/>
      <c r="B124" s="625"/>
      <c r="C124" s="625"/>
    </row>
    <row r="125">
      <c r="A125" s="625"/>
      <c r="B125" s="625"/>
      <c r="C125" s="625"/>
    </row>
    <row r="126">
      <c r="A126" s="625"/>
      <c r="B126" s="625"/>
      <c r="C126" s="625"/>
    </row>
    <row r="127">
      <c r="A127" s="625"/>
      <c r="B127" s="625"/>
      <c r="C127" s="625"/>
    </row>
    <row r="128">
      <c r="A128" s="625"/>
      <c r="B128" s="625"/>
      <c r="C128" s="625"/>
    </row>
    <row r="129">
      <c r="A129" s="625"/>
      <c r="B129" s="625"/>
      <c r="C129" s="625"/>
    </row>
    <row r="130">
      <c r="A130" s="625"/>
      <c r="B130" s="625"/>
      <c r="C130" s="625"/>
    </row>
    <row r="131">
      <c r="A131" s="625"/>
      <c r="B131" s="625"/>
      <c r="C131" s="625"/>
    </row>
    <row r="132">
      <c r="A132" s="625"/>
      <c r="B132" s="625"/>
      <c r="C132" s="625"/>
    </row>
    <row r="133">
      <c r="A133" s="625"/>
      <c r="B133" s="625"/>
      <c r="C133" s="625"/>
    </row>
    <row r="134">
      <c r="A134" s="625"/>
      <c r="B134" s="625"/>
      <c r="C134" s="625"/>
    </row>
    <row r="135">
      <c r="A135" s="625"/>
      <c r="B135" s="625"/>
      <c r="C135" s="625"/>
    </row>
    <row r="136">
      <c r="A136" s="625"/>
      <c r="B136" s="625"/>
      <c r="C136" s="625"/>
    </row>
    <row r="137">
      <c r="A137" s="625"/>
      <c r="B137" s="625"/>
      <c r="C137" s="625"/>
    </row>
    <row r="138">
      <c r="A138" s="625"/>
      <c r="B138" s="625"/>
      <c r="C138" s="625"/>
    </row>
    <row r="139">
      <c r="A139" s="625"/>
      <c r="B139" s="625"/>
      <c r="C139" s="625"/>
    </row>
    <row r="140">
      <c r="A140" s="625"/>
      <c r="B140" s="625"/>
      <c r="C140" s="625"/>
    </row>
    <row r="141">
      <c r="A141" s="625"/>
      <c r="B141" s="625"/>
      <c r="C141" s="625"/>
    </row>
    <row r="142">
      <c r="A142" s="625"/>
      <c r="B142" s="625"/>
      <c r="C142" s="625"/>
    </row>
    <row r="143">
      <c r="A143" s="625"/>
      <c r="B143" s="625"/>
      <c r="C143" s="625"/>
    </row>
    <row r="144">
      <c r="A144" s="625"/>
      <c r="B144" s="625"/>
      <c r="C144" s="625"/>
    </row>
    <row r="145">
      <c r="A145" s="625"/>
      <c r="B145" s="625"/>
      <c r="C145" s="625"/>
    </row>
    <row r="146">
      <c r="A146" s="625"/>
      <c r="B146" s="625"/>
      <c r="C146" s="625"/>
    </row>
    <row r="147">
      <c r="A147" s="625"/>
      <c r="B147" s="625"/>
      <c r="C147" s="625"/>
    </row>
    <row r="148">
      <c r="A148" s="625"/>
      <c r="B148" s="625"/>
      <c r="C148" s="625"/>
    </row>
    <row r="149">
      <c r="A149" s="625"/>
      <c r="B149" s="625"/>
      <c r="C149" s="625"/>
    </row>
    <row r="150">
      <c r="A150" s="625"/>
      <c r="B150" s="625"/>
      <c r="C150" s="625"/>
    </row>
    <row r="151">
      <c r="A151" s="625"/>
      <c r="B151" s="625"/>
      <c r="C151" s="625"/>
    </row>
    <row r="152">
      <c r="A152" s="625"/>
      <c r="B152" s="625"/>
      <c r="C152" s="625"/>
    </row>
    <row r="153">
      <c r="A153" s="625"/>
      <c r="B153" s="625"/>
      <c r="C153" s="625"/>
    </row>
    <row r="154">
      <c r="A154" s="625"/>
      <c r="B154" s="625"/>
      <c r="C154" s="625"/>
    </row>
    <row r="155">
      <c r="A155" s="625"/>
      <c r="B155" s="625"/>
      <c r="C155" s="625"/>
    </row>
    <row r="156">
      <c r="A156" s="625"/>
      <c r="B156" s="625"/>
      <c r="C156" s="625"/>
    </row>
    <row r="157">
      <c r="A157" s="625"/>
      <c r="B157" s="625"/>
      <c r="C157" s="625"/>
    </row>
    <row r="158">
      <c r="A158" s="625"/>
      <c r="B158" s="625"/>
      <c r="C158" s="625"/>
    </row>
    <row r="159">
      <c r="A159" s="625"/>
      <c r="B159" s="625"/>
      <c r="C159" s="625"/>
    </row>
    <row r="160">
      <c r="A160" s="625"/>
      <c r="B160" s="625"/>
      <c r="C160" s="625"/>
    </row>
    <row r="161">
      <c r="A161" s="625"/>
      <c r="B161" s="625"/>
      <c r="C161" s="625"/>
    </row>
    <row r="162">
      <c r="A162" s="625"/>
      <c r="B162" s="625"/>
      <c r="C162" s="625"/>
    </row>
    <row r="163">
      <c r="A163" s="625"/>
      <c r="B163" s="625"/>
      <c r="C163" s="625"/>
    </row>
    <row r="164">
      <c r="A164" s="625"/>
      <c r="B164" s="625"/>
      <c r="C164" s="625"/>
    </row>
    <row r="165">
      <c r="A165" s="625"/>
      <c r="B165" s="625"/>
      <c r="C165" s="625"/>
    </row>
    <row r="166">
      <c r="A166" s="625"/>
      <c r="B166" s="625"/>
      <c r="C166" s="625"/>
    </row>
    <row r="167">
      <c r="A167" s="625"/>
      <c r="B167" s="625"/>
      <c r="C167" s="625"/>
    </row>
    <row r="168">
      <c r="A168" s="625"/>
      <c r="B168" s="625"/>
      <c r="C168" s="625"/>
    </row>
    <row r="169">
      <c r="A169" s="625"/>
      <c r="B169" s="625"/>
      <c r="C169" s="625"/>
    </row>
    <row r="170">
      <c r="A170" s="625"/>
      <c r="B170" s="625"/>
      <c r="C170" s="625"/>
    </row>
    <row r="171">
      <c r="A171" s="625"/>
      <c r="B171" s="625"/>
      <c r="C171" s="625"/>
    </row>
    <row r="172">
      <c r="A172" s="625"/>
      <c r="B172" s="625"/>
      <c r="C172" s="625"/>
    </row>
    <row r="173">
      <c r="A173" s="625"/>
      <c r="B173" s="625"/>
      <c r="C173" s="625"/>
    </row>
    <row r="174">
      <c r="A174" s="625"/>
      <c r="B174" s="625"/>
      <c r="C174" s="625"/>
    </row>
    <row r="175">
      <c r="A175" s="625"/>
      <c r="B175" s="625"/>
      <c r="C175" s="625"/>
    </row>
    <row r="176">
      <c r="A176" s="625"/>
      <c r="B176" s="625"/>
      <c r="C176" s="625"/>
    </row>
    <row r="177">
      <c r="A177" s="625"/>
      <c r="B177" s="625"/>
      <c r="C177" s="625"/>
    </row>
    <row r="178">
      <c r="A178" s="625"/>
      <c r="B178" s="625"/>
      <c r="C178" s="625"/>
    </row>
    <row r="179">
      <c r="A179" s="625"/>
      <c r="B179" s="625"/>
      <c r="C179" s="625"/>
    </row>
    <row r="180">
      <c r="A180" s="625"/>
      <c r="B180" s="625"/>
      <c r="C180" s="625"/>
    </row>
    <row r="181">
      <c r="A181" s="625"/>
      <c r="B181" s="625"/>
      <c r="C181" s="625"/>
    </row>
    <row r="182">
      <c r="A182" s="625"/>
      <c r="B182" s="625"/>
      <c r="C182" s="625"/>
    </row>
    <row r="183">
      <c r="A183" s="625"/>
      <c r="B183" s="625"/>
      <c r="C183" s="625"/>
    </row>
    <row r="184">
      <c r="A184" s="625"/>
      <c r="B184" s="625"/>
      <c r="C184" s="625"/>
    </row>
    <row r="185">
      <c r="A185" s="625"/>
      <c r="B185" s="625"/>
      <c r="C185" s="625"/>
    </row>
    <row r="186">
      <c r="A186" s="625"/>
      <c r="B186" s="625"/>
      <c r="C186" s="625"/>
    </row>
    <row r="187">
      <c r="A187" s="625"/>
      <c r="B187" s="625"/>
      <c r="C187" s="625"/>
    </row>
    <row r="188">
      <c r="A188" s="625"/>
      <c r="B188" s="625"/>
      <c r="C188" s="625"/>
    </row>
    <row r="189">
      <c r="A189" s="625"/>
      <c r="B189" s="625"/>
      <c r="C189" s="625"/>
    </row>
    <row r="190">
      <c r="A190" s="625"/>
      <c r="B190" s="625"/>
      <c r="C190" s="625"/>
    </row>
    <row r="191">
      <c r="A191" s="625"/>
      <c r="B191" s="625"/>
      <c r="C191" s="625"/>
    </row>
    <row r="192">
      <c r="A192" s="625"/>
      <c r="B192" s="625"/>
      <c r="C192" s="625"/>
    </row>
    <row r="193">
      <c r="A193" s="625"/>
      <c r="B193" s="625"/>
      <c r="C193" s="625"/>
    </row>
    <row r="194">
      <c r="A194" s="625"/>
      <c r="B194" s="625"/>
      <c r="C194" s="625"/>
    </row>
    <row r="195">
      <c r="A195" s="625"/>
      <c r="B195" s="625"/>
      <c r="C195" s="625"/>
    </row>
    <row r="196">
      <c r="A196" s="625"/>
      <c r="B196" s="625"/>
      <c r="C196" s="625"/>
    </row>
    <row r="197">
      <c r="A197" s="625"/>
      <c r="B197" s="625"/>
      <c r="C197" s="625"/>
    </row>
    <row r="198">
      <c r="A198" s="625"/>
      <c r="B198" s="625"/>
      <c r="C198" s="625"/>
    </row>
    <row r="199">
      <c r="A199" s="625"/>
      <c r="B199" s="625"/>
      <c r="C199" s="625"/>
    </row>
    <row r="200">
      <c r="A200" s="625"/>
      <c r="B200" s="625"/>
      <c r="C200" s="625"/>
    </row>
    <row r="201">
      <c r="A201" s="625"/>
      <c r="B201" s="625"/>
      <c r="C201" s="625"/>
    </row>
    <row r="202">
      <c r="A202" s="625"/>
      <c r="B202" s="625"/>
      <c r="C202" s="625"/>
    </row>
    <row r="203">
      <c r="A203" s="625"/>
      <c r="B203" s="625"/>
      <c r="C203" s="625"/>
    </row>
    <row r="204">
      <c r="A204" s="625"/>
      <c r="B204" s="625"/>
      <c r="C204" s="625"/>
    </row>
    <row r="205">
      <c r="A205" s="625"/>
      <c r="B205" s="625"/>
      <c r="C205" s="625"/>
    </row>
    <row r="206">
      <c r="A206" s="625"/>
      <c r="B206" s="625"/>
      <c r="C206" s="625"/>
    </row>
    <row r="207">
      <c r="A207" s="625"/>
      <c r="B207" s="625"/>
      <c r="C207" s="625"/>
    </row>
    <row r="208">
      <c r="A208" s="625"/>
      <c r="B208" s="625"/>
      <c r="C208" s="625"/>
    </row>
    <row r="209">
      <c r="A209" s="625"/>
      <c r="B209" s="625"/>
      <c r="C209" s="625"/>
    </row>
    <row r="210">
      <c r="A210" s="625"/>
      <c r="B210" s="625"/>
      <c r="C210" s="625"/>
    </row>
    <row r="211">
      <c r="A211" s="625"/>
      <c r="B211" s="625"/>
      <c r="C211" s="625"/>
    </row>
    <row r="212">
      <c r="A212" s="625"/>
      <c r="B212" s="625"/>
      <c r="C212" s="625"/>
    </row>
    <row r="213">
      <c r="A213" s="625"/>
      <c r="B213" s="625"/>
      <c r="C213" s="625"/>
    </row>
    <row r="214">
      <c r="A214" s="625"/>
      <c r="B214" s="625"/>
      <c r="C214" s="625"/>
    </row>
    <row r="215">
      <c r="A215" s="625"/>
      <c r="B215" s="625"/>
      <c r="C215" s="625"/>
    </row>
    <row r="216">
      <c r="A216" s="625"/>
      <c r="B216" s="625"/>
      <c r="C216" s="625"/>
    </row>
    <row r="217">
      <c r="A217" s="625"/>
      <c r="B217" s="625"/>
      <c r="C217" s="625"/>
    </row>
    <row r="218">
      <c r="A218" s="625"/>
      <c r="B218" s="625"/>
      <c r="C218" s="625"/>
    </row>
    <row r="219">
      <c r="A219" s="625"/>
      <c r="B219" s="625"/>
      <c r="C219" s="625"/>
    </row>
    <row r="220">
      <c r="A220" s="625"/>
      <c r="B220" s="625"/>
      <c r="C220" s="625"/>
    </row>
    <row r="221">
      <c r="A221" s="625"/>
      <c r="B221" s="625"/>
      <c r="C221" s="625"/>
    </row>
    <row r="222">
      <c r="A222" s="625"/>
      <c r="B222" s="625"/>
      <c r="C222" s="625"/>
    </row>
    <row r="223">
      <c r="A223" s="625"/>
      <c r="B223" s="625"/>
      <c r="C223" s="625"/>
    </row>
    <row r="224">
      <c r="A224" s="625"/>
      <c r="B224" s="625"/>
      <c r="C224" s="625"/>
    </row>
    <row r="225">
      <c r="A225" s="625"/>
      <c r="B225" s="625"/>
      <c r="C225" s="625"/>
    </row>
    <row r="226">
      <c r="A226" s="625"/>
      <c r="B226" s="625"/>
      <c r="C226" s="625"/>
    </row>
    <row r="227">
      <c r="A227" s="625"/>
      <c r="B227" s="625"/>
      <c r="C227" s="625"/>
    </row>
    <row r="228">
      <c r="A228" s="625"/>
      <c r="B228" s="625"/>
      <c r="C228" s="625"/>
    </row>
    <row r="229">
      <c r="A229" s="625"/>
      <c r="B229" s="625"/>
      <c r="C229" s="625"/>
    </row>
    <row r="230">
      <c r="A230" s="625"/>
      <c r="B230" s="625"/>
      <c r="C230" s="625"/>
    </row>
    <row r="231">
      <c r="A231" s="625"/>
      <c r="B231" s="625"/>
      <c r="C231" s="625"/>
    </row>
    <row r="232">
      <c r="A232" s="625"/>
      <c r="B232" s="625"/>
      <c r="C232" s="625"/>
    </row>
    <row r="233">
      <c r="A233" s="625"/>
      <c r="B233" s="625"/>
      <c r="C233" s="625"/>
    </row>
    <row r="234">
      <c r="A234" s="625"/>
      <c r="B234" s="625"/>
      <c r="C234" s="625"/>
    </row>
    <row r="235">
      <c r="A235" s="625"/>
      <c r="B235" s="625"/>
      <c r="C235" s="625"/>
    </row>
    <row r="236">
      <c r="A236" s="625"/>
      <c r="B236" s="625"/>
      <c r="C236" s="625"/>
    </row>
    <row r="237">
      <c r="A237" s="625"/>
      <c r="B237" s="625"/>
      <c r="C237" s="625"/>
    </row>
    <row r="238">
      <c r="A238" s="625"/>
      <c r="B238" s="625"/>
      <c r="C238" s="625"/>
    </row>
    <row r="239">
      <c r="A239" s="625"/>
      <c r="B239" s="625"/>
      <c r="C239" s="625"/>
    </row>
    <row r="240">
      <c r="A240" s="625"/>
      <c r="B240" s="625"/>
      <c r="C240" s="625"/>
    </row>
    <row r="241">
      <c r="A241" s="625"/>
      <c r="B241" s="625"/>
      <c r="C241" s="625"/>
    </row>
    <row r="242">
      <c r="A242" s="625"/>
      <c r="B242" s="625"/>
      <c r="C242" s="625"/>
    </row>
    <row r="243">
      <c r="A243" s="625"/>
      <c r="B243" s="625"/>
      <c r="C243" s="625"/>
    </row>
    <row r="244">
      <c r="A244" s="625"/>
      <c r="B244" s="625"/>
      <c r="C244" s="625"/>
    </row>
    <row r="245">
      <c r="A245" s="625"/>
      <c r="B245" s="625"/>
      <c r="C245" s="625"/>
    </row>
    <row r="246">
      <c r="A246" s="625"/>
      <c r="B246" s="625"/>
      <c r="C246" s="625"/>
    </row>
    <row r="247">
      <c r="A247" s="625"/>
      <c r="B247" s="625"/>
      <c r="C247" s="625"/>
    </row>
    <row r="248">
      <c r="A248" s="625"/>
      <c r="B248" s="625"/>
      <c r="C248" s="625"/>
    </row>
    <row r="249">
      <c r="A249" s="625"/>
      <c r="B249" s="625"/>
      <c r="C249" s="625"/>
    </row>
    <row r="250">
      <c r="A250" s="625"/>
      <c r="B250" s="625"/>
      <c r="C250" s="625"/>
    </row>
    <row r="251">
      <c r="A251" s="625"/>
      <c r="B251" s="625"/>
      <c r="C251" s="625"/>
    </row>
    <row r="252">
      <c r="A252" s="625"/>
      <c r="B252" s="625"/>
      <c r="C252" s="625"/>
    </row>
    <row r="253">
      <c r="A253" s="625"/>
      <c r="B253" s="625"/>
      <c r="C253" s="625"/>
    </row>
    <row r="254">
      <c r="A254" s="625"/>
      <c r="B254" s="625"/>
      <c r="C254" s="625"/>
    </row>
    <row r="255">
      <c r="A255" s="625"/>
      <c r="B255" s="625"/>
      <c r="C255" s="625"/>
    </row>
    <row r="256">
      <c r="A256" s="625"/>
      <c r="B256" s="625"/>
      <c r="C256" s="625"/>
    </row>
    <row r="257">
      <c r="A257" s="625"/>
      <c r="B257" s="625"/>
      <c r="C257" s="625"/>
    </row>
    <row r="258">
      <c r="A258" s="625"/>
      <c r="B258" s="625"/>
      <c r="C258" s="625"/>
    </row>
    <row r="259">
      <c r="A259" s="625"/>
      <c r="B259" s="625"/>
      <c r="C259" s="625"/>
    </row>
    <row r="260">
      <c r="A260" s="625"/>
      <c r="B260" s="625"/>
      <c r="C260" s="625"/>
    </row>
    <row r="261">
      <c r="A261" s="625"/>
      <c r="B261" s="625"/>
      <c r="C261" s="625"/>
    </row>
    <row r="262">
      <c r="A262" s="625"/>
      <c r="B262" s="625"/>
      <c r="C262" s="625"/>
    </row>
    <row r="263">
      <c r="A263" s="625"/>
      <c r="B263" s="625"/>
      <c r="C263" s="625"/>
    </row>
    <row r="264">
      <c r="A264" s="625"/>
      <c r="B264" s="625"/>
      <c r="C264" s="625"/>
    </row>
    <row r="265">
      <c r="A265" s="625"/>
      <c r="B265" s="625"/>
      <c r="C265" s="625"/>
    </row>
    <row r="266">
      <c r="A266" s="625"/>
      <c r="B266" s="625"/>
      <c r="C266" s="625"/>
    </row>
    <row r="267">
      <c r="A267" s="625"/>
      <c r="B267" s="625"/>
      <c r="C267" s="625"/>
    </row>
    <row r="268">
      <c r="A268" s="625"/>
      <c r="B268" s="625"/>
      <c r="C268" s="625"/>
    </row>
    <row r="269">
      <c r="A269" s="625"/>
      <c r="B269" s="625"/>
      <c r="C269" s="625"/>
    </row>
    <row r="270">
      <c r="A270" s="625"/>
      <c r="B270" s="625"/>
      <c r="C270" s="625"/>
    </row>
    <row r="271">
      <c r="A271" s="625"/>
      <c r="B271" s="625"/>
      <c r="C271" s="625"/>
    </row>
    <row r="272">
      <c r="A272" s="625"/>
      <c r="B272" s="625"/>
      <c r="C272" s="625"/>
    </row>
    <row r="273">
      <c r="A273" s="625"/>
      <c r="B273" s="625"/>
      <c r="C273" s="625"/>
    </row>
    <row r="274">
      <c r="A274" s="625"/>
      <c r="B274" s="625"/>
      <c r="C274" s="625"/>
    </row>
    <row r="275">
      <c r="A275" s="625"/>
      <c r="B275" s="625"/>
      <c r="C275" s="625"/>
    </row>
    <row r="276">
      <c r="A276" s="625"/>
      <c r="B276" s="625"/>
      <c r="C276" s="625"/>
    </row>
    <row r="277">
      <c r="A277" s="625"/>
      <c r="B277" s="625"/>
      <c r="C277" s="625"/>
    </row>
    <row r="278">
      <c r="A278" s="625"/>
      <c r="B278" s="625"/>
      <c r="C278" s="625"/>
    </row>
    <row r="279">
      <c r="A279" s="625"/>
      <c r="B279" s="625"/>
      <c r="C279" s="625"/>
    </row>
    <row r="280">
      <c r="A280" s="625"/>
      <c r="B280" s="625"/>
      <c r="C280" s="625"/>
    </row>
    <row r="281">
      <c r="A281" s="625"/>
      <c r="B281" s="625"/>
      <c r="C281" s="625"/>
    </row>
    <row r="282">
      <c r="A282" s="625"/>
      <c r="B282" s="625"/>
      <c r="C282" s="625"/>
    </row>
    <row r="283">
      <c r="A283" s="625"/>
      <c r="B283" s="625"/>
      <c r="C283" s="625"/>
    </row>
    <row r="284">
      <c r="A284" s="625"/>
      <c r="B284" s="625"/>
      <c r="C284" s="625"/>
    </row>
    <row r="285">
      <c r="A285" s="625"/>
      <c r="B285" s="625"/>
      <c r="C285" s="625"/>
    </row>
    <row r="286">
      <c r="A286" s="625"/>
      <c r="B286" s="625"/>
      <c r="C286" s="625"/>
    </row>
    <row r="287">
      <c r="A287" s="625"/>
      <c r="B287" s="625"/>
      <c r="C287" s="625"/>
    </row>
    <row r="288">
      <c r="A288" s="625"/>
      <c r="B288" s="625"/>
      <c r="C288" s="625"/>
    </row>
    <row r="289">
      <c r="A289" s="625"/>
      <c r="B289" s="625"/>
      <c r="C289" s="625"/>
    </row>
    <row r="290">
      <c r="A290" s="625"/>
      <c r="B290" s="625"/>
      <c r="C290" s="625"/>
    </row>
    <row r="291">
      <c r="A291" s="625"/>
      <c r="B291" s="625"/>
      <c r="C291" s="625"/>
    </row>
    <row r="292">
      <c r="A292" s="625"/>
      <c r="B292" s="625"/>
      <c r="C292" s="625"/>
    </row>
    <row r="293">
      <c r="A293" s="625"/>
      <c r="B293" s="625"/>
      <c r="C293" s="625"/>
    </row>
    <row r="294">
      <c r="A294" s="625"/>
      <c r="B294" s="625"/>
      <c r="C294" s="625"/>
    </row>
    <row r="295">
      <c r="A295" s="625"/>
      <c r="B295" s="625"/>
      <c r="C295" s="625"/>
    </row>
    <row r="296">
      <c r="A296" s="625"/>
      <c r="B296" s="625"/>
      <c r="C296" s="625"/>
    </row>
    <row r="297">
      <c r="A297" s="625"/>
      <c r="B297" s="625"/>
      <c r="C297" s="625"/>
    </row>
    <row r="298">
      <c r="A298" s="625"/>
      <c r="B298" s="625"/>
      <c r="C298" s="625"/>
    </row>
    <row r="299">
      <c r="A299" s="625"/>
      <c r="B299" s="625"/>
      <c r="C299" s="625"/>
    </row>
    <row r="300">
      <c r="A300" s="625"/>
      <c r="B300" s="625"/>
      <c r="C300" s="625"/>
    </row>
    <row r="301">
      <c r="A301" s="625"/>
      <c r="B301" s="625"/>
      <c r="C301" s="625"/>
    </row>
    <row r="302">
      <c r="A302" s="625"/>
      <c r="B302" s="625"/>
      <c r="C302" s="625"/>
    </row>
    <row r="303">
      <c r="A303" s="625"/>
      <c r="B303" s="625"/>
      <c r="C303" s="625"/>
    </row>
    <row r="304">
      <c r="A304" s="625"/>
      <c r="B304" s="625"/>
      <c r="C304" s="625"/>
    </row>
    <row r="305">
      <c r="A305" s="625"/>
      <c r="B305" s="625"/>
      <c r="C305" s="625"/>
    </row>
    <row r="306">
      <c r="A306" s="625"/>
      <c r="B306" s="625"/>
      <c r="C306" s="625"/>
    </row>
    <row r="307">
      <c r="A307" s="625"/>
      <c r="B307" s="625"/>
      <c r="C307" s="625"/>
    </row>
    <row r="308">
      <c r="A308" s="625"/>
      <c r="B308" s="625"/>
      <c r="C308" s="625"/>
    </row>
    <row r="309">
      <c r="A309" s="625"/>
      <c r="B309" s="625"/>
      <c r="C309" s="625"/>
    </row>
    <row r="310">
      <c r="A310" s="625"/>
      <c r="B310" s="625"/>
      <c r="C310" s="625"/>
    </row>
    <row r="311">
      <c r="A311" s="625"/>
      <c r="B311" s="625"/>
      <c r="C311" s="625"/>
    </row>
    <row r="312">
      <c r="A312" s="625"/>
      <c r="B312" s="625"/>
      <c r="C312" s="625"/>
    </row>
    <row r="313">
      <c r="A313" s="625"/>
      <c r="B313" s="625"/>
      <c r="C313" s="625"/>
    </row>
    <row r="314">
      <c r="A314" s="625"/>
      <c r="B314" s="625"/>
      <c r="C314" s="625"/>
    </row>
    <row r="315">
      <c r="A315" s="625"/>
      <c r="B315" s="625"/>
      <c r="C315" s="625"/>
    </row>
    <row r="316">
      <c r="A316" s="625"/>
      <c r="B316" s="625"/>
      <c r="C316" s="625"/>
    </row>
    <row r="317">
      <c r="A317" s="625"/>
      <c r="B317" s="625"/>
      <c r="C317" s="625"/>
    </row>
    <row r="318">
      <c r="A318" s="625"/>
      <c r="B318" s="625"/>
      <c r="C318" s="625"/>
    </row>
    <row r="319">
      <c r="A319" s="625"/>
      <c r="B319" s="625"/>
      <c r="C319" s="625"/>
    </row>
    <row r="320">
      <c r="A320" s="625"/>
      <c r="B320" s="625"/>
      <c r="C320" s="625"/>
    </row>
    <row r="321">
      <c r="A321" s="625"/>
      <c r="B321" s="625"/>
      <c r="C321" s="625"/>
    </row>
    <row r="322">
      <c r="A322" s="625"/>
      <c r="B322" s="625"/>
      <c r="C322" s="625"/>
    </row>
    <row r="323">
      <c r="A323" s="625"/>
      <c r="B323" s="625"/>
      <c r="C323" s="625"/>
    </row>
    <row r="324">
      <c r="A324" s="625"/>
      <c r="B324" s="625"/>
      <c r="C324" s="625"/>
    </row>
    <row r="325">
      <c r="A325" s="625"/>
      <c r="B325" s="625"/>
      <c r="C325" s="625"/>
    </row>
    <row r="326">
      <c r="A326" s="625"/>
      <c r="B326" s="625"/>
      <c r="C326" s="625"/>
    </row>
    <row r="327">
      <c r="A327" s="625"/>
      <c r="B327" s="625"/>
      <c r="C327" s="625"/>
    </row>
    <row r="328">
      <c r="A328" s="625"/>
      <c r="B328" s="625"/>
      <c r="C328" s="625"/>
    </row>
    <row r="329">
      <c r="A329" s="625"/>
      <c r="B329" s="625"/>
      <c r="C329" s="625"/>
    </row>
    <row r="330">
      <c r="A330" s="625"/>
      <c r="B330" s="625"/>
      <c r="C330" s="625"/>
    </row>
    <row r="331">
      <c r="A331" s="625"/>
      <c r="B331" s="625"/>
      <c r="C331" s="625"/>
    </row>
    <row r="332">
      <c r="A332" s="625"/>
      <c r="B332" s="625"/>
      <c r="C332" s="625"/>
    </row>
    <row r="333">
      <c r="A333" s="625"/>
      <c r="B333" s="625"/>
      <c r="C333" s="625"/>
    </row>
    <row r="334">
      <c r="A334" s="625"/>
      <c r="B334" s="625"/>
      <c r="C334" s="625"/>
    </row>
    <row r="335">
      <c r="A335" s="625"/>
      <c r="B335" s="625"/>
      <c r="C335" s="625"/>
    </row>
    <row r="336">
      <c r="A336" s="625"/>
      <c r="B336" s="625"/>
      <c r="C336" s="625"/>
    </row>
    <row r="337">
      <c r="A337" s="625"/>
      <c r="B337" s="625"/>
      <c r="C337" s="625"/>
    </row>
    <row r="338">
      <c r="A338" s="625"/>
      <c r="B338" s="625"/>
      <c r="C338" s="625"/>
    </row>
    <row r="339">
      <c r="A339" s="625"/>
      <c r="B339" s="625"/>
      <c r="C339" s="625"/>
    </row>
    <row r="340">
      <c r="A340" s="625"/>
      <c r="B340" s="625"/>
      <c r="C340" s="625"/>
    </row>
    <row r="341">
      <c r="A341" s="625"/>
      <c r="B341" s="625"/>
      <c r="C341" s="625"/>
    </row>
    <row r="342">
      <c r="A342" s="625"/>
      <c r="B342" s="625"/>
      <c r="C342" s="625"/>
    </row>
    <row r="343">
      <c r="A343" s="625"/>
      <c r="B343" s="625"/>
      <c r="C343" s="625"/>
    </row>
    <row r="344">
      <c r="A344" s="625"/>
      <c r="B344" s="625"/>
      <c r="C344" s="625"/>
    </row>
    <row r="345">
      <c r="A345" s="625"/>
      <c r="B345" s="625"/>
      <c r="C345" s="625"/>
    </row>
    <row r="346">
      <c r="A346" s="625"/>
      <c r="B346" s="625"/>
      <c r="C346" s="625"/>
    </row>
    <row r="347">
      <c r="A347" s="625"/>
      <c r="B347" s="625"/>
      <c r="C347" s="625"/>
    </row>
    <row r="348">
      <c r="A348" s="625"/>
      <c r="B348" s="625"/>
      <c r="C348" s="625"/>
    </row>
    <row r="349">
      <c r="A349" s="625"/>
      <c r="B349" s="625"/>
      <c r="C349" s="625"/>
    </row>
    <row r="350">
      <c r="A350" s="625"/>
      <c r="B350" s="625"/>
      <c r="C350" s="625"/>
    </row>
    <row r="351">
      <c r="A351" s="625"/>
      <c r="B351" s="625"/>
      <c r="C351" s="625"/>
    </row>
    <row r="352">
      <c r="A352" s="625"/>
      <c r="B352" s="625"/>
      <c r="C352" s="625"/>
    </row>
    <row r="353">
      <c r="A353" s="625"/>
      <c r="B353" s="625"/>
      <c r="C353" s="625"/>
    </row>
    <row r="354">
      <c r="A354" s="625"/>
      <c r="B354" s="625"/>
      <c r="C354" s="625"/>
    </row>
    <row r="355">
      <c r="A355" s="625"/>
      <c r="B355" s="625"/>
      <c r="C355" s="625"/>
    </row>
    <row r="356">
      <c r="A356" s="625"/>
      <c r="B356" s="625"/>
      <c r="C356" s="625"/>
    </row>
    <row r="357">
      <c r="A357" s="625"/>
      <c r="B357" s="625"/>
      <c r="C357" s="625"/>
    </row>
    <row r="358">
      <c r="A358" s="625"/>
      <c r="B358" s="625"/>
      <c r="C358" s="625"/>
    </row>
    <row r="359">
      <c r="A359" s="625"/>
      <c r="B359" s="625"/>
      <c r="C359" s="625"/>
    </row>
    <row r="360">
      <c r="A360" s="625"/>
      <c r="B360" s="625"/>
      <c r="C360" s="625"/>
    </row>
    <row r="361">
      <c r="A361" s="625"/>
      <c r="B361" s="625"/>
      <c r="C361" s="625"/>
    </row>
    <row r="362">
      <c r="A362" s="625"/>
      <c r="B362" s="625"/>
      <c r="C362" s="625"/>
    </row>
    <row r="363">
      <c r="A363" s="625"/>
      <c r="B363" s="625"/>
      <c r="C363" s="625"/>
    </row>
    <row r="364">
      <c r="A364" s="625"/>
      <c r="B364" s="625"/>
      <c r="C364" s="625"/>
    </row>
    <row r="365">
      <c r="A365" s="625"/>
      <c r="B365" s="625"/>
      <c r="C365" s="625"/>
    </row>
    <row r="366">
      <c r="A366" s="625"/>
      <c r="B366" s="625"/>
      <c r="C366" s="625"/>
    </row>
    <row r="367">
      <c r="A367" s="625"/>
      <c r="B367" s="625"/>
      <c r="C367" s="625"/>
    </row>
    <row r="368">
      <c r="A368" s="625"/>
      <c r="B368" s="625"/>
      <c r="C368" s="625"/>
    </row>
    <row r="369">
      <c r="A369" s="625"/>
      <c r="B369" s="625"/>
      <c r="C369" s="625"/>
    </row>
    <row r="370">
      <c r="A370" s="625"/>
      <c r="B370" s="625"/>
      <c r="C370" s="625"/>
    </row>
    <row r="371">
      <c r="A371" s="625"/>
      <c r="B371" s="625"/>
      <c r="C371" s="625"/>
    </row>
    <row r="372">
      <c r="A372" s="625"/>
      <c r="B372" s="625"/>
      <c r="C372" s="625"/>
    </row>
    <row r="373">
      <c r="A373" s="625"/>
      <c r="B373" s="625"/>
      <c r="C373" s="625"/>
    </row>
    <row r="374">
      <c r="A374" s="625"/>
      <c r="B374" s="625"/>
      <c r="C374" s="625"/>
    </row>
    <row r="375">
      <c r="A375" s="625"/>
      <c r="B375" s="625"/>
      <c r="C375" s="625"/>
    </row>
    <row r="376">
      <c r="A376" s="625"/>
      <c r="B376" s="625"/>
      <c r="C376" s="625"/>
    </row>
    <row r="377">
      <c r="A377" s="625"/>
      <c r="B377" s="625"/>
      <c r="C377" s="625"/>
    </row>
    <row r="378">
      <c r="A378" s="625"/>
      <c r="B378" s="625"/>
      <c r="C378" s="625"/>
    </row>
    <row r="379">
      <c r="A379" s="625"/>
      <c r="B379" s="625"/>
      <c r="C379" s="625"/>
    </row>
    <row r="380">
      <c r="A380" s="625"/>
      <c r="B380" s="625"/>
      <c r="C380" s="625"/>
    </row>
    <row r="381">
      <c r="A381" s="625"/>
      <c r="B381" s="625"/>
      <c r="C381" s="625"/>
    </row>
    <row r="382">
      <c r="A382" s="625"/>
      <c r="B382" s="625"/>
      <c r="C382" s="625"/>
    </row>
    <row r="383">
      <c r="A383" s="625"/>
      <c r="B383" s="625"/>
      <c r="C383" s="625"/>
    </row>
    <row r="384">
      <c r="A384" s="625"/>
      <c r="B384" s="625"/>
      <c r="C384" s="625"/>
    </row>
    <row r="385">
      <c r="A385" s="625"/>
      <c r="B385" s="625"/>
      <c r="C385" s="625"/>
    </row>
    <row r="386">
      <c r="A386" s="625"/>
      <c r="B386" s="625"/>
      <c r="C386" s="625"/>
    </row>
    <row r="387">
      <c r="A387" s="625"/>
      <c r="B387" s="625"/>
      <c r="C387" s="625"/>
    </row>
    <row r="388">
      <c r="A388" s="625"/>
      <c r="B388" s="625"/>
      <c r="C388" s="625"/>
    </row>
    <row r="389">
      <c r="A389" s="625"/>
      <c r="B389" s="625"/>
      <c r="C389" s="625"/>
    </row>
    <row r="390">
      <c r="A390" s="625"/>
      <c r="B390" s="625"/>
      <c r="C390" s="625"/>
    </row>
    <row r="391">
      <c r="A391" s="625"/>
      <c r="B391" s="625"/>
      <c r="C391" s="625"/>
    </row>
    <row r="392">
      <c r="A392" s="625"/>
      <c r="B392" s="625"/>
      <c r="C392" s="625"/>
    </row>
    <row r="393">
      <c r="A393" s="625"/>
      <c r="B393" s="625"/>
      <c r="C393" s="625"/>
    </row>
    <row r="394">
      <c r="A394" s="625"/>
      <c r="B394" s="625"/>
      <c r="C394" s="625"/>
    </row>
    <row r="395">
      <c r="A395" s="625"/>
      <c r="B395" s="625"/>
      <c r="C395" s="625"/>
    </row>
    <row r="396">
      <c r="A396" s="625"/>
      <c r="B396" s="625"/>
      <c r="C396" s="625"/>
    </row>
    <row r="397">
      <c r="A397" s="625"/>
      <c r="B397" s="625"/>
      <c r="C397" s="625"/>
    </row>
    <row r="398">
      <c r="A398" s="625"/>
      <c r="B398" s="625"/>
      <c r="C398" s="625"/>
    </row>
    <row r="399">
      <c r="A399" s="625"/>
      <c r="B399" s="625"/>
      <c r="C399" s="625"/>
    </row>
    <row r="400">
      <c r="A400" s="625"/>
      <c r="B400" s="625"/>
      <c r="C400" s="625"/>
    </row>
    <row r="401">
      <c r="A401" s="625"/>
      <c r="B401" s="625"/>
      <c r="C401" s="625"/>
    </row>
    <row r="402">
      <c r="A402" s="625"/>
      <c r="B402" s="625"/>
      <c r="C402" s="625"/>
    </row>
    <row r="403">
      <c r="A403" s="625"/>
      <c r="B403" s="625"/>
      <c r="C403" s="625"/>
    </row>
    <row r="404">
      <c r="A404" s="625"/>
      <c r="B404" s="625"/>
      <c r="C404" s="625"/>
    </row>
    <row r="405">
      <c r="A405" s="625"/>
      <c r="B405" s="625"/>
      <c r="C405" s="625"/>
    </row>
    <row r="406">
      <c r="A406" s="625"/>
      <c r="B406" s="625"/>
      <c r="C406" s="625"/>
    </row>
    <row r="407">
      <c r="A407" s="625"/>
      <c r="B407" s="625"/>
      <c r="C407" s="625"/>
    </row>
    <row r="408">
      <c r="A408" s="625"/>
      <c r="B408" s="625"/>
      <c r="C408" s="625"/>
    </row>
    <row r="409">
      <c r="A409" s="625"/>
      <c r="B409" s="625"/>
      <c r="C409" s="625"/>
    </row>
    <row r="410">
      <c r="A410" s="625"/>
      <c r="B410" s="625"/>
      <c r="C410" s="625"/>
    </row>
    <row r="411">
      <c r="A411" s="625"/>
      <c r="B411" s="625"/>
      <c r="C411" s="625"/>
    </row>
    <row r="412">
      <c r="A412" s="625"/>
      <c r="B412" s="625"/>
      <c r="C412" s="625"/>
    </row>
    <row r="413">
      <c r="A413" s="625"/>
      <c r="B413" s="625"/>
      <c r="C413" s="625"/>
    </row>
    <row r="414">
      <c r="A414" s="625"/>
      <c r="B414" s="625"/>
      <c r="C414" s="625"/>
    </row>
    <row r="415">
      <c r="A415" s="625"/>
      <c r="B415" s="625"/>
      <c r="C415" s="625"/>
    </row>
    <row r="416">
      <c r="A416" s="625"/>
      <c r="B416" s="625"/>
      <c r="C416" s="625"/>
    </row>
    <row r="417">
      <c r="A417" s="625"/>
      <c r="B417" s="625"/>
      <c r="C417" s="625"/>
    </row>
    <row r="418">
      <c r="A418" s="625"/>
      <c r="B418" s="625"/>
      <c r="C418" s="625"/>
    </row>
    <row r="419">
      <c r="A419" s="625"/>
      <c r="B419" s="625"/>
      <c r="C419" s="625"/>
    </row>
    <row r="420">
      <c r="A420" s="625"/>
      <c r="B420" s="625"/>
      <c r="C420" s="625"/>
    </row>
    <row r="421">
      <c r="A421" s="625"/>
      <c r="B421" s="625"/>
      <c r="C421" s="625"/>
    </row>
    <row r="422">
      <c r="A422" s="625"/>
      <c r="B422" s="625"/>
      <c r="C422" s="625"/>
    </row>
    <row r="423">
      <c r="A423" s="625"/>
      <c r="B423" s="625"/>
      <c r="C423" s="625"/>
    </row>
    <row r="424">
      <c r="A424" s="625"/>
      <c r="B424" s="625"/>
      <c r="C424" s="625"/>
    </row>
    <row r="425">
      <c r="A425" s="625"/>
      <c r="B425" s="625"/>
      <c r="C425" s="625"/>
    </row>
    <row r="426">
      <c r="A426" s="625"/>
      <c r="B426" s="625"/>
      <c r="C426" s="625"/>
    </row>
    <row r="427">
      <c r="A427" s="625"/>
      <c r="B427" s="625"/>
      <c r="C427" s="625"/>
    </row>
    <row r="428">
      <c r="A428" s="625"/>
      <c r="B428" s="625"/>
      <c r="C428" s="625"/>
    </row>
    <row r="429">
      <c r="A429" s="625"/>
      <c r="B429" s="625"/>
      <c r="C429" s="625"/>
    </row>
    <row r="430">
      <c r="A430" s="625"/>
      <c r="B430" s="625"/>
      <c r="C430" s="625"/>
    </row>
    <row r="431">
      <c r="A431" s="625"/>
      <c r="B431" s="625"/>
      <c r="C431" s="625"/>
    </row>
    <row r="432">
      <c r="A432" s="625"/>
      <c r="B432" s="625"/>
      <c r="C432" s="625"/>
    </row>
    <row r="433">
      <c r="A433" s="625"/>
      <c r="B433" s="625"/>
      <c r="C433" s="625"/>
    </row>
    <row r="434">
      <c r="A434" s="625"/>
      <c r="B434" s="625"/>
      <c r="C434" s="625"/>
    </row>
    <row r="435">
      <c r="A435" s="625"/>
      <c r="B435" s="625"/>
      <c r="C435" s="625"/>
    </row>
    <row r="436">
      <c r="A436" s="625"/>
      <c r="B436" s="625"/>
      <c r="C436" s="625"/>
    </row>
    <row r="437">
      <c r="A437" s="625"/>
      <c r="B437" s="625"/>
      <c r="C437" s="625"/>
    </row>
    <row r="438">
      <c r="A438" s="625"/>
      <c r="B438" s="625"/>
      <c r="C438" s="625"/>
    </row>
    <row r="439">
      <c r="A439" s="625"/>
      <c r="B439" s="625"/>
      <c r="C439" s="625"/>
    </row>
    <row r="440">
      <c r="A440" s="625"/>
      <c r="B440" s="625"/>
      <c r="C440" s="625"/>
    </row>
    <row r="441">
      <c r="A441" s="625"/>
      <c r="B441" s="625"/>
      <c r="C441" s="625"/>
    </row>
    <row r="442">
      <c r="A442" s="625"/>
      <c r="B442" s="625"/>
      <c r="C442" s="625"/>
    </row>
    <row r="443">
      <c r="A443" s="625"/>
      <c r="B443" s="625"/>
      <c r="C443" s="625"/>
    </row>
    <row r="444">
      <c r="A444" s="625"/>
      <c r="B444" s="625"/>
      <c r="C444" s="625"/>
    </row>
    <row r="445">
      <c r="A445" s="625"/>
      <c r="B445" s="625"/>
      <c r="C445" s="625"/>
    </row>
    <row r="446">
      <c r="A446" s="625"/>
      <c r="B446" s="625"/>
      <c r="C446" s="625"/>
    </row>
    <row r="447">
      <c r="A447" s="625"/>
      <c r="B447" s="625"/>
      <c r="C447" s="625"/>
    </row>
    <row r="448">
      <c r="A448" s="625"/>
      <c r="B448" s="625"/>
      <c r="C448" s="625"/>
    </row>
    <row r="449">
      <c r="A449" s="625"/>
      <c r="B449" s="625"/>
      <c r="C449" s="625"/>
    </row>
    <row r="450">
      <c r="A450" s="625"/>
      <c r="B450" s="625"/>
      <c r="C450" s="625"/>
    </row>
    <row r="451">
      <c r="A451" s="625"/>
      <c r="B451" s="625"/>
      <c r="C451" s="625"/>
    </row>
    <row r="452">
      <c r="A452" s="625"/>
      <c r="B452" s="625"/>
      <c r="C452" s="625"/>
    </row>
    <row r="453">
      <c r="A453" s="625"/>
      <c r="B453" s="625"/>
      <c r="C453" s="625"/>
    </row>
    <row r="454">
      <c r="A454" s="625"/>
      <c r="B454" s="625"/>
      <c r="C454" s="625"/>
    </row>
    <row r="455">
      <c r="A455" s="625"/>
      <c r="B455" s="625"/>
      <c r="C455" s="625"/>
    </row>
    <row r="456">
      <c r="A456" s="625"/>
      <c r="B456" s="625"/>
      <c r="C456" s="625"/>
    </row>
    <row r="457">
      <c r="A457" s="625"/>
      <c r="B457" s="625"/>
      <c r="C457" s="625"/>
    </row>
    <row r="458">
      <c r="A458" s="625"/>
      <c r="B458" s="625"/>
      <c r="C458" s="625"/>
    </row>
    <row r="459">
      <c r="A459" s="625"/>
      <c r="B459" s="625"/>
      <c r="C459" s="625"/>
    </row>
    <row r="460">
      <c r="A460" s="625"/>
      <c r="B460" s="625"/>
      <c r="C460" s="625"/>
    </row>
    <row r="461">
      <c r="A461" s="625"/>
      <c r="B461" s="625"/>
      <c r="C461" s="625"/>
    </row>
    <row r="462">
      <c r="A462" s="625"/>
      <c r="B462" s="625"/>
      <c r="C462" s="625"/>
    </row>
    <row r="463">
      <c r="A463" s="625"/>
      <c r="B463" s="625"/>
      <c r="C463" s="625"/>
    </row>
    <row r="464">
      <c r="A464" s="625"/>
      <c r="B464" s="625"/>
      <c r="C464" s="625"/>
    </row>
    <row r="465">
      <c r="A465" s="625"/>
      <c r="B465" s="625"/>
      <c r="C465" s="625"/>
    </row>
    <row r="466">
      <c r="A466" s="625"/>
      <c r="B466" s="625"/>
      <c r="C466" s="625"/>
    </row>
    <row r="467">
      <c r="A467" s="625"/>
      <c r="B467" s="625"/>
      <c r="C467" s="625"/>
    </row>
    <row r="468">
      <c r="A468" s="625"/>
      <c r="B468" s="625"/>
      <c r="C468" s="625"/>
    </row>
    <row r="469">
      <c r="A469" s="625"/>
      <c r="B469" s="625"/>
      <c r="C469" s="625"/>
    </row>
    <row r="470">
      <c r="A470" s="625"/>
      <c r="B470" s="625"/>
      <c r="C470" s="625"/>
    </row>
    <row r="471">
      <c r="A471" s="625"/>
      <c r="B471" s="625"/>
      <c r="C471" s="625"/>
    </row>
    <row r="472">
      <c r="A472" s="625"/>
      <c r="B472" s="625"/>
      <c r="C472" s="625"/>
    </row>
    <row r="473">
      <c r="A473" s="625"/>
      <c r="B473" s="625"/>
      <c r="C473" s="625"/>
    </row>
    <row r="474">
      <c r="A474" s="625"/>
      <c r="B474" s="625"/>
      <c r="C474" s="625"/>
    </row>
    <row r="475">
      <c r="A475" s="625"/>
      <c r="B475" s="625"/>
      <c r="C475" s="625"/>
    </row>
    <row r="476">
      <c r="A476" s="625"/>
      <c r="B476" s="625"/>
      <c r="C476" s="625"/>
    </row>
    <row r="477">
      <c r="A477" s="625"/>
      <c r="B477" s="625"/>
      <c r="C477" s="625"/>
    </row>
    <row r="478">
      <c r="A478" s="625"/>
      <c r="B478" s="625"/>
      <c r="C478" s="625"/>
    </row>
    <row r="479">
      <c r="A479" s="625"/>
      <c r="B479" s="625"/>
      <c r="C479" s="625"/>
    </row>
    <row r="480">
      <c r="A480" s="625"/>
      <c r="B480" s="625"/>
      <c r="C480" s="625"/>
    </row>
    <row r="481">
      <c r="A481" s="625"/>
      <c r="B481" s="625"/>
      <c r="C481" s="625"/>
    </row>
    <row r="482">
      <c r="A482" s="625"/>
      <c r="B482" s="625"/>
      <c r="C482" s="625"/>
    </row>
    <row r="483">
      <c r="A483" s="625"/>
      <c r="B483" s="625"/>
      <c r="C483" s="625"/>
    </row>
    <row r="484">
      <c r="A484" s="625"/>
      <c r="B484" s="625"/>
      <c r="C484" s="625"/>
    </row>
    <row r="485">
      <c r="A485" s="625"/>
      <c r="B485" s="625"/>
      <c r="C485" s="625"/>
    </row>
    <row r="486">
      <c r="A486" s="625"/>
      <c r="B486" s="625"/>
      <c r="C486" s="625"/>
    </row>
    <row r="487">
      <c r="A487" s="625"/>
      <c r="B487" s="625"/>
      <c r="C487" s="625"/>
    </row>
    <row r="488">
      <c r="A488" s="625"/>
      <c r="B488" s="625"/>
      <c r="C488" s="625"/>
    </row>
    <row r="489">
      <c r="A489" s="625"/>
      <c r="B489" s="625"/>
      <c r="C489" s="625"/>
    </row>
    <row r="490">
      <c r="A490" s="625"/>
      <c r="B490" s="625"/>
      <c r="C490" s="625"/>
    </row>
    <row r="491">
      <c r="A491" s="625"/>
      <c r="B491" s="625"/>
      <c r="C491" s="625"/>
    </row>
    <row r="492">
      <c r="A492" s="625"/>
      <c r="B492" s="625"/>
      <c r="C492" s="625"/>
    </row>
    <row r="493">
      <c r="A493" s="625"/>
      <c r="B493" s="625"/>
      <c r="C493" s="625"/>
    </row>
    <row r="494">
      <c r="A494" s="625"/>
      <c r="B494" s="625"/>
      <c r="C494" s="625"/>
    </row>
    <row r="495">
      <c r="A495" s="625"/>
      <c r="B495" s="625"/>
      <c r="C495" s="625"/>
    </row>
    <row r="496">
      <c r="A496" s="625"/>
      <c r="B496" s="625"/>
      <c r="C496" s="625"/>
    </row>
    <row r="497">
      <c r="A497" s="625"/>
      <c r="B497" s="625"/>
      <c r="C497" s="625"/>
    </row>
    <row r="498">
      <c r="A498" s="625"/>
      <c r="B498" s="625"/>
      <c r="C498" s="625"/>
    </row>
    <row r="499">
      <c r="A499" s="625"/>
      <c r="B499" s="625"/>
      <c r="C499" s="625"/>
    </row>
    <row r="500">
      <c r="A500" s="625"/>
      <c r="B500" s="625"/>
      <c r="C500" s="625"/>
    </row>
    <row r="501">
      <c r="A501" s="625"/>
      <c r="B501" s="625"/>
      <c r="C501" s="625"/>
    </row>
    <row r="502">
      <c r="A502" s="625"/>
      <c r="B502" s="625"/>
      <c r="C502" s="625"/>
    </row>
    <row r="503">
      <c r="A503" s="625"/>
      <c r="B503" s="625"/>
      <c r="C503" s="625"/>
    </row>
    <row r="504">
      <c r="A504" s="625"/>
      <c r="B504" s="625"/>
      <c r="C504" s="625"/>
    </row>
    <row r="505">
      <c r="A505" s="625"/>
      <c r="B505" s="625"/>
      <c r="C505" s="625"/>
    </row>
    <row r="506">
      <c r="A506" s="625"/>
      <c r="B506" s="625"/>
      <c r="C506" s="625"/>
    </row>
    <row r="507">
      <c r="A507" s="625"/>
      <c r="B507" s="625"/>
      <c r="C507" s="625"/>
    </row>
    <row r="508">
      <c r="A508" s="625"/>
      <c r="B508" s="625"/>
      <c r="C508" s="625"/>
    </row>
    <row r="509">
      <c r="A509" s="625"/>
      <c r="B509" s="625"/>
      <c r="C509" s="625"/>
    </row>
    <row r="510">
      <c r="A510" s="625"/>
      <c r="B510" s="625"/>
      <c r="C510" s="625"/>
    </row>
    <row r="511">
      <c r="A511" s="625"/>
      <c r="B511" s="625"/>
      <c r="C511" s="625"/>
    </row>
    <row r="512">
      <c r="A512" s="625"/>
      <c r="B512" s="625"/>
      <c r="C512" s="625"/>
    </row>
    <row r="513">
      <c r="A513" s="625"/>
      <c r="B513" s="625"/>
      <c r="C513" s="625"/>
    </row>
    <row r="514">
      <c r="A514" s="625"/>
      <c r="B514" s="625"/>
      <c r="C514" s="625"/>
    </row>
    <row r="515">
      <c r="A515" s="625"/>
      <c r="B515" s="625"/>
      <c r="C515" s="625"/>
    </row>
    <row r="516">
      <c r="A516" s="625"/>
      <c r="B516" s="625"/>
      <c r="C516" s="625"/>
    </row>
    <row r="517">
      <c r="A517" s="625"/>
      <c r="B517" s="625"/>
      <c r="C517" s="625"/>
    </row>
    <row r="518">
      <c r="A518" s="625"/>
      <c r="B518" s="625"/>
      <c r="C518" s="625"/>
    </row>
    <row r="519">
      <c r="A519" s="625"/>
      <c r="B519" s="625"/>
      <c r="C519" s="625"/>
    </row>
    <row r="520">
      <c r="A520" s="625"/>
      <c r="B520" s="625"/>
      <c r="C520" s="625"/>
    </row>
    <row r="521">
      <c r="A521" s="625"/>
      <c r="B521" s="625"/>
      <c r="C521" s="625"/>
    </row>
    <row r="522">
      <c r="A522" s="625"/>
      <c r="B522" s="625"/>
      <c r="C522" s="625"/>
    </row>
    <row r="523">
      <c r="A523" s="625"/>
      <c r="B523" s="625"/>
      <c r="C523" s="625"/>
    </row>
    <row r="524">
      <c r="A524" s="625"/>
      <c r="B524" s="625"/>
      <c r="C524" s="625"/>
    </row>
    <row r="525">
      <c r="A525" s="625"/>
      <c r="B525" s="625"/>
      <c r="C525" s="625"/>
    </row>
    <row r="526">
      <c r="A526" s="625"/>
      <c r="B526" s="625"/>
      <c r="C526" s="625"/>
    </row>
    <row r="527">
      <c r="A527" s="625"/>
      <c r="B527" s="625"/>
      <c r="C527" s="625"/>
    </row>
    <row r="528">
      <c r="A528" s="625"/>
      <c r="B528" s="625"/>
      <c r="C528" s="625"/>
    </row>
    <row r="529">
      <c r="A529" s="625"/>
      <c r="B529" s="625"/>
      <c r="C529" s="625"/>
    </row>
    <row r="530">
      <c r="A530" s="625"/>
      <c r="B530" s="625"/>
      <c r="C530" s="625"/>
    </row>
    <row r="531">
      <c r="A531" s="625"/>
      <c r="B531" s="625"/>
      <c r="C531" s="625"/>
    </row>
    <row r="532">
      <c r="A532" s="625"/>
      <c r="B532" s="625"/>
      <c r="C532" s="625"/>
    </row>
    <row r="533">
      <c r="A533" s="625"/>
      <c r="B533" s="625"/>
      <c r="C533" s="625"/>
    </row>
    <row r="534">
      <c r="A534" s="625"/>
      <c r="B534" s="625"/>
      <c r="C534" s="625"/>
    </row>
    <row r="535">
      <c r="A535" s="625"/>
      <c r="B535" s="625"/>
      <c r="C535" s="625"/>
    </row>
    <row r="536">
      <c r="A536" s="625"/>
      <c r="B536" s="625"/>
      <c r="C536" s="625"/>
    </row>
    <row r="537">
      <c r="A537" s="625"/>
      <c r="B537" s="625"/>
      <c r="C537" s="625"/>
    </row>
    <row r="538">
      <c r="A538" s="625"/>
      <c r="B538" s="625"/>
      <c r="C538" s="625"/>
    </row>
    <row r="539">
      <c r="A539" s="625"/>
      <c r="B539" s="625"/>
      <c r="C539" s="625"/>
    </row>
    <row r="540">
      <c r="A540" s="625"/>
      <c r="B540" s="625"/>
      <c r="C540" s="625"/>
    </row>
    <row r="541">
      <c r="A541" s="625"/>
      <c r="B541" s="625"/>
      <c r="C541" s="625"/>
    </row>
    <row r="542">
      <c r="A542" s="625"/>
      <c r="B542" s="625"/>
      <c r="C542" s="625"/>
    </row>
    <row r="543">
      <c r="A543" s="625"/>
      <c r="B543" s="625"/>
      <c r="C543" s="625"/>
    </row>
    <row r="544">
      <c r="A544" s="625"/>
      <c r="B544" s="625"/>
      <c r="C544" s="625"/>
    </row>
    <row r="545">
      <c r="A545" s="625"/>
      <c r="B545" s="625"/>
      <c r="C545" s="625"/>
    </row>
    <row r="546">
      <c r="A546" s="625"/>
      <c r="B546" s="625"/>
      <c r="C546" s="625"/>
    </row>
    <row r="547">
      <c r="A547" s="625"/>
      <c r="B547" s="625"/>
      <c r="C547" s="625"/>
    </row>
    <row r="548">
      <c r="A548" s="625"/>
      <c r="B548" s="625"/>
      <c r="C548" s="625"/>
    </row>
    <row r="549">
      <c r="A549" s="625"/>
      <c r="B549" s="625"/>
      <c r="C549" s="625"/>
    </row>
    <row r="550">
      <c r="A550" s="625"/>
      <c r="B550" s="625"/>
      <c r="C550" s="625"/>
    </row>
    <row r="551">
      <c r="A551" s="625"/>
      <c r="B551" s="625"/>
      <c r="C551" s="625"/>
    </row>
    <row r="552">
      <c r="A552" s="625"/>
      <c r="B552" s="625"/>
      <c r="C552" s="625"/>
    </row>
    <row r="553">
      <c r="A553" s="625"/>
      <c r="B553" s="625"/>
      <c r="C553" s="625"/>
    </row>
    <row r="554">
      <c r="A554" s="625"/>
      <c r="B554" s="625"/>
      <c r="C554" s="625"/>
    </row>
    <row r="555">
      <c r="A555" s="625"/>
      <c r="B555" s="625"/>
      <c r="C555" s="625"/>
    </row>
    <row r="556">
      <c r="A556" s="625"/>
      <c r="B556" s="625"/>
      <c r="C556" s="625"/>
    </row>
    <row r="557">
      <c r="A557" s="625"/>
      <c r="B557" s="625"/>
      <c r="C557" s="625"/>
    </row>
    <row r="558">
      <c r="A558" s="625"/>
      <c r="B558" s="625"/>
      <c r="C558" s="625"/>
    </row>
    <row r="559">
      <c r="A559" s="625"/>
      <c r="B559" s="625"/>
      <c r="C559" s="625"/>
    </row>
    <row r="560">
      <c r="A560" s="625"/>
      <c r="B560" s="625"/>
      <c r="C560" s="625"/>
    </row>
    <row r="561">
      <c r="A561" s="625"/>
      <c r="B561" s="625"/>
      <c r="C561" s="625"/>
    </row>
    <row r="562">
      <c r="A562" s="625"/>
      <c r="B562" s="625"/>
      <c r="C562" s="625"/>
    </row>
    <row r="563">
      <c r="A563" s="625"/>
      <c r="B563" s="625"/>
      <c r="C563" s="625"/>
    </row>
    <row r="564">
      <c r="A564" s="625"/>
      <c r="B564" s="625"/>
      <c r="C564" s="625"/>
    </row>
    <row r="565">
      <c r="A565" s="625"/>
      <c r="B565" s="625"/>
      <c r="C565" s="625"/>
    </row>
    <row r="566">
      <c r="A566" s="625"/>
      <c r="B566" s="625"/>
      <c r="C566" s="625"/>
    </row>
    <row r="567">
      <c r="A567" s="625"/>
      <c r="B567" s="625"/>
      <c r="C567" s="625"/>
    </row>
    <row r="568">
      <c r="A568" s="625"/>
      <c r="B568" s="625"/>
      <c r="C568" s="625"/>
    </row>
    <row r="569">
      <c r="A569" s="625"/>
      <c r="B569" s="625"/>
      <c r="C569" s="625"/>
    </row>
    <row r="570">
      <c r="A570" s="625"/>
      <c r="B570" s="625"/>
      <c r="C570" s="625"/>
    </row>
    <row r="571">
      <c r="A571" s="625"/>
      <c r="B571" s="625"/>
      <c r="C571" s="625"/>
    </row>
    <row r="572">
      <c r="A572" s="625"/>
      <c r="B572" s="625"/>
      <c r="C572" s="625"/>
    </row>
    <row r="573">
      <c r="A573" s="625"/>
      <c r="B573" s="625"/>
      <c r="C573" s="625"/>
    </row>
    <row r="574">
      <c r="A574" s="625"/>
      <c r="B574" s="625"/>
      <c r="C574" s="625"/>
    </row>
    <row r="575">
      <c r="A575" s="625"/>
      <c r="B575" s="625"/>
      <c r="C575" s="625"/>
    </row>
    <row r="576">
      <c r="A576" s="625"/>
      <c r="B576" s="625"/>
      <c r="C576" s="625"/>
    </row>
    <row r="577">
      <c r="A577" s="625"/>
      <c r="B577" s="625"/>
      <c r="C577" s="625"/>
    </row>
    <row r="578">
      <c r="A578" s="625"/>
      <c r="B578" s="625"/>
      <c r="C578" s="625"/>
    </row>
    <row r="579">
      <c r="A579" s="625"/>
      <c r="B579" s="625"/>
      <c r="C579" s="625"/>
    </row>
    <row r="580">
      <c r="A580" s="625"/>
      <c r="B580" s="625"/>
      <c r="C580" s="625"/>
    </row>
    <row r="581">
      <c r="A581" s="625"/>
      <c r="B581" s="625"/>
      <c r="C581" s="625"/>
    </row>
    <row r="582">
      <c r="A582" s="625"/>
      <c r="B582" s="625"/>
      <c r="C582" s="625"/>
    </row>
    <row r="583">
      <c r="A583" s="625"/>
      <c r="B583" s="625"/>
      <c r="C583" s="625"/>
    </row>
    <row r="584">
      <c r="A584" s="625"/>
      <c r="B584" s="625"/>
      <c r="C584" s="625"/>
    </row>
    <row r="585">
      <c r="A585" s="625"/>
      <c r="B585" s="625"/>
      <c r="C585" s="625"/>
    </row>
    <row r="586">
      <c r="A586" s="625"/>
      <c r="B586" s="625"/>
      <c r="C586" s="625"/>
    </row>
    <row r="587">
      <c r="A587" s="625"/>
      <c r="B587" s="625"/>
      <c r="C587" s="625"/>
    </row>
    <row r="588">
      <c r="A588" s="625"/>
      <c r="B588" s="625"/>
      <c r="C588" s="625"/>
    </row>
    <row r="589">
      <c r="A589" s="625"/>
      <c r="B589" s="625"/>
      <c r="C589" s="625"/>
    </row>
    <row r="590">
      <c r="A590" s="625"/>
      <c r="B590" s="625"/>
      <c r="C590" s="625"/>
    </row>
    <row r="591">
      <c r="A591" s="625"/>
      <c r="B591" s="625"/>
      <c r="C591" s="625"/>
    </row>
    <row r="592">
      <c r="A592" s="625"/>
      <c r="B592" s="625"/>
      <c r="C592" s="625"/>
    </row>
    <row r="593">
      <c r="A593" s="625"/>
      <c r="B593" s="625"/>
      <c r="C593" s="625"/>
    </row>
    <row r="594">
      <c r="A594" s="625"/>
      <c r="B594" s="625"/>
      <c r="C594" s="625"/>
    </row>
    <row r="595">
      <c r="A595" s="625"/>
      <c r="B595" s="625"/>
      <c r="C595" s="625"/>
    </row>
    <row r="596">
      <c r="A596" s="625"/>
      <c r="B596" s="625"/>
      <c r="C596" s="625"/>
    </row>
    <row r="597">
      <c r="A597" s="625"/>
      <c r="B597" s="625"/>
      <c r="C597" s="625"/>
    </row>
    <row r="598">
      <c r="A598" s="625"/>
      <c r="B598" s="625"/>
      <c r="C598" s="625"/>
    </row>
    <row r="599">
      <c r="A599" s="625"/>
      <c r="B599" s="625"/>
      <c r="C599" s="625"/>
    </row>
    <row r="600">
      <c r="A600" s="625"/>
      <c r="B600" s="625"/>
      <c r="C600" s="625"/>
    </row>
    <row r="601">
      <c r="A601" s="625"/>
      <c r="B601" s="625"/>
      <c r="C601" s="625"/>
    </row>
    <row r="602">
      <c r="A602" s="625"/>
      <c r="B602" s="625"/>
      <c r="C602" s="625"/>
    </row>
    <row r="603">
      <c r="A603" s="625"/>
      <c r="B603" s="625"/>
      <c r="C603" s="625"/>
    </row>
    <row r="604">
      <c r="A604" s="625"/>
      <c r="B604" s="625"/>
      <c r="C604" s="625"/>
    </row>
    <row r="605">
      <c r="A605" s="625"/>
      <c r="B605" s="625"/>
      <c r="C605" s="625"/>
    </row>
    <row r="606">
      <c r="A606" s="625"/>
      <c r="B606" s="625"/>
      <c r="C606" s="625"/>
    </row>
    <row r="607">
      <c r="A607" s="625"/>
      <c r="B607" s="625"/>
      <c r="C607" s="625"/>
    </row>
    <row r="608">
      <c r="A608" s="625"/>
      <c r="B608" s="625"/>
      <c r="C608" s="625"/>
    </row>
    <row r="609">
      <c r="A609" s="625"/>
      <c r="B609" s="625"/>
      <c r="C609" s="625"/>
    </row>
    <row r="610">
      <c r="A610" s="625"/>
      <c r="B610" s="625"/>
      <c r="C610" s="625"/>
    </row>
    <row r="611">
      <c r="A611" s="625"/>
      <c r="B611" s="625"/>
      <c r="C611" s="625"/>
    </row>
    <row r="612">
      <c r="A612" s="625"/>
      <c r="B612" s="625"/>
      <c r="C612" s="625"/>
    </row>
    <row r="613">
      <c r="A613" s="625"/>
      <c r="B613" s="625"/>
      <c r="C613" s="625"/>
    </row>
    <row r="614">
      <c r="A614" s="625"/>
      <c r="B614" s="625"/>
      <c r="C614" s="625"/>
    </row>
    <row r="615">
      <c r="A615" s="625"/>
      <c r="B615" s="625"/>
      <c r="C615" s="625"/>
    </row>
    <row r="616">
      <c r="A616" s="625"/>
      <c r="B616" s="625"/>
      <c r="C616" s="625"/>
    </row>
    <row r="617">
      <c r="A617" s="625"/>
      <c r="B617" s="625"/>
      <c r="C617" s="625"/>
    </row>
    <row r="618">
      <c r="A618" s="625"/>
      <c r="B618" s="625"/>
      <c r="C618" s="625"/>
    </row>
    <row r="619">
      <c r="A619" s="625"/>
      <c r="B619" s="625"/>
      <c r="C619" s="625"/>
    </row>
    <row r="620">
      <c r="A620" s="625"/>
      <c r="B620" s="625"/>
      <c r="C620" s="625"/>
    </row>
    <row r="621">
      <c r="A621" s="625"/>
      <c r="B621" s="625"/>
      <c r="C621" s="625"/>
    </row>
    <row r="622">
      <c r="A622" s="625"/>
      <c r="B622" s="625"/>
      <c r="C622" s="625"/>
    </row>
    <row r="623">
      <c r="A623" s="625"/>
      <c r="B623" s="625"/>
      <c r="C623" s="625"/>
    </row>
    <row r="624">
      <c r="A624" s="625"/>
      <c r="B624" s="625"/>
      <c r="C624" s="625"/>
    </row>
    <row r="625">
      <c r="A625" s="625"/>
      <c r="B625" s="625"/>
      <c r="C625" s="625"/>
    </row>
    <row r="626">
      <c r="A626" s="625"/>
      <c r="B626" s="625"/>
      <c r="C626" s="625"/>
    </row>
    <row r="627">
      <c r="A627" s="625"/>
      <c r="B627" s="625"/>
      <c r="C627" s="625"/>
    </row>
    <row r="628">
      <c r="A628" s="625"/>
      <c r="B628" s="625"/>
      <c r="C628" s="625"/>
    </row>
    <row r="629">
      <c r="A629" s="625"/>
      <c r="B629" s="625"/>
      <c r="C629" s="625"/>
    </row>
    <row r="630">
      <c r="A630" s="625"/>
      <c r="B630" s="625"/>
      <c r="C630" s="625"/>
    </row>
    <row r="631">
      <c r="A631" s="625"/>
      <c r="B631" s="625"/>
      <c r="C631" s="625"/>
    </row>
    <row r="632">
      <c r="A632" s="625"/>
      <c r="B632" s="625"/>
      <c r="C632" s="625"/>
    </row>
    <row r="633">
      <c r="A633" s="625"/>
      <c r="B633" s="625"/>
      <c r="C633" s="625"/>
    </row>
    <row r="634">
      <c r="A634" s="625"/>
      <c r="B634" s="625"/>
      <c r="C634" s="625"/>
    </row>
    <row r="635">
      <c r="A635" s="625"/>
      <c r="B635" s="625"/>
      <c r="C635" s="625"/>
    </row>
    <row r="636">
      <c r="A636" s="625"/>
      <c r="B636" s="625"/>
      <c r="C636" s="625"/>
    </row>
    <row r="637">
      <c r="A637" s="625"/>
      <c r="B637" s="625"/>
      <c r="C637" s="625"/>
    </row>
    <row r="638">
      <c r="A638" s="625"/>
      <c r="B638" s="625"/>
      <c r="C638" s="625"/>
    </row>
    <row r="639">
      <c r="A639" s="625"/>
      <c r="B639" s="625"/>
      <c r="C639" s="625"/>
    </row>
    <row r="640">
      <c r="A640" s="625"/>
      <c r="B640" s="625"/>
      <c r="C640" s="625"/>
    </row>
    <row r="641">
      <c r="A641" s="625"/>
      <c r="B641" s="625"/>
      <c r="C641" s="625"/>
    </row>
    <row r="642">
      <c r="A642" s="625"/>
      <c r="B642" s="625"/>
      <c r="C642" s="625"/>
    </row>
    <row r="643">
      <c r="A643" s="625"/>
      <c r="B643" s="625"/>
      <c r="C643" s="625"/>
    </row>
    <row r="644">
      <c r="A644" s="625"/>
      <c r="B644" s="625"/>
      <c r="C644" s="625"/>
    </row>
    <row r="645">
      <c r="A645" s="625"/>
      <c r="B645" s="625"/>
      <c r="C645" s="625"/>
    </row>
    <row r="646">
      <c r="A646" s="625"/>
      <c r="B646" s="625"/>
      <c r="C646" s="625"/>
    </row>
    <row r="647">
      <c r="A647" s="625"/>
      <c r="B647" s="625"/>
      <c r="C647" s="625"/>
    </row>
    <row r="648">
      <c r="A648" s="625"/>
      <c r="B648" s="625"/>
      <c r="C648" s="625"/>
    </row>
    <row r="649">
      <c r="A649" s="625"/>
      <c r="B649" s="625"/>
      <c r="C649" s="625"/>
    </row>
    <row r="650">
      <c r="A650" s="625"/>
      <c r="B650" s="625"/>
      <c r="C650" s="625"/>
    </row>
    <row r="651">
      <c r="A651" s="625"/>
      <c r="B651" s="625"/>
      <c r="C651" s="625"/>
    </row>
    <row r="652">
      <c r="A652" s="625"/>
      <c r="B652" s="625"/>
      <c r="C652" s="625"/>
    </row>
    <row r="653">
      <c r="A653" s="625"/>
      <c r="B653" s="625"/>
      <c r="C653" s="625"/>
    </row>
    <row r="654">
      <c r="A654" s="625"/>
      <c r="B654" s="625"/>
      <c r="C654" s="625"/>
    </row>
    <row r="655">
      <c r="A655" s="625"/>
      <c r="B655" s="625"/>
      <c r="C655" s="625"/>
    </row>
    <row r="656">
      <c r="A656" s="625"/>
      <c r="B656" s="625"/>
      <c r="C656" s="625"/>
    </row>
    <row r="657">
      <c r="A657" s="625"/>
      <c r="B657" s="625"/>
      <c r="C657" s="625"/>
    </row>
    <row r="658">
      <c r="A658" s="625"/>
      <c r="B658" s="625"/>
      <c r="C658" s="625"/>
    </row>
    <row r="659">
      <c r="A659" s="625"/>
      <c r="B659" s="625"/>
      <c r="C659" s="625"/>
    </row>
    <row r="660">
      <c r="A660" s="625"/>
      <c r="B660" s="625"/>
      <c r="C660" s="625"/>
    </row>
    <row r="661">
      <c r="A661" s="625"/>
      <c r="B661" s="625"/>
      <c r="C661" s="625"/>
    </row>
    <row r="662">
      <c r="A662" s="625"/>
      <c r="B662" s="625"/>
      <c r="C662" s="625"/>
    </row>
    <row r="663">
      <c r="A663" s="625"/>
      <c r="B663" s="625"/>
      <c r="C663" s="625"/>
    </row>
    <row r="664">
      <c r="A664" s="625"/>
      <c r="B664" s="625"/>
      <c r="C664" s="625"/>
    </row>
    <row r="665">
      <c r="A665" s="625"/>
      <c r="B665" s="625"/>
      <c r="C665" s="625"/>
    </row>
    <row r="666">
      <c r="A666" s="625"/>
      <c r="B666" s="625"/>
      <c r="C666" s="625"/>
    </row>
    <row r="667">
      <c r="A667" s="625"/>
      <c r="B667" s="625"/>
      <c r="C667" s="625"/>
    </row>
    <row r="668">
      <c r="A668" s="625"/>
      <c r="B668" s="625"/>
      <c r="C668" s="625"/>
    </row>
    <row r="669">
      <c r="A669" s="625"/>
      <c r="B669" s="625"/>
      <c r="C669" s="625"/>
    </row>
    <row r="670">
      <c r="A670" s="625"/>
      <c r="B670" s="625"/>
      <c r="C670" s="625"/>
    </row>
    <row r="671">
      <c r="A671" s="625"/>
      <c r="B671" s="625"/>
      <c r="C671" s="625"/>
    </row>
    <row r="672">
      <c r="A672" s="625"/>
      <c r="B672" s="625"/>
      <c r="C672" s="625"/>
    </row>
    <row r="673">
      <c r="A673" s="625"/>
      <c r="B673" s="625"/>
      <c r="C673" s="625"/>
    </row>
    <row r="674">
      <c r="A674" s="625"/>
      <c r="B674" s="625"/>
      <c r="C674" s="625"/>
    </row>
    <row r="675">
      <c r="A675" s="625"/>
      <c r="B675" s="625"/>
      <c r="C675" s="625"/>
    </row>
    <row r="676">
      <c r="A676" s="625"/>
      <c r="B676" s="625"/>
      <c r="C676" s="625"/>
    </row>
    <row r="677">
      <c r="A677" s="625"/>
      <c r="B677" s="625"/>
      <c r="C677" s="625"/>
    </row>
    <row r="678">
      <c r="A678" s="625"/>
      <c r="B678" s="625"/>
      <c r="C678" s="625"/>
    </row>
    <row r="679">
      <c r="A679" s="625"/>
      <c r="B679" s="625"/>
      <c r="C679" s="625"/>
    </row>
    <row r="680">
      <c r="A680" s="625"/>
      <c r="B680" s="625"/>
      <c r="C680" s="625"/>
    </row>
    <row r="681">
      <c r="A681" s="625"/>
      <c r="B681" s="625"/>
      <c r="C681" s="625"/>
    </row>
    <row r="682">
      <c r="A682" s="625"/>
      <c r="B682" s="625"/>
      <c r="C682" s="625"/>
    </row>
    <row r="683">
      <c r="A683" s="625"/>
      <c r="B683" s="625"/>
      <c r="C683" s="625"/>
    </row>
    <row r="684">
      <c r="A684" s="625"/>
      <c r="B684" s="625"/>
      <c r="C684" s="625"/>
    </row>
    <row r="685">
      <c r="A685" s="625"/>
      <c r="B685" s="625"/>
      <c r="C685" s="625"/>
    </row>
    <row r="686">
      <c r="A686" s="625"/>
      <c r="B686" s="625"/>
      <c r="C686" s="625"/>
    </row>
    <row r="687">
      <c r="A687" s="625"/>
      <c r="B687" s="625"/>
      <c r="C687" s="625"/>
    </row>
    <row r="688">
      <c r="A688" s="625"/>
      <c r="B688" s="625"/>
      <c r="C688" s="625"/>
    </row>
    <row r="689">
      <c r="A689" s="625"/>
      <c r="B689" s="625"/>
      <c r="C689" s="625"/>
    </row>
    <row r="690">
      <c r="A690" s="625"/>
      <c r="B690" s="625"/>
      <c r="C690" s="625"/>
    </row>
    <row r="691">
      <c r="A691" s="625"/>
      <c r="B691" s="625"/>
      <c r="C691" s="625"/>
    </row>
    <row r="692">
      <c r="A692" s="625"/>
      <c r="B692" s="625"/>
      <c r="C692" s="625"/>
    </row>
    <row r="693">
      <c r="A693" s="625"/>
      <c r="B693" s="625"/>
      <c r="C693" s="625"/>
    </row>
    <row r="694">
      <c r="A694" s="625"/>
      <c r="B694" s="625"/>
      <c r="C694" s="625"/>
    </row>
    <row r="695">
      <c r="A695" s="625"/>
      <c r="B695" s="625"/>
      <c r="C695" s="625"/>
    </row>
    <row r="696">
      <c r="A696" s="625"/>
      <c r="B696" s="625"/>
      <c r="C696" s="625"/>
    </row>
    <row r="697">
      <c r="A697" s="625"/>
      <c r="B697" s="625"/>
      <c r="C697" s="625"/>
    </row>
    <row r="698">
      <c r="A698" s="625"/>
      <c r="B698" s="625"/>
      <c r="C698" s="625"/>
    </row>
    <row r="699">
      <c r="A699" s="625"/>
      <c r="B699" s="625"/>
      <c r="C699" s="625"/>
    </row>
    <row r="700">
      <c r="A700" s="625"/>
      <c r="B700" s="625"/>
      <c r="C700" s="625"/>
    </row>
    <row r="701">
      <c r="A701" s="625"/>
      <c r="B701" s="625"/>
      <c r="C701" s="625"/>
    </row>
    <row r="702">
      <c r="A702" s="625"/>
      <c r="B702" s="625"/>
      <c r="C702" s="625"/>
    </row>
    <row r="703">
      <c r="A703" s="625"/>
      <c r="B703" s="625"/>
      <c r="C703" s="625"/>
    </row>
    <row r="704">
      <c r="A704" s="625"/>
      <c r="B704" s="625"/>
      <c r="C704" s="625"/>
    </row>
    <row r="705">
      <c r="A705" s="625"/>
      <c r="B705" s="625"/>
      <c r="C705" s="625"/>
    </row>
    <row r="706">
      <c r="A706" s="625"/>
      <c r="B706" s="625"/>
      <c r="C706" s="625"/>
    </row>
    <row r="707">
      <c r="A707" s="625"/>
      <c r="B707" s="625"/>
      <c r="C707" s="625"/>
    </row>
    <row r="708">
      <c r="A708" s="625"/>
      <c r="B708" s="625"/>
      <c r="C708" s="625"/>
    </row>
    <row r="709">
      <c r="A709" s="625"/>
      <c r="B709" s="625"/>
      <c r="C709" s="625"/>
    </row>
    <row r="710">
      <c r="A710" s="625"/>
      <c r="B710" s="625"/>
      <c r="C710" s="625"/>
    </row>
    <row r="711">
      <c r="A711" s="625"/>
      <c r="B711" s="625"/>
      <c r="C711" s="625"/>
    </row>
    <row r="712">
      <c r="A712" s="625"/>
      <c r="B712" s="625"/>
      <c r="C712" s="625"/>
    </row>
    <row r="713">
      <c r="A713" s="625"/>
      <c r="B713" s="625"/>
      <c r="C713" s="625"/>
    </row>
    <row r="714">
      <c r="A714" s="625"/>
      <c r="B714" s="625"/>
      <c r="C714" s="625"/>
    </row>
    <row r="715">
      <c r="A715" s="625"/>
      <c r="B715" s="625"/>
      <c r="C715" s="625"/>
    </row>
    <row r="716">
      <c r="A716" s="625"/>
      <c r="B716" s="625"/>
      <c r="C716" s="625"/>
    </row>
    <row r="717">
      <c r="A717" s="625"/>
      <c r="B717" s="625"/>
      <c r="C717" s="625"/>
    </row>
    <row r="718">
      <c r="A718" s="625"/>
      <c r="B718" s="625"/>
      <c r="C718" s="625"/>
    </row>
    <row r="719">
      <c r="A719" s="625"/>
      <c r="B719" s="625"/>
      <c r="C719" s="625"/>
    </row>
    <row r="720">
      <c r="A720" s="625"/>
      <c r="B720" s="625"/>
      <c r="C720" s="625"/>
    </row>
    <row r="721">
      <c r="A721" s="625"/>
      <c r="B721" s="625"/>
      <c r="C721" s="625"/>
    </row>
    <row r="722">
      <c r="A722" s="625"/>
      <c r="B722" s="625"/>
      <c r="C722" s="625"/>
    </row>
    <row r="723">
      <c r="A723" s="625"/>
      <c r="B723" s="625"/>
      <c r="C723" s="625"/>
    </row>
    <row r="724">
      <c r="A724" s="625"/>
      <c r="B724" s="625"/>
      <c r="C724" s="625"/>
    </row>
    <row r="725">
      <c r="A725" s="625"/>
      <c r="B725" s="625"/>
      <c r="C725" s="625"/>
    </row>
    <row r="726">
      <c r="A726" s="625"/>
      <c r="B726" s="625"/>
      <c r="C726" s="625"/>
    </row>
    <row r="727">
      <c r="A727" s="625"/>
      <c r="B727" s="625"/>
      <c r="C727" s="625"/>
    </row>
    <row r="728">
      <c r="A728" s="625"/>
      <c r="B728" s="625"/>
      <c r="C728" s="625"/>
    </row>
    <row r="729">
      <c r="A729" s="625"/>
      <c r="B729" s="625"/>
      <c r="C729" s="625"/>
    </row>
    <row r="730">
      <c r="A730" s="625"/>
      <c r="B730" s="625"/>
      <c r="C730" s="625"/>
    </row>
    <row r="731">
      <c r="A731" s="625"/>
      <c r="B731" s="625"/>
      <c r="C731" s="625"/>
    </row>
    <row r="732">
      <c r="A732" s="625"/>
      <c r="B732" s="625"/>
      <c r="C732" s="625"/>
    </row>
    <row r="733">
      <c r="A733" s="625"/>
      <c r="B733" s="625"/>
      <c r="C733" s="625"/>
    </row>
    <row r="734">
      <c r="A734" s="625"/>
      <c r="B734" s="625"/>
      <c r="C734" s="625"/>
    </row>
    <row r="735">
      <c r="A735" s="625"/>
      <c r="B735" s="625"/>
      <c r="C735" s="625"/>
    </row>
    <row r="736">
      <c r="A736" s="625"/>
      <c r="B736" s="625"/>
      <c r="C736" s="625"/>
    </row>
    <row r="737">
      <c r="A737" s="625"/>
      <c r="B737" s="625"/>
      <c r="C737" s="625"/>
    </row>
    <row r="738">
      <c r="A738" s="625"/>
      <c r="B738" s="625"/>
      <c r="C738" s="625"/>
    </row>
    <row r="739">
      <c r="A739" s="625"/>
      <c r="B739" s="625"/>
      <c r="C739" s="625"/>
    </row>
    <row r="740">
      <c r="A740" s="625"/>
      <c r="B740" s="625"/>
      <c r="C740" s="625"/>
    </row>
    <row r="741">
      <c r="A741" s="625"/>
      <c r="B741" s="625"/>
      <c r="C741" s="625"/>
    </row>
    <row r="742">
      <c r="A742" s="625"/>
      <c r="B742" s="625"/>
      <c r="C742" s="625"/>
    </row>
    <row r="743">
      <c r="A743" s="625"/>
      <c r="B743" s="625"/>
      <c r="C743" s="625"/>
    </row>
    <row r="744">
      <c r="A744" s="625"/>
      <c r="B744" s="625"/>
      <c r="C744" s="625"/>
    </row>
    <row r="745">
      <c r="A745" s="625"/>
      <c r="B745" s="625"/>
      <c r="C745" s="625"/>
    </row>
    <row r="746">
      <c r="A746" s="625"/>
      <c r="B746" s="625"/>
      <c r="C746" s="625"/>
    </row>
    <row r="747">
      <c r="A747" s="625"/>
      <c r="B747" s="625"/>
      <c r="C747" s="625"/>
    </row>
    <row r="748">
      <c r="A748" s="625"/>
      <c r="B748" s="625"/>
      <c r="C748" s="625"/>
    </row>
    <row r="749">
      <c r="A749" s="625"/>
      <c r="B749" s="625"/>
      <c r="C749" s="625"/>
    </row>
    <row r="750">
      <c r="A750" s="625"/>
      <c r="B750" s="625"/>
      <c r="C750" s="625"/>
    </row>
    <row r="751">
      <c r="A751" s="625"/>
      <c r="B751" s="625"/>
      <c r="C751" s="625"/>
    </row>
    <row r="752">
      <c r="A752" s="625"/>
      <c r="B752" s="625"/>
      <c r="C752" s="625"/>
    </row>
    <row r="753">
      <c r="A753" s="625"/>
      <c r="B753" s="625"/>
      <c r="C753" s="625"/>
    </row>
    <row r="754">
      <c r="A754" s="625"/>
      <c r="B754" s="625"/>
      <c r="C754" s="625"/>
    </row>
    <row r="755">
      <c r="A755" s="625"/>
      <c r="B755" s="625"/>
      <c r="C755" s="625"/>
    </row>
    <row r="756">
      <c r="A756" s="625"/>
      <c r="B756" s="625"/>
      <c r="C756" s="625"/>
    </row>
    <row r="757">
      <c r="A757" s="625"/>
      <c r="B757" s="625"/>
      <c r="C757" s="625"/>
    </row>
    <row r="758">
      <c r="A758" s="625"/>
      <c r="B758" s="625"/>
      <c r="C758" s="625"/>
    </row>
    <row r="759">
      <c r="A759" s="625"/>
      <c r="B759" s="625"/>
      <c r="C759" s="625"/>
    </row>
    <row r="760">
      <c r="A760" s="625"/>
      <c r="B760" s="625"/>
      <c r="C760" s="625"/>
    </row>
    <row r="761">
      <c r="A761" s="625"/>
      <c r="B761" s="625"/>
      <c r="C761" s="625"/>
    </row>
    <row r="762">
      <c r="A762" s="625"/>
      <c r="B762" s="625"/>
      <c r="C762" s="625"/>
    </row>
    <row r="763">
      <c r="A763" s="625"/>
      <c r="B763" s="625"/>
      <c r="C763" s="625"/>
    </row>
    <row r="764">
      <c r="A764" s="625"/>
      <c r="B764" s="625"/>
      <c r="C764" s="625"/>
    </row>
    <row r="765">
      <c r="A765" s="625"/>
      <c r="B765" s="625"/>
      <c r="C765" s="625"/>
    </row>
    <row r="766">
      <c r="A766" s="625"/>
      <c r="B766" s="625"/>
      <c r="C766" s="625"/>
    </row>
    <row r="767">
      <c r="A767" s="625"/>
      <c r="B767" s="625"/>
      <c r="C767" s="625"/>
    </row>
    <row r="768">
      <c r="A768" s="625"/>
      <c r="B768" s="625"/>
      <c r="C768" s="625"/>
    </row>
    <row r="769">
      <c r="A769" s="625"/>
      <c r="B769" s="625"/>
      <c r="C769" s="625"/>
    </row>
    <row r="770">
      <c r="A770" s="625"/>
      <c r="B770" s="625"/>
      <c r="C770" s="625"/>
    </row>
    <row r="771">
      <c r="A771" s="625"/>
      <c r="B771" s="625"/>
      <c r="C771" s="625"/>
    </row>
    <row r="772">
      <c r="A772" s="625"/>
      <c r="B772" s="625"/>
      <c r="C772" s="625"/>
    </row>
    <row r="773">
      <c r="A773" s="625"/>
      <c r="B773" s="625"/>
      <c r="C773" s="625"/>
    </row>
    <row r="774">
      <c r="A774" s="625"/>
      <c r="B774" s="625"/>
      <c r="C774" s="625"/>
    </row>
    <row r="775">
      <c r="A775" s="625"/>
      <c r="B775" s="625"/>
      <c r="C775" s="625"/>
    </row>
    <row r="776">
      <c r="A776" s="625"/>
      <c r="B776" s="625"/>
      <c r="C776" s="625"/>
    </row>
    <row r="777">
      <c r="A777" s="625"/>
      <c r="B777" s="625"/>
      <c r="C777" s="625"/>
    </row>
    <row r="778">
      <c r="A778" s="625"/>
      <c r="B778" s="625"/>
      <c r="C778" s="625"/>
    </row>
    <row r="779">
      <c r="A779" s="625"/>
      <c r="B779" s="625"/>
      <c r="C779" s="625"/>
    </row>
    <row r="780">
      <c r="A780" s="625"/>
      <c r="B780" s="625"/>
      <c r="C780" s="625"/>
    </row>
    <row r="781">
      <c r="A781" s="625"/>
      <c r="B781" s="625"/>
      <c r="C781" s="625"/>
    </row>
    <row r="782">
      <c r="A782" s="625"/>
      <c r="B782" s="625"/>
      <c r="C782" s="625"/>
    </row>
    <row r="783">
      <c r="A783" s="625"/>
      <c r="B783" s="625"/>
      <c r="C783" s="625"/>
    </row>
    <row r="784">
      <c r="A784" s="625"/>
      <c r="B784" s="625"/>
      <c r="C784" s="625"/>
    </row>
    <row r="785">
      <c r="A785" s="625"/>
      <c r="B785" s="625"/>
      <c r="C785" s="625"/>
    </row>
    <row r="786">
      <c r="A786" s="625"/>
      <c r="B786" s="625"/>
      <c r="C786" s="625"/>
    </row>
    <row r="787">
      <c r="A787" s="625"/>
      <c r="B787" s="625"/>
      <c r="C787" s="625"/>
    </row>
    <row r="788">
      <c r="A788" s="625"/>
      <c r="B788" s="625"/>
      <c r="C788" s="625"/>
    </row>
    <row r="789">
      <c r="A789" s="625"/>
      <c r="B789" s="625"/>
      <c r="C789" s="625"/>
    </row>
    <row r="790">
      <c r="A790" s="625"/>
      <c r="B790" s="625"/>
      <c r="C790" s="625"/>
    </row>
    <row r="791">
      <c r="A791" s="625"/>
      <c r="B791" s="625"/>
      <c r="C791" s="625"/>
    </row>
    <row r="792">
      <c r="A792" s="625"/>
      <c r="B792" s="625"/>
      <c r="C792" s="625"/>
    </row>
    <row r="793">
      <c r="A793" s="625"/>
      <c r="B793" s="625"/>
      <c r="C793" s="625"/>
    </row>
    <row r="794">
      <c r="A794" s="625"/>
      <c r="B794" s="625"/>
      <c r="C794" s="625"/>
    </row>
    <row r="795">
      <c r="A795" s="625"/>
      <c r="B795" s="625"/>
      <c r="C795" s="625"/>
    </row>
    <row r="796">
      <c r="A796" s="625"/>
      <c r="B796" s="625"/>
      <c r="C796" s="625"/>
    </row>
    <row r="797">
      <c r="A797" s="625"/>
      <c r="B797" s="625"/>
      <c r="C797" s="625"/>
    </row>
    <row r="798">
      <c r="A798" s="625"/>
      <c r="B798" s="625"/>
      <c r="C798" s="625"/>
    </row>
    <row r="799">
      <c r="A799" s="625"/>
      <c r="B799" s="625"/>
      <c r="C799" s="625"/>
    </row>
    <row r="800">
      <c r="A800" s="625"/>
      <c r="B800" s="625"/>
      <c r="C800" s="625"/>
    </row>
    <row r="801">
      <c r="A801" s="625"/>
      <c r="B801" s="625"/>
      <c r="C801" s="625"/>
    </row>
    <row r="802">
      <c r="A802" s="625"/>
      <c r="B802" s="625"/>
      <c r="C802" s="625"/>
    </row>
    <row r="803">
      <c r="A803" s="625"/>
      <c r="B803" s="625"/>
      <c r="C803" s="625"/>
    </row>
    <row r="804">
      <c r="A804" s="625"/>
      <c r="B804" s="625"/>
      <c r="C804" s="625"/>
    </row>
    <row r="805">
      <c r="A805" s="625"/>
      <c r="B805" s="625"/>
      <c r="C805" s="625"/>
    </row>
    <row r="806">
      <c r="A806" s="625"/>
      <c r="B806" s="625"/>
      <c r="C806" s="625"/>
    </row>
    <row r="807">
      <c r="A807" s="625"/>
      <c r="B807" s="625"/>
      <c r="C807" s="625"/>
    </row>
    <row r="808">
      <c r="A808" s="625"/>
      <c r="B808" s="625"/>
      <c r="C808" s="625"/>
    </row>
    <row r="809">
      <c r="A809" s="625"/>
      <c r="B809" s="625"/>
      <c r="C809" s="625"/>
    </row>
    <row r="810">
      <c r="A810" s="625"/>
      <c r="B810" s="625"/>
      <c r="C810" s="625"/>
    </row>
    <row r="811">
      <c r="A811" s="625"/>
      <c r="B811" s="625"/>
      <c r="C811" s="625"/>
    </row>
    <row r="812">
      <c r="A812" s="625"/>
      <c r="B812" s="625"/>
      <c r="C812" s="625"/>
    </row>
    <row r="813">
      <c r="A813" s="625"/>
      <c r="B813" s="625"/>
      <c r="C813" s="625"/>
    </row>
    <row r="814">
      <c r="A814" s="625"/>
      <c r="B814" s="625"/>
      <c r="C814" s="625"/>
    </row>
    <row r="815">
      <c r="A815" s="625"/>
      <c r="B815" s="625"/>
      <c r="C815" s="625"/>
    </row>
    <row r="816">
      <c r="A816" s="625"/>
      <c r="B816" s="625"/>
      <c r="C816" s="625"/>
    </row>
    <row r="817">
      <c r="A817" s="625"/>
      <c r="B817" s="625"/>
      <c r="C817" s="625"/>
    </row>
    <row r="818">
      <c r="A818" s="625"/>
      <c r="B818" s="625"/>
      <c r="C818" s="625"/>
    </row>
    <row r="819">
      <c r="A819" s="625"/>
      <c r="B819" s="625"/>
      <c r="C819" s="625"/>
    </row>
    <row r="820">
      <c r="A820" s="625"/>
      <c r="B820" s="625"/>
      <c r="C820" s="625"/>
    </row>
    <row r="821">
      <c r="A821" s="625"/>
      <c r="B821" s="625"/>
      <c r="C821" s="625"/>
    </row>
    <row r="822">
      <c r="A822" s="625"/>
      <c r="B822" s="625"/>
      <c r="C822" s="625"/>
    </row>
    <row r="823">
      <c r="A823" s="625"/>
      <c r="B823" s="625"/>
      <c r="C823" s="625"/>
    </row>
    <row r="824">
      <c r="A824" s="625"/>
      <c r="B824" s="625"/>
      <c r="C824" s="625"/>
    </row>
    <row r="825">
      <c r="A825" s="625"/>
      <c r="B825" s="625"/>
      <c r="C825" s="625"/>
    </row>
    <row r="826">
      <c r="A826" s="625"/>
      <c r="B826" s="625"/>
      <c r="C826" s="625"/>
    </row>
    <row r="827">
      <c r="A827" s="625"/>
      <c r="B827" s="625"/>
      <c r="C827" s="625"/>
    </row>
    <row r="828">
      <c r="A828" s="625"/>
      <c r="B828" s="625"/>
      <c r="C828" s="625"/>
    </row>
    <row r="829">
      <c r="A829" s="625"/>
      <c r="B829" s="625"/>
      <c r="C829" s="625"/>
    </row>
    <row r="830">
      <c r="A830" s="625"/>
      <c r="B830" s="625"/>
      <c r="C830" s="625"/>
    </row>
    <row r="831">
      <c r="A831" s="625"/>
      <c r="B831" s="625"/>
      <c r="C831" s="625"/>
    </row>
    <row r="832">
      <c r="A832" s="625"/>
      <c r="B832" s="625"/>
      <c r="C832" s="625"/>
    </row>
    <row r="833">
      <c r="A833" s="625"/>
      <c r="B833" s="625"/>
      <c r="C833" s="625"/>
    </row>
    <row r="834">
      <c r="A834" s="625"/>
      <c r="B834" s="625"/>
      <c r="C834" s="625"/>
    </row>
    <row r="835">
      <c r="A835" s="625"/>
      <c r="B835" s="625"/>
      <c r="C835" s="625"/>
    </row>
    <row r="836">
      <c r="A836" s="625"/>
      <c r="B836" s="625"/>
      <c r="C836" s="625"/>
    </row>
    <row r="837">
      <c r="A837" s="625"/>
      <c r="B837" s="625"/>
      <c r="C837" s="625"/>
    </row>
    <row r="838">
      <c r="A838" s="625"/>
      <c r="B838" s="625"/>
      <c r="C838" s="625"/>
    </row>
    <row r="839">
      <c r="A839" s="625"/>
      <c r="B839" s="625"/>
      <c r="C839" s="625"/>
    </row>
    <row r="840">
      <c r="A840" s="625"/>
      <c r="B840" s="625"/>
      <c r="C840" s="625"/>
    </row>
    <row r="841">
      <c r="A841" s="625"/>
      <c r="B841" s="625"/>
      <c r="C841" s="625"/>
    </row>
    <row r="842">
      <c r="A842" s="625"/>
      <c r="B842" s="625"/>
      <c r="C842" s="625"/>
    </row>
    <row r="843">
      <c r="A843" s="625"/>
      <c r="B843" s="625"/>
      <c r="C843" s="625"/>
    </row>
    <row r="844">
      <c r="A844" s="625"/>
      <c r="B844" s="625"/>
      <c r="C844" s="625"/>
    </row>
    <row r="845">
      <c r="A845" s="625"/>
      <c r="B845" s="625"/>
      <c r="C845" s="625"/>
    </row>
    <row r="846">
      <c r="A846" s="625"/>
      <c r="B846" s="625"/>
      <c r="C846" s="625"/>
    </row>
    <row r="847">
      <c r="A847" s="625"/>
      <c r="B847" s="625"/>
      <c r="C847" s="625"/>
    </row>
    <row r="848">
      <c r="A848" s="625"/>
      <c r="B848" s="625"/>
      <c r="C848" s="625"/>
    </row>
    <row r="849">
      <c r="A849" s="625"/>
      <c r="B849" s="625"/>
      <c r="C849" s="625"/>
    </row>
    <row r="850">
      <c r="A850" s="625"/>
      <c r="B850" s="625"/>
      <c r="C850" s="625"/>
    </row>
    <row r="851">
      <c r="A851" s="625"/>
      <c r="B851" s="625"/>
      <c r="C851" s="625"/>
    </row>
    <row r="852">
      <c r="A852" s="625"/>
      <c r="B852" s="625"/>
      <c r="C852" s="625"/>
    </row>
    <row r="853">
      <c r="A853" s="625"/>
      <c r="B853" s="625"/>
      <c r="C853" s="625"/>
    </row>
    <row r="854">
      <c r="A854" s="625"/>
      <c r="B854" s="625"/>
      <c r="C854" s="625"/>
    </row>
    <row r="855">
      <c r="A855" s="625"/>
      <c r="B855" s="625"/>
      <c r="C855" s="625"/>
    </row>
    <row r="856">
      <c r="A856" s="625"/>
      <c r="B856" s="625"/>
      <c r="C856" s="625"/>
    </row>
    <row r="857">
      <c r="A857" s="625"/>
      <c r="B857" s="625"/>
      <c r="C857" s="625"/>
    </row>
    <row r="858">
      <c r="A858" s="625"/>
      <c r="B858" s="625"/>
      <c r="C858" s="625"/>
    </row>
    <row r="859">
      <c r="A859" s="625"/>
      <c r="B859" s="625"/>
      <c r="C859" s="625"/>
    </row>
    <row r="860">
      <c r="A860" s="625"/>
      <c r="B860" s="625"/>
      <c r="C860" s="625"/>
    </row>
    <row r="861">
      <c r="A861" s="625"/>
      <c r="B861" s="625"/>
      <c r="C861" s="625"/>
    </row>
    <row r="862">
      <c r="A862" s="625"/>
      <c r="B862" s="625"/>
      <c r="C862" s="625"/>
    </row>
    <row r="863">
      <c r="A863" s="625"/>
      <c r="B863" s="625"/>
      <c r="C863" s="625"/>
    </row>
    <row r="864">
      <c r="A864" s="625"/>
      <c r="B864" s="625"/>
      <c r="C864" s="625"/>
    </row>
    <row r="865">
      <c r="A865" s="625"/>
      <c r="B865" s="625"/>
      <c r="C865" s="625"/>
    </row>
    <row r="866">
      <c r="A866" s="625"/>
      <c r="B866" s="625"/>
      <c r="C866" s="625"/>
    </row>
    <row r="867">
      <c r="A867" s="625"/>
      <c r="B867" s="625"/>
      <c r="C867" s="625"/>
    </row>
    <row r="868">
      <c r="A868" s="625"/>
      <c r="B868" s="625"/>
      <c r="C868" s="625"/>
    </row>
    <row r="869">
      <c r="A869" s="625"/>
      <c r="B869" s="625"/>
      <c r="C869" s="625"/>
    </row>
    <row r="870">
      <c r="A870" s="625"/>
      <c r="B870" s="625"/>
      <c r="C870" s="625"/>
    </row>
    <row r="871">
      <c r="A871" s="625"/>
      <c r="B871" s="625"/>
      <c r="C871" s="625"/>
    </row>
    <row r="872">
      <c r="A872" s="625"/>
      <c r="B872" s="625"/>
      <c r="C872" s="625"/>
    </row>
    <row r="873">
      <c r="A873" s="625"/>
      <c r="B873" s="625"/>
      <c r="C873" s="625"/>
    </row>
    <row r="874">
      <c r="A874" s="625"/>
      <c r="B874" s="625"/>
      <c r="C874" s="625"/>
    </row>
    <row r="875">
      <c r="A875" s="625"/>
      <c r="B875" s="625"/>
      <c r="C875" s="625"/>
    </row>
    <row r="876">
      <c r="A876" s="625"/>
      <c r="B876" s="625"/>
      <c r="C876" s="625"/>
    </row>
    <row r="877">
      <c r="A877" s="625"/>
      <c r="B877" s="625"/>
      <c r="C877" s="625"/>
    </row>
    <row r="878">
      <c r="A878" s="625"/>
      <c r="B878" s="625"/>
      <c r="C878" s="625"/>
    </row>
    <row r="879">
      <c r="A879" s="625"/>
      <c r="B879" s="625"/>
      <c r="C879" s="625"/>
    </row>
    <row r="880">
      <c r="A880" s="625"/>
      <c r="B880" s="625"/>
      <c r="C880" s="625"/>
    </row>
    <row r="881">
      <c r="A881" s="625"/>
      <c r="B881" s="625"/>
      <c r="C881" s="625"/>
    </row>
    <row r="882">
      <c r="A882" s="625"/>
      <c r="B882" s="625"/>
      <c r="C882" s="625"/>
    </row>
    <row r="883">
      <c r="A883" s="625"/>
      <c r="B883" s="625"/>
      <c r="C883" s="625"/>
    </row>
    <row r="884">
      <c r="A884" s="625"/>
      <c r="B884" s="625"/>
      <c r="C884" s="625"/>
    </row>
    <row r="885">
      <c r="A885" s="625"/>
      <c r="B885" s="625"/>
      <c r="C885" s="625"/>
    </row>
    <row r="886">
      <c r="A886" s="625"/>
      <c r="B886" s="625"/>
      <c r="C886" s="625"/>
    </row>
    <row r="887">
      <c r="A887" s="625"/>
      <c r="B887" s="625"/>
      <c r="C887" s="625"/>
    </row>
    <row r="888">
      <c r="A888" s="625"/>
      <c r="B888" s="625"/>
      <c r="C888" s="625"/>
    </row>
    <row r="889">
      <c r="A889" s="625"/>
      <c r="B889" s="625"/>
      <c r="C889" s="625"/>
    </row>
    <row r="890">
      <c r="A890" s="625"/>
      <c r="B890" s="625"/>
      <c r="C890" s="625"/>
    </row>
    <row r="891">
      <c r="A891" s="625"/>
      <c r="B891" s="625"/>
      <c r="C891" s="625"/>
    </row>
    <row r="892">
      <c r="A892" s="625"/>
      <c r="B892" s="625"/>
      <c r="C892" s="625"/>
    </row>
    <row r="893">
      <c r="A893" s="625"/>
      <c r="B893" s="625"/>
      <c r="C893" s="625"/>
    </row>
    <row r="894">
      <c r="A894" s="625"/>
      <c r="B894" s="625"/>
      <c r="C894" s="625"/>
    </row>
    <row r="895">
      <c r="A895" s="625"/>
      <c r="B895" s="625"/>
      <c r="C895" s="625"/>
    </row>
    <row r="896">
      <c r="A896" s="625"/>
      <c r="B896" s="625"/>
      <c r="C896" s="625"/>
    </row>
    <row r="897">
      <c r="A897" s="625"/>
      <c r="B897" s="625"/>
      <c r="C897" s="625"/>
    </row>
    <row r="898">
      <c r="A898" s="625"/>
      <c r="B898" s="625"/>
      <c r="C898" s="625"/>
    </row>
    <row r="899">
      <c r="A899" s="625"/>
      <c r="B899" s="625"/>
      <c r="C899" s="625"/>
    </row>
    <row r="900">
      <c r="A900" s="625"/>
      <c r="B900" s="625"/>
      <c r="C900" s="625"/>
    </row>
    <row r="901">
      <c r="A901" s="625"/>
      <c r="B901" s="625"/>
      <c r="C901" s="625"/>
    </row>
    <row r="902">
      <c r="A902" s="625"/>
      <c r="B902" s="625"/>
      <c r="C902" s="625"/>
    </row>
    <row r="903">
      <c r="A903" s="625"/>
      <c r="B903" s="625"/>
      <c r="C903" s="625"/>
    </row>
    <row r="904">
      <c r="A904" s="625"/>
      <c r="B904" s="625"/>
      <c r="C904" s="625"/>
    </row>
    <row r="905">
      <c r="A905" s="625"/>
      <c r="B905" s="625"/>
      <c r="C905" s="625"/>
    </row>
    <row r="906">
      <c r="A906" s="625"/>
      <c r="B906" s="625"/>
      <c r="C906" s="625"/>
    </row>
    <row r="907">
      <c r="A907" s="625"/>
      <c r="B907" s="625"/>
      <c r="C907" s="625"/>
    </row>
    <row r="908">
      <c r="A908" s="625"/>
      <c r="B908" s="625"/>
      <c r="C908" s="625"/>
    </row>
    <row r="909">
      <c r="A909" s="625"/>
      <c r="B909" s="625"/>
      <c r="C909" s="625"/>
    </row>
    <row r="910">
      <c r="A910" s="625"/>
      <c r="B910" s="625"/>
      <c r="C910" s="625"/>
    </row>
    <row r="911">
      <c r="A911" s="625"/>
      <c r="B911" s="625"/>
      <c r="C911" s="625"/>
    </row>
    <row r="912">
      <c r="A912" s="625"/>
      <c r="B912" s="625"/>
      <c r="C912" s="625"/>
    </row>
    <row r="913">
      <c r="A913" s="625"/>
      <c r="B913" s="625"/>
      <c r="C913" s="625"/>
    </row>
    <row r="914">
      <c r="A914" s="625"/>
      <c r="B914" s="625"/>
      <c r="C914" s="625"/>
    </row>
    <row r="915">
      <c r="A915" s="625"/>
      <c r="B915" s="625"/>
      <c r="C915" s="625"/>
    </row>
    <row r="916">
      <c r="A916" s="625"/>
      <c r="B916" s="625"/>
      <c r="C916" s="625"/>
    </row>
    <row r="917">
      <c r="A917" s="625"/>
      <c r="B917" s="625"/>
      <c r="C917" s="625"/>
    </row>
    <row r="918">
      <c r="A918" s="625"/>
      <c r="B918" s="625"/>
      <c r="C918" s="625"/>
    </row>
    <row r="919">
      <c r="A919" s="625"/>
      <c r="B919" s="625"/>
      <c r="C919" s="625"/>
    </row>
    <row r="920">
      <c r="A920" s="625"/>
      <c r="B920" s="625"/>
      <c r="C920" s="625"/>
    </row>
    <row r="921">
      <c r="A921" s="625"/>
      <c r="B921" s="625"/>
      <c r="C921" s="625"/>
    </row>
    <row r="922">
      <c r="A922" s="625"/>
      <c r="B922" s="625"/>
      <c r="C922" s="625"/>
    </row>
    <row r="923">
      <c r="A923" s="625"/>
      <c r="B923" s="625"/>
      <c r="C923" s="625"/>
    </row>
    <row r="924">
      <c r="A924" s="625"/>
      <c r="B924" s="625"/>
      <c r="C924" s="625"/>
    </row>
    <row r="925">
      <c r="A925" s="625"/>
      <c r="B925" s="625"/>
      <c r="C925" s="625"/>
    </row>
    <row r="926">
      <c r="A926" s="625"/>
      <c r="B926" s="625"/>
      <c r="C926" s="625"/>
    </row>
    <row r="927">
      <c r="A927" s="625"/>
      <c r="B927" s="625"/>
      <c r="C927" s="625"/>
    </row>
    <row r="928">
      <c r="A928" s="625"/>
      <c r="B928" s="625"/>
      <c r="C928" s="625"/>
    </row>
    <row r="929">
      <c r="A929" s="625"/>
      <c r="B929" s="625"/>
      <c r="C929" s="625"/>
    </row>
    <row r="930">
      <c r="A930" s="625"/>
      <c r="B930" s="625"/>
      <c r="C930" s="625"/>
    </row>
    <row r="931">
      <c r="A931" s="625"/>
      <c r="B931" s="625"/>
      <c r="C931" s="625"/>
    </row>
    <row r="932">
      <c r="A932" s="625"/>
      <c r="B932" s="625"/>
      <c r="C932" s="625"/>
    </row>
    <row r="933">
      <c r="A933" s="625"/>
      <c r="B933" s="625"/>
      <c r="C933" s="625"/>
    </row>
    <row r="934">
      <c r="A934" s="625"/>
      <c r="B934" s="625"/>
      <c r="C934" s="625"/>
    </row>
    <row r="935">
      <c r="A935" s="625"/>
      <c r="B935" s="625"/>
      <c r="C935" s="625"/>
    </row>
    <row r="936">
      <c r="A936" s="625"/>
      <c r="B936" s="625"/>
      <c r="C936" s="625"/>
    </row>
    <row r="937">
      <c r="A937" s="625"/>
      <c r="B937" s="625"/>
      <c r="C937" s="625"/>
    </row>
    <row r="938">
      <c r="A938" s="625"/>
      <c r="B938" s="625"/>
      <c r="C938" s="625"/>
    </row>
    <row r="939">
      <c r="A939" s="625"/>
      <c r="B939" s="625"/>
      <c r="C939" s="625"/>
    </row>
    <row r="940">
      <c r="A940" s="625"/>
      <c r="B940" s="625"/>
      <c r="C940" s="625"/>
    </row>
    <row r="941">
      <c r="A941" s="625"/>
      <c r="B941" s="625"/>
      <c r="C941" s="625"/>
    </row>
    <row r="942">
      <c r="A942" s="625"/>
      <c r="B942" s="625"/>
      <c r="C942" s="625"/>
    </row>
    <row r="943">
      <c r="A943" s="625"/>
      <c r="B943" s="625"/>
      <c r="C943" s="625"/>
    </row>
    <row r="944">
      <c r="A944" s="625"/>
      <c r="B944" s="625"/>
      <c r="C944" s="625"/>
    </row>
    <row r="945">
      <c r="A945" s="625"/>
      <c r="B945" s="625"/>
      <c r="C945" s="625"/>
    </row>
    <row r="946">
      <c r="A946" s="625"/>
      <c r="B946" s="625"/>
      <c r="C946" s="625"/>
    </row>
    <row r="947">
      <c r="A947" s="625"/>
      <c r="B947" s="625"/>
      <c r="C947" s="625"/>
    </row>
    <row r="948">
      <c r="A948" s="625"/>
      <c r="B948" s="625"/>
      <c r="C948" s="625"/>
    </row>
    <row r="949">
      <c r="A949" s="625"/>
      <c r="B949" s="625"/>
      <c r="C949" s="625"/>
    </row>
    <row r="950">
      <c r="A950" s="625"/>
      <c r="B950" s="625"/>
      <c r="C950" s="625"/>
    </row>
    <row r="951">
      <c r="A951" s="625"/>
      <c r="B951" s="625"/>
      <c r="C951" s="625"/>
    </row>
    <row r="952">
      <c r="A952" s="625"/>
      <c r="B952" s="625"/>
      <c r="C952" s="625"/>
    </row>
    <row r="953">
      <c r="A953" s="625"/>
      <c r="B953" s="625"/>
      <c r="C953" s="625"/>
    </row>
    <row r="954">
      <c r="A954" s="625"/>
      <c r="B954" s="625"/>
      <c r="C954" s="625"/>
    </row>
    <row r="955">
      <c r="A955" s="625"/>
      <c r="B955" s="625"/>
      <c r="C955" s="625"/>
    </row>
    <row r="956">
      <c r="A956" s="625"/>
      <c r="B956" s="625"/>
      <c r="C956" s="625"/>
    </row>
    <row r="957">
      <c r="A957" s="625"/>
      <c r="B957" s="625"/>
      <c r="C957" s="625"/>
    </row>
    <row r="958">
      <c r="A958" s="625"/>
      <c r="B958" s="625"/>
      <c r="C958" s="625"/>
    </row>
    <row r="959">
      <c r="A959" s="625"/>
      <c r="B959" s="625"/>
      <c r="C959" s="625"/>
    </row>
    <row r="960">
      <c r="A960" s="625"/>
      <c r="B960" s="625"/>
      <c r="C960" s="625"/>
    </row>
    <row r="961">
      <c r="A961" s="625"/>
      <c r="B961" s="625"/>
      <c r="C961" s="625"/>
    </row>
    <row r="962">
      <c r="A962" s="625"/>
      <c r="B962" s="625"/>
      <c r="C962" s="625"/>
    </row>
    <row r="963">
      <c r="A963" s="625"/>
      <c r="B963" s="625"/>
      <c r="C963" s="625"/>
    </row>
    <row r="964">
      <c r="A964" s="625"/>
      <c r="B964" s="625"/>
      <c r="C964" s="625"/>
    </row>
    <row r="965">
      <c r="A965" s="625"/>
      <c r="B965" s="625"/>
      <c r="C965" s="625"/>
    </row>
    <row r="966">
      <c r="A966" s="625"/>
      <c r="B966" s="625"/>
      <c r="C966" s="625"/>
    </row>
    <row r="967">
      <c r="A967" s="625"/>
      <c r="B967" s="625"/>
      <c r="C967" s="625"/>
    </row>
    <row r="968">
      <c r="A968" s="625"/>
      <c r="B968" s="625"/>
      <c r="C968" s="625"/>
    </row>
    <row r="969">
      <c r="A969" s="625"/>
      <c r="B969" s="625"/>
      <c r="C969" s="625"/>
    </row>
    <row r="970">
      <c r="A970" s="625"/>
      <c r="B970" s="625"/>
      <c r="C970" s="625"/>
    </row>
    <row r="971">
      <c r="A971" s="625"/>
      <c r="B971" s="625"/>
      <c r="C971" s="625"/>
    </row>
    <row r="972">
      <c r="A972" s="625"/>
      <c r="B972" s="625"/>
      <c r="C972" s="625"/>
    </row>
    <row r="973">
      <c r="A973" s="625"/>
      <c r="B973" s="625"/>
      <c r="C973" s="625"/>
    </row>
    <row r="974">
      <c r="A974" s="625"/>
      <c r="B974" s="625"/>
      <c r="C974" s="625"/>
    </row>
    <row r="975">
      <c r="A975" s="625"/>
      <c r="B975" s="625"/>
      <c r="C975" s="625"/>
    </row>
    <row r="976">
      <c r="A976" s="625"/>
      <c r="B976" s="625"/>
      <c r="C976" s="625"/>
    </row>
    <row r="977">
      <c r="A977" s="625"/>
      <c r="B977" s="625"/>
      <c r="C977" s="625"/>
    </row>
    <row r="978">
      <c r="A978" s="625"/>
      <c r="B978" s="625"/>
      <c r="C978" s="625"/>
    </row>
    <row r="979">
      <c r="A979" s="625"/>
      <c r="B979" s="625"/>
      <c r="C979" s="625"/>
    </row>
    <row r="980">
      <c r="A980" s="625"/>
      <c r="B980" s="625"/>
      <c r="C980" s="625"/>
    </row>
    <row r="981">
      <c r="A981" s="625"/>
      <c r="B981" s="625"/>
      <c r="C981" s="625"/>
    </row>
    <row r="982">
      <c r="A982" s="625"/>
      <c r="B982" s="625"/>
      <c r="C982" s="625"/>
    </row>
    <row r="983">
      <c r="A983" s="625"/>
      <c r="B983" s="625"/>
      <c r="C983" s="625"/>
    </row>
    <row r="984">
      <c r="A984" s="625"/>
      <c r="B984" s="625"/>
      <c r="C984" s="625"/>
    </row>
    <row r="985">
      <c r="A985" s="625"/>
      <c r="B985" s="625"/>
      <c r="C985" s="625"/>
    </row>
    <row r="986">
      <c r="A986" s="625"/>
      <c r="B986" s="625"/>
      <c r="C986" s="625"/>
    </row>
    <row r="987">
      <c r="A987" s="625"/>
      <c r="B987" s="625"/>
      <c r="C987" s="625"/>
    </row>
    <row r="988">
      <c r="A988" s="625"/>
      <c r="B988" s="625"/>
      <c r="C988" s="625"/>
    </row>
    <row r="989">
      <c r="A989" s="625"/>
      <c r="B989" s="625"/>
      <c r="C989" s="625"/>
    </row>
    <row r="990">
      <c r="A990" s="625"/>
      <c r="B990" s="625"/>
      <c r="C990" s="625"/>
    </row>
    <row r="991">
      <c r="A991" s="625"/>
      <c r="B991" s="625"/>
      <c r="C991" s="625"/>
    </row>
    <row r="992">
      <c r="A992" s="625"/>
      <c r="B992" s="625"/>
      <c r="C992" s="625"/>
    </row>
    <row r="993">
      <c r="A993" s="625"/>
      <c r="B993" s="625"/>
      <c r="C993" s="625"/>
    </row>
    <row r="994">
      <c r="A994" s="625"/>
      <c r="B994" s="625"/>
      <c r="C994" s="625"/>
    </row>
    <row r="995">
      <c r="A995" s="625"/>
      <c r="B995" s="625"/>
      <c r="C995" s="625"/>
    </row>
    <row r="996">
      <c r="A996" s="625"/>
      <c r="B996" s="625"/>
      <c r="C996" s="625"/>
    </row>
    <row r="997">
      <c r="A997" s="625"/>
      <c r="B997" s="625"/>
      <c r="C997" s="625"/>
    </row>
    <row r="998">
      <c r="A998" s="625"/>
      <c r="B998" s="625"/>
      <c r="C998" s="625"/>
    </row>
    <row r="999">
      <c r="A999" s="625"/>
      <c r="B999" s="625"/>
      <c r="C999" s="625"/>
    </row>
    <row r="1000">
      <c r="A1000" s="625"/>
      <c r="B1000" s="625"/>
      <c r="C1000" s="625"/>
    </row>
    <row r="1001">
      <c r="A1001" s="625"/>
      <c r="B1001" s="625"/>
      <c r="C1001" s="625"/>
    </row>
    <row r="1002">
      <c r="A1002" s="625"/>
      <c r="B1002" s="625"/>
      <c r="C1002" s="625"/>
    </row>
    <row r="1003">
      <c r="A1003" s="625"/>
      <c r="B1003" s="625"/>
      <c r="C1003" s="625"/>
    </row>
    <row r="1004">
      <c r="A1004" s="625"/>
      <c r="B1004" s="625"/>
      <c r="C1004" s="625"/>
    </row>
    <row r="1005">
      <c r="A1005" s="625"/>
      <c r="B1005" s="625"/>
      <c r="C1005" s="625"/>
    </row>
    <row r="1006">
      <c r="A1006" s="625"/>
      <c r="B1006" s="625"/>
      <c r="C1006" s="625"/>
    </row>
    <row r="1007">
      <c r="A1007" s="625"/>
      <c r="B1007" s="625"/>
      <c r="C1007" s="625"/>
    </row>
    <row r="1008">
      <c r="A1008" s="625"/>
      <c r="B1008" s="625"/>
      <c r="C1008" s="625"/>
    </row>
    <row r="1009">
      <c r="A1009" s="625"/>
      <c r="B1009" s="625"/>
      <c r="C1009" s="625"/>
    </row>
  </sheetData>
  <mergeCells count="4">
    <mergeCell ref="A4:A5"/>
    <mergeCell ref="A7:A9"/>
    <mergeCell ref="A11:A12"/>
    <mergeCell ref="A18:A21"/>
  </mergeCells>
  <hyperlinks>
    <hyperlink r:id="rId1" ref="C9"/>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6.63"/>
    <col customWidth="1" min="2" max="2" width="67.38"/>
    <col customWidth="1" min="3" max="3" width="20.13"/>
    <col customWidth="1" min="4" max="4" width="52.25"/>
  </cols>
  <sheetData>
    <row r="1">
      <c r="A1" s="624" t="s">
        <v>1823</v>
      </c>
      <c r="B1" s="624" t="s">
        <v>1824</v>
      </c>
      <c r="C1" s="343" t="s">
        <v>1825</v>
      </c>
      <c r="D1" s="343" t="s">
        <v>1826</v>
      </c>
      <c r="E1" s="344"/>
      <c r="F1" s="344"/>
      <c r="G1" s="344"/>
      <c r="H1" s="344"/>
      <c r="I1" s="344"/>
      <c r="J1" s="344"/>
      <c r="K1" s="344"/>
      <c r="L1" s="344"/>
      <c r="M1" s="344"/>
      <c r="N1" s="344"/>
      <c r="O1" s="344"/>
      <c r="P1" s="344"/>
      <c r="Q1" s="344"/>
      <c r="R1" s="344"/>
      <c r="S1" s="344"/>
      <c r="T1" s="344"/>
      <c r="U1" s="344"/>
      <c r="V1" s="344"/>
      <c r="W1" s="344"/>
      <c r="X1" s="344"/>
      <c r="Y1" s="344"/>
      <c r="Z1" s="344"/>
    </row>
    <row r="2" hidden="1">
      <c r="A2" s="346" t="s">
        <v>1897</v>
      </c>
      <c r="B2" s="346" t="s">
        <v>1898</v>
      </c>
      <c r="C2" s="79" t="s">
        <v>1899</v>
      </c>
      <c r="D2" s="346" t="s">
        <v>1900</v>
      </c>
    </row>
    <row r="3" hidden="1">
      <c r="A3" s="346" t="s">
        <v>1901</v>
      </c>
      <c r="B3" s="346" t="s">
        <v>1902</v>
      </c>
      <c r="C3" s="79" t="s">
        <v>1899</v>
      </c>
      <c r="D3" s="79" t="s">
        <v>1903</v>
      </c>
    </row>
    <row r="4" hidden="1">
      <c r="A4" s="346" t="s">
        <v>1904</v>
      </c>
      <c r="B4" s="346" t="s">
        <v>1905</v>
      </c>
      <c r="C4" s="79" t="s">
        <v>1833</v>
      </c>
      <c r="D4" s="79" t="s">
        <v>1906</v>
      </c>
    </row>
    <row r="5">
      <c r="A5" s="152" t="s">
        <v>1907</v>
      </c>
      <c r="B5" s="638" t="s">
        <v>1908</v>
      </c>
      <c r="C5" s="79" t="s">
        <v>1837</v>
      </c>
      <c r="D5" s="346"/>
    </row>
    <row r="6">
      <c r="A6" s="638" t="s">
        <v>1909</v>
      </c>
      <c r="B6" s="638" t="s">
        <v>1910</v>
      </c>
      <c r="C6" s="79" t="s">
        <v>1911</v>
      </c>
      <c r="D6" s="346"/>
    </row>
    <row r="7">
      <c r="A7" s="346" t="s">
        <v>1912</v>
      </c>
      <c r="B7" s="346" t="s">
        <v>1913</v>
      </c>
      <c r="D7" s="346"/>
    </row>
    <row r="8">
      <c r="A8" s="639" t="s">
        <v>1914</v>
      </c>
      <c r="B8" s="639" t="s">
        <v>1915</v>
      </c>
      <c r="C8" s="79" t="s">
        <v>1837</v>
      </c>
    </row>
    <row r="9">
      <c r="A9" s="639" t="s">
        <v>1916</v>
      </c>
      <c r="B9" s="639" t="s">
        <v>1917</v>
      </c>
      <c r="C9" s="79" t="s">
        <v>1833</v>
      </c>
      <c r="D9" s="79" t="s">
        <v>1918</v>
      </c>
    </row>
    <row r="10">
      <c r="A10" s="640" t="s">
        <v>1919</v>
      </c>
      <c r="B10" s="640" t="s">
        <v>1920</v>
      </c>
    </row>
    <row r="11">
      <c r="A11" s="641" t="s">
        <v>1921</v>
      </c>
      <c r="B11" s="641" t="s">
        <v>1922</v>
      </c>
    </row>
    <row r="12">
      <c r="A12" s="642" t="s">
        <v>1923</v>
      </c>
      <c r="B12" s="642" t="s">
        <v>1924</v>
      </c>
      <c r="D12" s="346"/>
    </row>
    <row r="13">
      <c r="A13" s="79" t="s">
        <v>1925</v>
      </c>
      <c r="B13" s="79" t="s">
        <v>1926</v>
      </c>
      <c r="C13" s="79"/>
      <c r="D13" s="346"/>
    </row>
    <row r="14">
      <c r="A14" s="346" t="s">
        <v>1927</v>
      </c>
      <c r="B14" s="346" t="s">
        <v>1928</v>
      </c>
      <c r="C14" s="79" t="s">
        <v>1833</v>
      </c>
      <c r="D14" s="346" t="s">
        <v>1929</v>
      </c>
    </row>
    <row r="15">
      <c r="A15" s="346" t="s">
        <v>1930</v>
      </c>
      <c r="B15" s="346" t="s">
        <v>1931</v>
      </c>
      <c r="C15" s="79" t="s">
        <v>1833</v>
      </c>
      <c r="D15" s="346" t="s">
        <v>1929</v>
      </c>
    </row>
    <row r="16">
      <c r="A16" s="346" t="s">
        <v>1932</v>
      </c>
      <c r="B16" s="346" t="s">
        <v>1933</v>
      </c>
      <c r="C16" s="79" t="s">
        <v>1833</v>
      </c>
      <c r="D16" s="346" t="s">
        <v>1929</v>
      </c>
    </row>
    <row r="17">
      <c r="A17" s="346" t="s">
        <v>1934</v>
      </c>
      <c r="B17" s="346" t="s">
        <v>1935</v>
      </c>
      <c r="C17" s="79" t="s">
        <v>1833</v>
      </c>
      <c r="D17" s="346"/>
    </row>
    <row r="19">
      <c r="A19" s="346" t="s">
        <v>1936</v>
      </c>
      <c r="B19" s="346" t="s">
        <v>1937</v>
      </c>
      <c r="C19" s="79" t="s">
        <v>1837</v>
      </c>
      <c r="D19" s="346" t="s">
        <v>1938</v>
      </c>
    </row>
    <row r="24">
      <c r="A24" s="625"/>
      <c r="B24" s="625"/>
    </row>
    <row r="25">
      <c r="A25" s="625"/>
      <c r="B25" s="625"/>
    </row>
    <row r="27">
      <c r="A27" s="625"/>
      <c r="B27" s="625"/>
    </row>
    <row r="28">
      <c r="A28" s="625"/>
      <c r="B28" s="625"/>
    </row>
    <row r="29">
      <c r="A29" s="625"/>
      <c r="B29" s="625"/>
    </row>
    <row r="30">
      <c r="A30" s="625"/>
      <c r="B30" s="625"/>
    </row>
    <row r="31">
      <c r="A31" s="625"/>
      <c r="B31" s="625"/>
    </row>
    <row r="32">
      <c r="A32" s="625"/>
      <c r="B32" s="625"/>
    </row>
    <row r="33">
      <c r="A33" s="625"/>
      <c r="B33" s="625"/>
    </row>
    <row r="34">
      <c r="A34" s="625"/>
      <c r="B34" s="625"/>
    </row>
    <row r="35">
      <c r="A35" s="625"/>
      <c r="B35" s="625"/>
    </row>
    <row r="36">
      <c r="A36" s="625"/>
      <c r="B36" s="625"/>
    </row>
    <row r="37">
      <c r="A37" s="625"/>
      <c r="B37" s="625"/>
    </row>
    <row r="38">
      <c r="A38" s="625"/>
      <c r="B38" s="625"/>
    </row>
    <row r="39">
      <c r="A39" s="625"/>
      <c r="B39" s="625"/>
    </row>
    <row r="40">
      <c r="A40" s="625"/>
      <c r="B40" s="625"/>
    </row>
    <row r="41">
      <c r="A41" s="625"/>
      <c r="B41" s="625"/>
    </row>
    <row r="42">
      <c r="A42" s="625"/>
      <c r="B42" s="625"/>
    </row>
    <row r="43">
      <c r="A43" s="625"/>
      <c r="B43" s="625"/>
    </row>
    <row r="44">
      <c r="A44" s="625"/>
      <c r="B44" s="625"/>
    </row>
    <row r="45">
      <c r="A45" s="625"/>
      <c r="B45" s="625"/>
    </row>
    <row r="46">
      <c r="A46" s="625"/>
      <c r="B46" s="625"/>
    </row>
    <row r="47">
      <c r="A47" s="625"/>
      <c r="B47" s="625"/>
    </row>
    <row r="48">
      <c r="A48" s="625"/>
      <c r="B48" s="625"/>
    </row>
    <row r="49">
      <c r="A49" s="625"/>
      <c r="B49" s="625"/>
    </row>
    <row r="50">
      <c r="A50" s="625"/>
      <c r="B50" s="625"/>
    </row>
    <row r="51">
      <c r="A51" s="625"/>
      <c r="B51" s="625"/>
    </row>
    <row r="52">
      <c r="A52" s="625"/>
      <c r="B52" s="625"/>
    </row>
    <row r="53">
      <c r="A53" s="625"/>
      <c r="B53" s="625"/>
    </row>
    <row r="54">
      <c r="A54" s="625"/>
      <c r="B54" s="625"/>
    </row>
    <row r="55">
      <c r="A55" s="625"/>
      <c r="B55" s="625"/>
    </row>
    <row r="56">
      <c r="A56" s="625"/>
      <c r="B56" s="625"/>
    </row>
    <row r="57">
      <c r="A57" s="625"/>
      <c r="B57" s="625"/>
    </row>
    <row r="58">
      <c r="A58" s="625"/>
      <c r="B58" s="625"/>
    </row>
    <row r="59">
      <c r="A59" s="625"/>
      <c r="B59" s="625"/>
    </row>
    <row r="60">
      <c r="A60" s="625"/>
      <c r="B60" s="625"/>
    </row>
    <row r="61">
      <c r="A61" s="625"/>
      <c r="B61" s="625"/>
    </row>
    <row r="62">
      <c r="A62" s="625"/>
      <c r="B62" s="625"/>
    </row>
    <row r="63">
      <c r="A63" s="625"/>
      <c r="B63" s="625"/>
    </row>
    <row r="64">
      <c r="A64" s="625"/>
      <c r="B64" s="625"/>
    </row>
    <row r="65">
      <c r="A65" s="625"/>
      <c r="B65" s="625"/>
    </row>
    <row r="66">
      <c r="A66" s="625"/>
      <c r="B66" s="625"/>
    </row>
    <row r="67">
      <c r="A67" s="625"/>
      <c r="B67" s="625"/>
    </row>
    <row r="68">
      <c r="A68" s="625"/>
      <c r="B68" s="625"/>
    </row>
    <row r="69">
      <c r="A69" s="625"/>
      <c r="B69" s="625"/>
    </row>
    <row r="70">
      <c r="A70" s="625"/>
      <c r="B70" s="625"/>
    </row>
    <row r="71">
      <c r="A71" s="625"/>
      <c r="B71" s="625"/>
    </row>
    <row r="72">
      <c r="A72" s="625"/>
      <c r="B72" s="625"/>
    </row>
    <row r="73">
      <c r="A73" s="625"/>
      <c r="B73" s="625"/>
    </row>
    <row r="74">
      <c r="A74" s="625"/>
      <c r="B74" s="625"/>
    </row>
    <row r="75">
      <c r="A75" s="625"/>
      <c r="B75" s="625"/>
    </row>
    <row r="76">
      <c r="A76" s="625"/>
      <c r="B76" s="625"/>
    </row>
    <row r="77">
      <c r="A77" s="625"/>
      <c r="B77" s="625"/>
    </row>
    <row r="78">
      <c r="A78" s="625"/>
      <c r="B78" s="625"/>
    </row>
    <row r="79">
      <c r="A79" s="625"/>
      <c r="B79" s="625"/>
    </row>
    <row r="80">
      <c r="A80" s="625"/>
      <c r="B80" s="625"/>
    </row>
    <row r="81">
      <c r="A81" s="625"/>
      <c r="B81" s="625"/>
    </row>
    <row r="82">
      <c r="A82" s="625"/>
      <c r="B82" s="625"/>
    </row>
    <row r="83">
      <c r="A83" s="625"/>
      <c r="B83" s="625"/>
    </row>
    <row r="84">
      <c r="A84" s="625"/>
      <c r="B84" s="625"/>
    </row>
    <row r="85">
      <c r="A85" s="625"/>
      <c r="B85" s="625"/>
    </row>
    <row r="86">
      <c r="A86" s="625"/>
      <c r="B86" s="625"/>
    </row>
    <row r="87">
      <c r="A87" s="625"/>
      <c r="B87" s="625"/>
    </row>
    <row r="88">
      <c r="A88" s="625"/>
      <c r="B88" s="625"/>
    </row>
    <row r="89">
      <c r="A89" s="625"/>
      <c r="B89" s="625"/>
    </row>
    <row r="90">
      <c r="A90" s="625"/>
      <c r="B90" s="625"/>
    </row>
    <row r="91">
      <c r="A91" s="625"/>
      <c r="B91" s="625"/>
    </row>
    <row r="92">
      <c r="A92" s="625"/>
      <c r="B92" s="625"/>
    </row>
    <row r="93">
      <c r="A93" s="625"/>
      <c r="B93" s="625"/>
    </row>
    <row r="94">
      <c r="A94" s="625"/>
      <c r="B94" s="625"/>
    </row>
    <row r="95">
      <c r="A95" s="625"/>
      <c r="B95" s="625"/>
    </row>
    <row r="96">
      <c r="A96" s="625"/>
      <c r="B96" s="625"/>
    </row>
    <row r="97">
      <c r="A97" s="625"/>
      <c r="B97" s="625"/>
    </row>
    <row r="98">
      <c r="A98" s="625"/>
      <c r="B98" s="625"/>
    </row>
    <row r="99">
      <c r="A99" s="625"/>
      <c r="B99" s="625"/>
    </row>
    <row r="100">
      <c r="A100" s="625"/>
      <c r="B100" s="625"/>
    </row>
    <row r="101">
      <c r="A101" s="625"/>
      <c r="B101" s="625"/>
    </row>
    <row r="102">
      <c r="A102" s="625"/>
      <c r="B102" s="625"/>
    </row>
    <row r="103">
      <c r="A103" s="625"/>
      <c r="B103" s="625"/>
    </row>
    <row r="104">
      <c r="A104" s="625"/>
      <c r="B104" s="625"/>
    </row>
    <row r="105">
      <c r="A105" s="625"/>
      <c r="B105" s="625"/>
    </row>
    <row r="106">
      <c r="A106" s="625"/>
      <c r="B106" s="625"/>
    </row>
    <row r="107">
      <c r="A107" s="625"/>
      <c r="B107" s="625"/>
    </row>
    <row r="108">
      <c r="A108" s="625"/>
      <c r="B108" s="625"/>
    </row>
    <row r="109">
      <c r="A109" s="625"/>
      <c r="B109" s="625"/>
    </row>
    <row r="110">
      <c r="A110" s="625"/>
      <c r="B110" s="625"/>
    </row>
    <row r="111">
      <c r="A111" s="625"/>
      <c r="B111" s="625"/>
    </row>
    <row r="112">
      <c r="A112" s="625"/>
      <c r="B112" s="625"/>
    </row>
    <row r="113">
      <c r="A113" s="625"/>
      <c r="B113" s="625"/>
    </row>
    <row r="114">
      <c r="A114" s="625"/>
      <c r="B114" s="625"/>
    </row>
    <row r="115">
      <c r="A115" s="625"/>
      <c r="B115" s="625"/>
    </row>
    <row r="116">
      <c r="A116" s="625"/>
      <c r="B116" s="625"/>
    </row>
    <row r="117">
      <c r="A117" s="625"/>
      <c r="B117" s="625"/>
    </row>
    <row r="118">
      <c r="A118" s="625"/>
      <c r="B118" s="625"/>
    </row>
    <row r="119">
      <c r="A119" s="625"/>
      <c r="B119" s="625"/>
    </row>
    <row r="120">
      <c r="A120" s="625"/>
      <c r="B120" s="625"/>
    </row>
    <row r="121">
      <c r="A121" s="625"/>
      <c r="B121" s="625"/>
    </row>
    <row r="122">
      <c r="A122" s="625"/>
      <c r="B122" s="625"/>
    </row>
    <row r="123">
      <c r="A123" s="625"/>
      <c r="B123" s="625"/>
    </row>
    <row r="124">
      <c r="A124" s="625"/>
      <c r="B124" s="625"/>
    </row>
    <row r="125">
      <c r="A125" s="625"/>
      <c r="B125" s="625"/>
    </row>
    <row r="126">
      <c r="A126" s="625"/>
      <c r="B126" s="625"/>
    </row>
    <row r="127">
      <c r="A127" s="625"/>
      <c r="B127" s="625"/>
    </row>
    <row r="128">
      <c r="A128" s="625"/>
      <c r="B128" s="625"/>
    </row>
    <row r="129">
      <c r="A129" s="625"/>
      <c r="B129" s="625"/>
    </row>
    <row r="130">
      <c r="A130" s="625"/>
      <c r="B130" s="625"/>
    </row>
    <row r="131">
      <c r="A131" s="625"/>
      <c r="B131" s="625"/>
    </row>
    <row r="132">
      <c r="A132" s="625"/>
      <c r="B132" s="625"/>
    </row>
    <row r="133">
      <c r="A133" s="625"/>
      <c r="B133" s="625"/>
    </row>
    <row r="134">
      <c r="A134" s="625"/>
      <c r="B134" s="625"/>
    </row>
    <row r="135">
      <c r="A135" s="625"/>
      <c r="B135" s="625"/>
    </row>
    <row r="136">
      <c r="A136" s="625"/>
      <c r="B136" s="625"/>
    </row>
    <row r="137">
      <c r="A137" s="625"/>
      <c r="B137" s="625"/>
    </row>
    <row r="138">
      <c r="A138" s="625"/>
      <c r="B138" s="625"/>
    </row>
    <row r="139">
      <c r="A139" s="625"/>
      <c r="B139" s="625"/>
    </row>
    <row r="140">
      <c r="A140" s="625"/>
      <c r="B140" s="625"/>
    </row>
    <row r="141">
      <c r="A141" s="625"/>
      <c r="B141" s="625"/>
    </row>
    <row r="142">
      <c r="A142" s="625"/>
      <c r="B142" s="625"/>
    </row>
    <row r="143">
      <c r="A143" s="625"/>
      <c r="B143" s="625"/>
    </row>
    <row r="144">
      <c r="A144" s="625"/>
      <c r="B144" s="625"/>
    </row>
    <row r="145">
      <c r="A145" s="625"/>
      <c r="B145" s="625"/>
    </row>
    <row r="146">
      <c r="A146" s="625"/>
      <c r="B146" s="625"/>
    </row>
    <row r="147">
      <c r="A147" s="625"/>
      <c r="B147" s="625"/>
    </row>
    <row r="148">
      <c r="A148" s="625"/>
      <c r="B148" s="625"/>
    </row>
    <row r="149">
      <c r="A149" s="625"/>
      <c r="B149" s="625"/>
    </row>
    <row r="150">
      <c r="A150" s="625"/>
      <c r="B150" s="625"/>
    </row>
    <row r="151">
      <c r="A151" s="625"/>
      <c r="B151" s="625"/>
    </row>
    <row r="152">
      <c r="A152" s="625"/>
      <c r="B152" s="625"/>
    </row>
    <row r="153">
      <c r="A153" s="625"/>
      <c r="B153" s="625"/>
    </row>
    <row r="154">
      <c r="A154" s="625"/>
      <c r="B154" s="625"/>
    </row>
    <row r="155">
      <c r="A155" s="625"/>
      <c r="B155" s="625"/>
    </row>
    <row r="156">
      <c r="A156" s="625"/>
      <c r="B156" s="625"/>
    </row>
    <row r="157">
      <c r="A157" s="625"/>
      <c r="B157" s="625"/>
    </row>
    <row r="158">
      <c r="A158" s="625"/>
      <c r="B158" s="625"/>
    </row>
    <row r="159">
      <c r="A159" s="625"/>
      <c r="B159" s="625"/>
    </row>
    <row r="160">
      <c r="A160" s="625"/>
      <c r="B160" s="625"/>
    </row>
    <row r="161">
      <c r="A161" s="625"/>
      <c r="B161" s="625"/>
    </row>
    <row r="162">
      <c r="A162" s="625"/>
      <c r="B162" s="625"/>
    </row>
    <row r="163">
      <c r="A163" s="625"/>
      <c r="B163" s="625"/>
    </row>
    <row r="164">
      <c r="A164" s="625"/>
      <c r="B164" s="625"/>
    </row>
    <row r="165">
      <c r="A165" s="625"/>
      <c r="B165" s="625"/>
    </row>
    <row r="166">
      <c r="A166" s="625"/>
      <c r="B166" s="625"/>
    </row>
    <row r="167">
      <c r="A167" s="625"/>
      <c r="B167" s="625"/>
    </row>
    <row r="168">
      <c r="A168" s="625"/>
      <c r="B168" s="625"/>
    </row>
    <row r="169">
      <c r="A169" s="625"/>
      <c r="B169" s="625"/>
    </row>
    <row r="170">
      <c r="A170" s="625"/>
      <c r="B170" s="625"/>
    </row>
    <row r="171">
      <c r="A171" s="625"/>
      <c r="B171" s="625"/>
    </row>
    <row r="172">
      <c r="A172" s="625"/>
      <c r="B172" s="625"/>
    </row>
    <row r="173">
      <c r="A173" s="625"/>
      <c r="B173" s="625"/>
    </row>
    <row r="174">
      <c r="A174" s="625"/>
      <c r="B174" s="625"/>
    </row>
    <row r="175">
      <c r="A175" s="625"/>
      <c r="B175" s="625"/>
    </row>
    <row r="176">
      <c r="A176" s="625"/>
      <c r="B176" s="625"/>
    </row>
    <row r="177">
      <c r="A177" s="625"/>
      <c r="B177" s="625"/>
    </row>
    <row r="178">
      <c r="A178" s="625"/>
      <c r="B178" s="625"/>
    </row>
    <row r="179">
      <c r="A179" s="625"/>
      <c r="B179" s="625"/>
    </row>
    <row r="180">
      <c r="A180" s="625"/>
      <c r="B180" s="625"/>
    </row>
    <row r="181">
      <c r="A181" s="625"/>
      <c r="B181" s="625"/>
    </row>
    <row r="182">
      <c r="A182" s="625"/>
      <c r="B182" s="625"/>
    </row>
    <row r="183">
      <c r="A183" s="625"/>
      <c r="B183" s="625"/>
    </row>
    <row r="184">
      <c r="A184" s="625"/>
      <c r="B184" s="625"/>
    </row>
    <row r="185">
      <c r="A185" s="625"/>
      <c r="B185" s="625"/>
    </row>
    <row r="186">
      <c r="A186" s="625"/>
      <c r="B186" s="625"/>
    </row>
    <row r="187">
      <c r="A187" s="625"/>
      <c r="B187" s="625"/>
    </row>
    <row r="188">
      <c r="A188" s="625"/>
      <c r="B188" s="625"/>
    </row>
    <row r="189">
      <c r="A189" s="625"/>
      <c r="B189" s="625"/>
    </row>
    <row r="190">
      <c r="A190" s="625"/>
      <c r="B190" s="625"/>
    </row>
    <row r="191">
      <c r="A191" s="625"/>
      <c r="B191" s="625"/>
    </row>
    <row r="192">
      <c r="A192" s="625"/>
      <c r="B192" s="625"/>
    </row>
    <row r="193">
      <c r="A193" s="625"/>
      <c r="B193" s="625"/>
    </row>
    <row r="194">
      <c r="A194" s="625"/>
      <c r="B194" s="625"/>
    </row>
    <row r="195">
      <c r="A195" s="625"/>
      <c r="B195" s="625"/>
    </row>
    <row r="196">
      <c r="A196" s="625"/>
      <c r="B196" s="625"/>
    </row>
    <row r="197">
      <c r="A197" s="625"/>
      <c r="B197" s="625"/>
    </row>
    <row r="198">
      <c r="A198" s="625"/>
      <c r="B198" s="625"/>
    </row>
    <row r="199">
      <c r="A199" s="625"/>
      <c r="B199" s="625"/>
    </row>
    <row r="200">
      <c r="A200" s="625"/>
      <c r="B200" s="625"/>
    </row>
    <row r="201">
      <c r="A201" s="625"/>
      <c r="B201" s="625"/>
    </row>
    <row r="202">
      <c r="A202" s="625"/>
      <c r="B202" s="625"/>
    </row>
    <row r="203">
      <c r="A203" s="625"/>
      <c r="B203" s="625"/>
    </row>
    <row r="204">
      <c r="A204" s="625"/>
      <c r="B204" s="625"/>
    </row>
    <row r="205">
      <c r="A205" s="625"/>
      <c r="B205" s="625"/>
    </row>
    <row r="206">
      <c r="A206" s="625"/>
      <c r="B206" s="625"/>
    </row>
    <row r="207">
      <c r="A207" s="625"/>
      <c r="B207" s="625"/>
    </row>
    <row r="208">
      <c r="A208" s="625"/>
      <c r="B208" s="625"/>
    </row>
    <row r="209">
      <c r="A209" s="625"/>
      <c r="B209" s="625"/>
    </row>
    <row r="210">
      <c r="A210" s="625"/>
      <c r="B210" s="625"/>
    </row>
    <row r="211">
      <c r="A211" s="625"/>
      <c r="B211" s="625"/>
    </row>
    <row r="212">
      <c r="A212" s="625"/>
      <c r="B212" s="625"/>
    </row>
    <row r="213">
      <c r="A213" s="625"/>
      <c r="B213" s="625"/>
    </row>
    <row r="214">
      <c r="A214" s="625"/>
      <c r="B214" s="625"/>
    </row>
    <row r="215">
      <c r="A215" s="625"/>
      <c r="B215" s="625"/>
    </row>
    <row r="216">
      <c r="A216" s="625"/>
      <c r="B216" s="625"/>
    </row>
    <row r="217">
      <c r="A217" s="625"/>
      <c r="B217" s="625"/>
    </row>
    <row r="218">
      <c r="A218" s="625"/>
      <c r="B218" s="625"/>
    </row>
    <row r="219">
      <c r="A219" s="625"/>
      <c r="B219" s="625"/>
    </row>
    <row r="220">
      <c r="A220" s="625"/>
      <c r="B220" s="625"/>
    </row>
    <row r="221">
      <c r="A221" s="625"/>
      <c r="B221" s="625"/>
    </row>
    <row r="222">
      <c r="A222" s="625"/>
      <c r="B222" s="625"/>
    </row>
    <row r="223">
      <c r="A223" s="625"/>
      <c r="B223" s="625"/>
    </row>
    <row r="224">
      <c r="A224" s="625"/>
      <c r="B224" s="625"/>
    </row>
    <row r="225">
      <c r="A225" s="625"/>
      <c r="B225" s="625"/>
    </row>
    <row r="226">
      <c r="A226" s="625"/>
      <c r="B226" s="625"/>
    </row>
    <row r="227">
      <c r="A227" s="625"/>
      <c r="B227" s="625"/>
    </row>
    <row r="228">
      <c r="A228" s="625"/>
      <c r="B228" s="625"/>
    </row>
    <row r="229">
      <c r="A229" s="625"/>
      <c r="B229" s="625"/>
    </row>
    <row r="230">
      <c r="A230" s="625"/>
      <c r="B230" s="625"/>
    </row>
    <row r="231">
      <c r="A231" s="625"/>
      <c r="B231" s="625"/>
    </row>
    <row r="232">
      <c r="A232" s="625"/>
      <c r="B232" s="625"/>
    </row>
    <row r="233">
      <c r="A233" s="625"/>
      <c r="B233" s="625"/>
    </row>
    <row r="234">
      <c r="A234" s="625"/>
      <c r="B234" s="625"/>
    </row>
    <row r="235">
      <c r="A235" s="625"/>
      <c r="B235" s="625"/>
    </row>
    <row r="236">
      <c r="A236" s="625"/>
      <c r="B236" s="625"/>
    </row>
    <row r="237">
      <c r="A237" s="625"/>
      <c r="B237" s="625"/>
    </row>
    <row r="238">
      <c r="A238" s="625"/>
      <c r="B238" s="625"/>
    </row>
    <row r="239">
      <c r="A239" s="625"/>
      <c r="B239" s="625"/>
    </row>
    <row r="240">
      <c r="A240" s="625"/>
      <c r="B240" s="625"/>
    </row>
    <row r="241">
      <c r="A241" s="625"/>
      <c r="B241" s="625"/>
    </row>
    <row r="242">
      <c r="A242" s="625"/>
      <c r="B242" s="625"/>
    </row>
    <row r="243">
      <c r="A243" s="625"/>
      <c r="B243" s="625"/>
    </row>
    <row r="244">
      <c r="A244" s="625"/>
      <c r="B244" s="625"/>
    </row>
    <row r="245">
      <c r="A245" s="625"/>
      <c r="B245" s="625"/>
    </row>
    <row r="246">
      <c r="A246" s="625"/>
      <c r="B246" s="625"/>
    </row>
    <row r="247">
      <c r="A247" s="625"/>
      <c r="B247" s="625"/>
    </row>
    <row r="248">
      <c r="A248" s="625"/>
      <c r="B248" s="625"/>
    </row>
    <row r="249">
      <c r="A249" s="625"/>
      <c r="B249" s="625"/>
    </row>
    <row r="250">
      <c r="A250" s="625"/>
      <c r="B250" s="625"/>
    </row>
    <row r="251">
      <c r="A251" s="625"/>
      <c r="B251" s="625"/>
    </row>
    <row r="252">
      <c r="A252" s="625"/>
      <c r="B252" s="625"/>
    </row>
    <row r="253">
      <c r="A253" s="625"/>
      <c r="B253" s="625"/>
    </row>
    <row r="254">
      <c r="A254" s="625"/>
      <c r="B254" s="625"/>
    </row>
    <row r="255">
      <c r="A255" s="625"/>
      <c r="B255" s="625"/>
    </row>
    <row r="256">
      <c r="A256" s="625"/>
      <c r="B256" s="625"/>
    </row>
    <row r="257">
      <c r="A257" s="625"/>
      <c r="B257" s="625"/>
    </row>
    <row r="258">
      <c r="A258" s="625"/>
      <c r="B258" s="625"/>
    </row>
    <row r="259">
      <c r="A259" s="625"/>
      <c r="B259" s="625"/>
    </row>
    <row r="260">
      <c r="A260" s="625"/>
      <c r="B260" s="625"/>
    </row>
    <row r="261">
      <c r="A261" s="625"/>
      <c r="B261" s="625"/>
    </row>
    <row r="262">
      <c r="A262" s="625"/>
      <c r="B262" s="625"/>
    </row>
    <row r="263">
      <c r="A263" s="625"/>
      <c r="B263" s="625"/>
    </row>
    <row r="264">
      <c r="A264" s="625"/>
      <c r="B264" s="625"/>
    </row>
    <row r="265">
      <c r="A265" s="625"/>
      <c r="B265" s="625"/>
    </row>
    <row r="266">
      <c r="A266" s="625"/>
      <c r="B266" s="625"/>
    </row>
    <row r="267">
      <c r="A267" s="625"/>
      <c r="B267" s="625"/>
    </row>
    <row r="268">
      <c r="A268" s="625"/>
      <c r="B268" s="625"/>
    </row>
    <row r="269">
      <c r="A269" s="625"/>
      <c r="B269" s="625"/>
    </row>
    <row r="270">
      <c r="A270" s="625"/>
      <c r="B270" s="625"/>
    </row>
    <row r="271">
      <c r="A271" s="625"/>
      <c r="B271" s="625"/>
    </row>
    <row r="272">
      <c r="A272" s="625"/>
      <c r="B272" s="625"/>
    </row>
    <row r="273">
      <c r="A273" s="625"/>
      <c r="B273" s="625"/>
    </row>
    <row r="274">
      <c r="A274" s="625"/>
      <c r="B274" s="625"/>
    </row>
    <row r="275">
      <c r="A275" s="625"/>
      <c r="B275" s="625"/>
    </row>
    <row r="276">
      <c r="A276" s="625"/>
      <c r="B276" s="625"/>
    </row>
    <row r="277">
      <c r="A277" s="625"/>
      <c r="B277" s="625"/>
    </row>
    <row r="278">
      <c r="A278" s="625"/>
      <c r="B278" s="625"/>
    </row>
    <row r="279">
      <c r="A279" s="625"/>
      <c r="B279" s="625"/>
    </row>
    <row r="280">
      <c r="A280" s="625"/>
      <c r="B280" s="625"/>
    </row>
    <row r="281">
      <c r="A281" s="625"/>
      <c r="B281" s="625"/>
    </row>
    <row r="282">
      <c r="A282" s="625"/>
      <c r="B282" s="625"/>
    </row>
    <row r="283">
      <c r="A283" s="625"/>
      <c r="B283" s="625"/>
    </row>
    <row r="284">
      <c r="A284" s="625"/>
      <c r="B284" s="625"/>
    </row>
    <row r="285">
      <c r="A285" s="625"/>
      <c r="B285" s="625"/>
    </row>
    <row r="286">
      <c r="A286" s="625"/>
      <c r="B286" s="625"/>
    </row>
    <row r="287">
      <c r="A287" s="625"/>
      <c r="B287" s="625"/>
    </row>
    <row r="288">
      <c r="A288" s="625"/>
      <c r="B288" s="625"/>
    </row>
    <row r="289">
      <c r="A289" s="625"/>
      <c r="B289" s="625"/>
    </row>
    <row r="290">
      <c r="A290" s="625"/>
      <c r="B290" s="625"/>
    </row>
    <row r="291">
      <c r="A291" s="625"/>
      <c r="B291" s="625"/>
    </row>
    <row r="292">
      <c r="A292" s="625"/>
      <c r="B292" s="625"/>
    </row>
    <row r="293">
      <c r="A293" s="625"/>
      <c r="B293" s="625"/>
    </row>
    <row r="294">
      <c r="A294" s="625"/>
      <c r="B294" s="625"/>
    </row>
    <row r="295">
      <c r="A295" s="625"/>
      <c r="B295" s="625"/>
    </row>
    <row r="296">
      <c r="A296" s="625"/>
      <c r="B296" s="625"/>
    </row>
    <row r="297">
      <c r="A297" s="625"/>
      <c r="B297" s="625"/>
    </row>
    <row r="298">
      <c r="A298" s="625"/>
      <c r="B298" s="625"/>
    </row>
    <row r="299">
      <c r="A299" s="625"/>
      <c r="B299" s="625"/>
    </row>
    <row r="300">
      <c r="A300" s="625"/>
      <c r="B300" s="625"/>
    </row>
    <row r="301">
      <c r="A301" s="625"/>
      <c r="B301" s="625"/>
    </row>
    <row r="302">
      <c r="A302" s="625"/>
      <c r="B302" s="625"/>
    </row>
    <row r="303">
      <c r="A303" s="625"/>
      <c r="B303" s="625"/>
    </row>
    <row r="304">
      <c r="A304" s="625"/>
      <c r="B304" s="625"/>
    </row>
    <row r="305">
      <c r="A305" s="625"/>
      <c r="B305" s="625"/>
    </row>
    <row r="306">
      <c r="A306" s="625"/>
      <c r="B306" s="625"/>
    </row>
    <row r="307">
      <c r="A307" s="625"/>
      <c r="B307" s="625"/>
    </row>
    <row r="308">
      <c r="A308" s="625"/>
      <c r="B308" s="625"/>
    </row>
    <row r="309">
      <c r="A309" s="625"/>
      <c r="B309" s="625"/>
    </row>
    <row r="310">
      <c r="A310" s="625"/>
      <c r="B310" s="625"/>
    </row>
    <row r="311">
      <c r="A311" s="625"/>
      <c r="B311" s="625"/>
    </row>
    <row r="312">
      <c r="A312" s="625"/>
      <c r="B312" s="625"/>
    </row>
    <row r="313">
      <c r="A313" s="625"/>
      <c r="B313" s="625"/>
    </row>
    <row r="314">
      <c r="A314" s="625"/>
      <c r="B314" s="625"/>
    </row>
    <row r="315">
      <c r="A315" s="625"/>
      <c r="B315" s="625"/>
    </row>
    <row r="316">
      <c r="A316" s="625"/>
      <c r="B316" s="625"/>
    </row>
    <row r="317">
      <c r="A317" s="625"/>
      <c r="B317" s="625"/>
    </row>
    <row r="318">
      <c r="A318" s="625"/>
      <c r="B318" s="625"/>
    </row>
    <row r="319">
      <c r="A319" s="625"/>
      <c r="B319" s="625"/>
    </row>
    <row r="320">
      <c r="A320" s="625"/>
      <c r="B320" s="625"/>
    </row>
    <row r="321">
      <c r="A321" s="625"/>
      <c r="B321" s="625"/>
    </row>
    <row r="322">
      <c r="A322" s="625"/>
      <c r="B322" s="625"/>
    </row>
    <row r="323">
      <c r="A323" s="625"/>
      <c r="B323" s="625"/>
    </row>
    <row r="324">
      <c r="A324" s="625"/>
      <c r="B324" s="625"/>
    </row>
    <row r="325">
      <c r="A325" s="625"/>
      <c r="B325" s="625"/>
    </row>
    <row r="326">
      <c r="A326" s="625"/>
      <c r="B326" s="625"/>
    </row>
    <row r="327">
      <c r="A327" s="625"/>
      <c r="B327" s="625"/>
    </row>
    <row r="328">
      <c r="A328" s="625"/>
      <c r="B328" s="625"/>
    </row>
    <row r="329">
      <c r="A329" s="625"/>
      <c r="B329" s="625"/>
    </row>
    <row r="330">
      <c r="A330" s="625"/>
      <c r="B330" s="625"/>
    </row>
    <row r="331">
      <c r="A331" s="625"/>
      <c r="B331" s="625"/>
    </row>
    <row r="332">
      <c r="A332" s="625"/>
      <c r="B332" s="625"/>
    </row>
    <row r="333">
      <c r="A333" s="625"/>
      <c r="B333" s="625"/>
    </row>
    <row r="334">
      <c r="A334" s="625"/>
      <c r="B334" s="625"/>
    </row>
    <row r="335">
      <c r="A335" s="625"/>
      <c r="B335" s="625"/>
    </row>
    <row r="336">
      <c r="A336" s="625"/>
      <c r="B336" s="625"/>
    </row>
    <row r="337">
      <c r="A337" s="625"/>
      <c r="B337" s="625"/>
    </row>
    <row r="338">
      <c r="A338" s="625"/>
      <c r="B338" s="625"/>
    </row>
    <row r="339">
      <c r="A339" s="625"/>
      <c r="B339" s="625"/>
    </row>
    <row r="340">
      <c r="A340" s="625"/>
      <c r="B340" s="625"/>
    </row>
    <row r="341">
      <c r="A341" s="625"/>
      <c r="B341" s="625"/>
    </row>
    <row r="342">
      <c r="A342" s="625"/>
      <c r="B342" s="625"/>
    </row>
    <row r="343">
      <c r="A343" s="625"/>
      <c r="B343" s="625"/>
    </row>
    <row r="344">
      <c r="A344" s="625"/>
      <c r="B344" s="625"/>
    </row>
    <row r="345">
      <c r="A345" s="625"/>
      <c r="B345" s="625"/>
    </row>
    <row r="346">
      <c r="A346" s="625"/>
      <c r="B346" s="625"/>
    </row>
    <row r="347">
      <c r="A347" s="625"/>
      <c r="B347" s="625"/>
    </row>
    <row r="348">
      <c r="A348" s="625"/>
      <c r="B348" s="625"/>
    </row>
    <row r="349">
      <c r="A349" s="625"/>
      <c r="B349" s="625"/>
    </row>
    <row r="350">
      <c r="A350" s="625"/>
      <c r="B350" s="625"/>
    </row>
    <row r="351">
      <c r="A351" s="625"/>
      <c r="B351" s="625"/>
    </row>
    <row r="352">
      <c r="A352" s="625"/>
      <c r="B352" s="625"/>
    </row>
    <row r="353">
      <c r="A353" s="625"/>
      <c r="B353" s="625"/>
    </row>
    <row r="354">
      <c r="A354" s="625"/>
      <c r="B354" s="625"/>
    </row>
    <row r="355">
      <c r="A355" s="625"/>
      <c r="B355" s="625"/>
    </row>
    <row r="356">
      <c r="A356" s="625"/>
      <c r="B356" s="625"/>
    </row>
    <row r="357">
      <c r="A357" s="625"/>
      <c r="B357" s="625"/>
    </row>
    <row r="358">
      <c r="A358" s="625"/>
      <c r="B358" s="625"/>
    </row>
    <row r="359">
      <c r="A359" s="625"/>
      <c r="B359" s="625"/>
    </row>
    <row r="360">
      <c r="A360" s="625"/>
      <c r="B360" s="625"/>
    </row>
    <row r="361">
      <c r="A361" s="625"/>
      <c r="B361" s="625"/>
    </row>
    <row r="362">
      <c r="A362" s="625"/>
      <c r="B362" s="625"/>
    </row>
    <row r="363">
      <c r="A363" s="625"/>
      <c r="B363" s="625"/>
    </row>
    <row r="364">
      <c r="A364" s="625"/>
      <c r="B364" s="625"/>
    </row>
    <row r="365">
      <c r="A365" s="625"/>
      <c r="B365" s="625"/>
    </row>
    <row r="366">
      <c r="A366" s="625"/>
      <c r="B366" s="625"/>
    </row>
    <row r="367">
      <c r="A367" s="625"/>
      <c r="B367" s="625"/>
    </row>
    <row r="368">
      <c r="A368" s="625"/>
      <c r="B368" s="625"/>
    </row>
    <row r="369">
      <c r="A369" s="625"/>
      <c r="B369" s="625"/>
    </row>
    <row r="370">
      <c r="A370" s="625"/>
      <c r="B370" s="625"/>
    </row>
    <row r="371">
      <c r="A371" s="625"/>
      <c r="B371" s="625"/>
    </row>
    <row r="372">
      <c r="A372" s="625"/>
      <c r="B372" s="625"/>
    </row>
    <row r="373">
      <c r="A373" s="625"/>
      <c r="B373" s="625"/>
    </row>
    <row r="374">
      <c r="A374" s="625"/>
      <c r="B374" s="625"/>
    </row>
    <row r="375">
      <c r="A375" s="625"/>
      <c r="B375" s="625"/>
    </row>
    <row r="376">
      <c r="A376" s="625"/>
      <c r="B376" s="625"/>
    </row>
    <row r="377">
      <c r="A377" s="625"/>
      <c r="B377" s="625"/>
    </row>
    <row r="378">
      <c r="A378" s="625"/>
      <c r="B378" s="625"/>
    </row>
    <row r="379">
      <c r="A379" s="625"/>
      <c r="B379" s="625"/>
    </row>
    <row r="380">
      <c r="A380" s="625"/>
      <c r="B380" s="625"/>
    </row>
    <row r="381">
      <c r="A381" s="625"/>
      <c r="B381" s="625"/>
    </row>
    <row r="382">
      <c r="A382" s="625"/>
      <c r="B382" s="625"/>
    </row>
    <row r="383">
      <c r="A383" s="625"/>
      <c r="B383" s="625"/>
    </row>
    <row r="384">
      <c r="A384" s="625"/>
      <c r="B384" s="625"/>
    </row>
    <row r="385">
      <c r="A385" s="625"/>
      <c r="B385" s="625"/>
    </row>
    <row r="386">
      <c r="A386" s="625"/>
      <c r="B386" s="625"/>
    </row>
    <row r="387">
      <c r="A387" s="625"/>
      <c r="B387" s="625"/>
    </row>
    <row r="388">
      <c r="A388" s="625"/>
      <c r="B388" s="625"/>
    </row>
    <row r="389">
      <c r="A389" s="625"/>
      <c r="B389" s="625"/>
    </row>
    <row r="390">
      <c r="A390" s="625"/>
      <c r="B390" s="625"/>
    </row>
    <row r="391">
      <c r="A391" s="625"/>
      <c r="B391" s="625"/>
    </row>
    <row r="392">
      <c r="A392" s="625"/>
      <c r="B392" s="625"/>
    </row>
    <row r="393">
      <c r="A393" s="625"/>
      <c r="B393" s="625"/>
    </row>
    <row r="394">
      <c r="A394" s="625"/>
      <c r="B394" s="625"/>
    </row>
    <row r="395">
      <c r="A395" s="625"/>
      <c r="B395" s="625"/>
    </row>
    <row r="396">
      <c r="A396" s="625"/>
      <c r="B396" s="625"/>
    </row>
    <row r="397">
      <c r="A397" s="625"/>
      <c r="B397" s="625"/>
    </row>
    <row r="398">
      <c r="A398" s="625"/>
      <c r="B398" s="625"/>
    </row>
    <row r="399">
      <c r="A399" s="625"/>
      <c r="B399" s="625"/>
    </row>
    <row r="400">
      <c r="A400" s="625"/>
      <c r="B400" s="625"/>
    </row>
    <row r="401">
      <c r="A401" s="625"/>
      <c r="B401" s="625"/>
    </row>
    <row r="402">
      <c r="A402" s="625"/>
      <c r="B402" s="625"/>
    </row>
    <row r="403">
      <c r="A403" s="625"/>
      <c r="B403" s="625"/>
    </row>
    <row r="404">
      <c r="A404" s="625"/>
      <c r="B404" s="625"/>
    </row>
    <row r="405">
      <c r="A405" s="625"/>
      <c r="B405" s="625"/>
    </row>
    <row r="406">
      <c r="A406" s="625"/>
      <c r="B406" s="625"/>
    </row>
    <row r="407">
      <c r="A407" s="625"/>
      <c r="B407" s="625"/>
    </row>
    <row r="408">
      <c r="A408" s="625"/>
      <c r="B408" s="625"/>
    </row>
    <row r="409">
      <c r="A409" s="625"/>
      <c r="B409" s="625"/>
    </row>
    <row r="410">
      <c r="A410" s="625"/>
      <c r="B410" s="625"/>
    </row>
    <row r="411">
      <c r="A411" s="625"/>
      <c r="B411" s="625"/>
    </row>
    <row r="412">
      <c r="A412" s="625"/>
      <c r="B412" s="625"/>
    </row>
    <row r="413">
      <c r="A413" s="625"/>
      <c r="B413" s="625"/>
    </row>
    <row r="414">
      <c r="A414" s="625"/>
      <c r="B414" s="625"/>
    </row>
    <row r="415">
      <c r="A415" s="625"/>
      <c r="B415" s="625"/>
    </row>
    <row r="416">
      <c r="A416" s="625"/>
      <c r="B416" s="625"/>
    </row>
    <row r="417">
      <c r="A417" s="625"/>
      <c r="B417" s="625"/>
    </row>
    <row r="418">
      <c r="A418" s="625"/>
      <c r="B418" s="625"/>
    </row>
    <row r="419">
      <c r="A419" s="625"/>
      <c r="B419" s="625"/>
    </row>
    <row r="420">
      <c r="A420" s="625"/>
      <c r="B420" s="625"/>
    </row>
    <row r="421">
      <c r="A421" s="625"/>
      <c r="B421" s="625"/>
    </row>
    <row r="422">
      <c r="A422" s="625"/>
      <c r="B422" s="625"/>
    </row>
    <row r="423">
      <c r="A423" s="625"/>
      <c r="B423" s="625"/>
    </row>
    <row r="424">
      <c r="A424" s="625"/>
      <c r="B424" s="625"/>
    </row>
    <row r="425">
      <c r="A425" s="625"/>
      <c r="B425" s="625"/>
    </row>
    <row r="426">
      <c r="A426" s="625"/>
      <c r="B426" s="625"/>
    </row>
    <row r="427">
      <c r="A427" s="625"/>
      <c r="B427" s="625"/>
    </row>
    <row r="428">
      <c r="A428" s="625"/>
      <c r="B428" s="625"/>
    </row>
    <row r="429">
      <c r="A429" s="625"/>
      <c r="B429" s="625"/>
    </row>
    <row r="430">
      <c r="A430" s="625"/>
      <c r="B430" s="625"/>
    </row>
    <row r="431">
      <c r="A431" s="625"/>
      <c r="B431" s="625"/>
    </row>
    <row r="432">
      <c r="A432" s="625"/>
      <c r="B432" s="625"/>
    </row>
    <row r="433">
      <c r="A433" s="625"/>
      <c r="B433" s="625"/>
    </row>
    <row r="434">
      <c r="A434" s="625"/>
      <c r="B434" s="625"/>
    </row>
    <row r="435">
      <c r="A435" s="625"/>
      <c r="B435" s="625"/>
    </row>
    <row r="436">
      <c r="A436" s="625"/>
      <c r="B436" s="625"/>
    </row>
    <row r="437">
      <c r="A437" s="625"/>
      <c r="B437" s="625"/>
    </row>
    <row r="438">
      <c r="A438" s="625"/>
      <c r="B438" s="625"/>
    </row>
    <row r="439">
      <c r="A439" s="625"/>
      <c r="B439" s="625"/>
    </row>
    <row r="440">
      <c r="A440" s="625"/>
      <c r="B440" s="625"/>
    </row>
    <row r="441">
      <c r="A441" s="625"/>
      <c r="B441" s="625"/>
    </row>
    <row r="442">
      <c r="A442" s="625"/>
      <c r="B442" s="625"/>
    </row>
    <row r="443">
      <c r="A443" s="625"/>
      <c r="B443" s="625"/>
    </row>
    <row r="444">
      <c r="A444" s="625"/>
      <c r="B444" s="625"/>
    </row>
    <row r="445">
      <c r="A445" s="625"/>
      <c r="B445" s="625"/>
    </row>
    <row r="446">
      <c r="A446" s="625"/>
      <c r="B446" s="625"/>
    </row>
    <row r="447">
      <c r="A447" s="625"/>
      <c r="B447" s="625"/>
    </row>
    <row r="448">
      <c r="A448" s="625"/>
      <c r="B448" s="625"/>
    </row>
    <row r="449">
      <c r="A449" s="625"/>
      <c r="B449" s="625"/>
    </row>
    <row r="450">
      <c r="A450" s="625"/>
      <c r="B450" s="625"/>
    </row>
    <row r="451">
      <c r="A451" s="625"/>
      <c r="B451" s="625"/>
    </row>
    <row r="452">
      <c r="A452" s="625"/>
      <c r="B452" s="625"/>
    </row>
    <row r="453">
      <c r="A453" s="625"/>
      <c r="B453" s="625"/>
    </row>
    <row r="454">
      <c r="A454" s="625"/>
      <c r="B454" s="625"/>
    </row>
    <row r="455">
      <c r="A455" s="625"/>
      <c r="B455" s="625"/>
    </row>
    <row r="456">
      <c r="A456" s="625"/>
      <c r="B456" s="625"/>
    </row>
    <row r="457">
      <c r="A457" s="625"/>
      <c r="B457" s="625"/>
    </row>
    <row r="458">
      <c r="A458" s="625"/>
      <c r="B458" s="625"/>
    </row>
    <row r="459">
      <c r="A459" s="625"/>
      <c r="B459" s="625"/>
    </row>
    <row r="460">
      <c r="A460" s="625"/>
      <c r="B460" s="625"/>
    </row>
    <row r="461">
      <c r="A461" s="625"/>
      <c r="B461" s="625"/>
    </row>
    <row r="462">
      <c r="A462" s="625"/>
      <c r="B462" s="625"/>
    </row>
    <row r="463">
      <c r="A463" s="625"/>
      <c r="B463" s="625"/>
    </row>
    <row r="464">
      <c r="A464" s="625"/>
      <c r="B464" s="625"/>
    </row>
    <row r="465">
      <c r="A465" s="625"/>
      <c r="B465" s="625"/>
    </row>
    <row r="466">
      <c r="A466" s="625"/>
      <c r="B466" s="625"/>
    </row>
    <row r="467">
      <c r="A467" s="625"/>
      <c r="B467" s="625"/>
    </row>
    <row r="468">
      <c r="A468" s="625"/>
      <c r="B468" s="625"/>
    </row>
    <row r="469">
      <c r="A469" s="625"/>
      <c r="B469" s="625"/>
    </row>
    <row r="470">
      <c r="A470" s="625"/>
      <c r="B470" s="625"/>
    </row>
    <row r="471">
      <c r="A471" s="625"/>
      <c r="B471" s="625"/>
    </row>
    <row r="472">
      <c r="A472" s="625"/>
      <c r="B472" s="625"/>
    </row>
    <row r="473">
      <c r="A473" s="625"/>
      <c r="B473" s="625"/>
    </row>
    <row r="474">
      <c r="A474" s="625"/>
      <c r="B474" s="625"/>
    </row>
    <row r="475">
      <c r="A475" s="625"/>
      <c r="B475" s="625"/>
    </row>
    <row r="476">
      <c r="A476" s="625"/>
      <c r="B476" s="625"/>
    </row>
    <row r="477">
      <c r="A477" s="625"/>
      <c r="B477" s="625"/>
    </row>
    <row r="478">
      <c r="A478" s="625"/>
      <c r="B478" s="625"/>
    </row>
    <row r="479">
      <c r="A479" s="625"/>
      <c r="B479" s="625"/>
    </row>
    <row r="480">
      <c r="A480" s="625"/>
      <c r="B480" s="625"/>
    </row>
    <row r="481">
      <c r="A481" s="625"/>
      <c r="B481" s="625"/>
    </row>
    <row r="482">
      <c r="A482" s="625"/>
      <c r="B482" s="625"/>
    </row>
    <row r="483">
      <c r="A483" s="625"/>
      <c r="B483" s="625"/>
    </row>
    <row r="484">
      <c r="A484" s="625"/>
      <c r="B484" s="625"/>
    </row>
    <row r="485">
      <c r="A485" s="625"/>
      <c r="B485" s="625"/>
    </row>
    <row r="486">
      <c r="A486" s="625"/>
      <c r="B486" s="625"/>
    </row>
    <row r="487">
      <c r="A487" s="625"/>
      <c r="B487" s="625"/>
    </row>
    <row r="488">
      <c r="A488" s="625"/>
      <c r="B488" s="625"/>
    </row>
    <row r="489">
      <c r="A489" s="625"/>
      <c r="B489" s="625"/>
    </row>
    <row r="490">
      <c r="A490" s="625"/>
      <c r="B490" s="625"/>
    </row>
    <row r="491">
      <c r="A491" s="625"/>
      <c r="B491" s="625"/>
    </row>
    <row r="492">
      <c r="A492" s="625"/>
      <c r="B492" s="625"/>
    </row>
    <row r="493">
      <c r="A493" s="625"/>
      <c r="B493" s="625"/>
    </row>
    <row r="494">
      <c r="A494" s="625"/>
      <c r="B494" s="625"/>
    </row>
    <row r="495">
      <c r="A495" s="625"/>
      <c r="B495" s="625"/>
    </row>
    <row r="496">
      <c r="A496" s="625"/>
      <c r="B496" s="625"/>
    </row>
    <row r="497">
      <c r="A497" s="625"/>
      <c r="B497" s="625"/>
    </row>
    <row r="498">
      <c r="A498" s="625"/>
      <c r="B498" s="625"/>
    </row>
    <row r="499">
      <c r="A499" s="625"/>
      <c r="B499" s="625"/>
    </row>
    <row r="500">
      <c r="A500" s="625"/>
      <c r="B500" s="625"/>
    </row>
    <row r="501">
      <c r="A501" s="625"/>
      <c r="B501" s="625"/>
    </row>
    <row r="502">
      <c r="A502" s="625"/>
      <c r="B502" s="625"/>
    </row>
    <row r="503">
      <c r="A503" s="625"/>
      <c r="B503" s="625"/>
    </row>
    <row r="504">
      <c r="A504" s="625"/>
      <c r="B504" s="625"/>
    </row>
    <row r="505">
      <c r="A505" s="625"/>
      <c r="B505" s="625"/>
    </row>
    <row r="506">
      <c r="A506" s="625"/>
      <c r="B506" s="625"/>
    </row>
    <row r="507">
      <c r="A507" s="625"/>
      <c r="B507" s="625"/>
    </row>
    <row r="508">
      <c r="A508" s="625"/>
      <c r="B508" s="625"/>
    </row>
    <row r="509">
      <c r="A509" s="625"/>
      <c r="B509" s="625"/>
    </row>
    <row r="510">
      <c r="A510" s="625"/>
      <c r="B510" s="625"/>
    </row>
    <row r="511">
      <c r="A511" s="625"/>
      <c r="B511" s="625"/>
    </row>
    <row r="512">
      <c r="A512" s="625"/>
      <c r="B512" s="625"/>
    </row>
    <row r="513">
      <c r="A513" s="625"/>
      <c r="B513" s="625"/>
    </row>
    <row r="514">
      <c r="A514" s="625"/>
      <c r="B514" s="625"/>
    </row>
    <row r="515">
      <c r="A515" s="625"/>
      <c r="B515" s="625"/>
    </row>
    <row r="516">
      <c r="A516" s="625"/>
      <c r="B516" s="625"/>
    </row>
    <row r="517">
      <c r="A517" s="625"/>
      <c r="B517" s="625"/>
    </row>
    <row r="518">
      <c r="A518" s="625"/>
      <c r="B518" s="625"/>
    </row>
    <row r="519">
      <c r="A519" s="625"/>
      <c r="B519" s="625"/>
    </row>
    <row r="520">
      <c r="A520" s="625"/>
      <c r="B520" s="625"/>
    </row>
    <row r="521">
      <c r="A521" s="625"/>
      <c r="B521" s="625"/>
    </row>
    <row r="522">
      <c r="A522" s="625"/>
      <c r="B522" s="625"/>
    </row>
    <row r="523">
      <c r="A523" s="625"/>
      <c r="B523" s="625"/>
    </row>
    <row r="524">
      <c r="A524" s="625"/>
      <c r="B524" s="625"/>
    </row>
    <row r="525">
      <c r="A525" s="625"/>
      <c r="B525" s="625"/>
    </row>
    <row r="526">
      <c r="A526" s="625"/>
      <c r="B526" s="625"/>
    </row>
    <row r="527">
      <c r="A527" s="625"/>
      <c r="B527" s="625"/>
    </row>
    <row r="528">
      <c r="A528" s="625"/>
      <c r="B528" s="625"/>
    </row>
    <row r="529">
      <c r="A529" s="625"/>
      <c r="B529" s="625"/>
    </row>
    <row r="530">
      <c r="A530" s="625"/>
      <c r="B530" s="625"/>
    </row>
    <row r="531">
      <c r="A531" s="625"/>
      <c r="B531" s="625"/>
    </row>
    <row r="532">
      <c r="A532" s="625"/>
      <c r="B532" s="625"/>
    </row>
    <row r="533">
      <c r="A533" s="625"/>
      <c r="B533" s="625"/>
    </row>
    <row r="534">
      <c r="A534" s="625"/>
      <c r="B534" s="625"/>
    </row>
    <row r="535">
      <c r="A535" s="625"/>
      <c r="B535" s="625"/>
    </row>
    <row r="536">
      <c r="A536" s="625"/>
      <c r="B536" s="625"/>
    </row>
    <row r="537">
      <c r="A537" s="625"/>
      <c r="B537" s="625"/>
    </row>
    <row r="538">
      <c r="A538" s="625"/>
      <c r="B538" s="625"/>
    </row>
    <row r="539">
      <c r="A539" s="625"/>
      <c r="B539" s="625"/>
    </row>
    <row r="540">
      <c r="A540" s="625"/>
      <c r="B540" s="625"/>
    </row>
    <row r="541">
      <c r="A541" s="625"/>
      <c r="B541" s="625"/>
    </row>
    <row r="542">
      <c r="A542" s="625"/>
      <c r="B542" s="625"/>
    </row>
    <row r="543">
      <c r="A543" s="625"/>
      <c r="B543" s="625"/>
    </row>
    <row r="544">
      <c r="A544" s="625"/>
      <c r="B544" s="625"/>
    </row>
    <row r="545">
      <c r="A545" s="625"/>
      <c r="B545" s="625"/>
    </row>
    <row r="546">
      <c r="A546" s="625"/>
      <c r="B546" s="625"/>
    </row>
    <row r="547">
      <c r="A547" s="625"/>
      <c r="B547" s="625"/>
    </row>
    <row r="548">
      <c r="A548" s="625"/>
      <c r="B548" s="625"/>
    </row>
    <row r="549">
      <c r="A549" s="625"/>
      <c r="B549" s="625"/>
    </row>
    <row r="550">
      <c r="A550" s="625"/>
      <c r="B550" s="625"/>
    </row>
    <row r="551">
      <c r="A551" s="625"/>
      <c r="B551" s="625"/>
    </row>
    <row r="552">
      <c r="A552" s="625"/>
      <c r="B552" s="625"/>
    </row>
    <row r="553">
      <c r="A553" s="625"/>
      <c r="B553" s="625"/>
    </row>
    <row r="554">
      <c r="A554" s="625"/>
      <c r="B554" s="625"/>
    </row>
    <row r="555">
      <c r="A555" s="625"/>
      <c r="B555" s="625"/>
    </row>
    <row r="556">
      <c r="A556" s="625"/>
      <c r="B556" s="625"/>
    </row>
    <row r="557">
      <c r="A557" s="625"/>
      <c r="B557" s="625"/>
    </row>
    <row r="558">
      <c r="A558" s="625"/>
      <c r="B558" s="625"/>
    </row>
    <row r="559">
      <c r="A559" s="625"/>
      <c r="B559" s="625"/>
    </row>
    <row r="560">
      <c r="A560" s="625"/>
      <c r="B560" s="625"/>
    </row>
    <row r="561">
      <c r="A561" s="625"/>
      <c r="B561" s="625"/>
    </row>
    <row r="562">
      <c r="A562" s="625"/>
      <c r="B562" s="625"/>
    </row>
    <row r="563">
      <c r="A563" s="625"/>
      <c r="B563" s="625"/>
    </row>
    <row r="564">
      <c r="A564" s="625"/>
      <c r="B564" s="625"/>
    </row>
    <row r="565">
      <c r="A565" s="625"/>
      <c r="B565" s="625"/>
    </row>
    <row r="566">
      <c r="A566" s="625"/>
      <c r="B566" s="625"/>
    </row>
    <row r="567">
      <c r="A567" s="625"/>
      <c r="B567" s="625"/>
    </row>
    <row r="568">
      <c r="A568" s="625"/>
      <c r="B568" s="625"/>
    </row>
    <row r="569">
      <c r="A569" s="625"/>
      <c r="B569" s="625"/>
    </row>
    <row r="570">
      <c r="A570" s="625"/>
      <c r="B570" s="625"/>
    </row>
    <row r="571">
      <c r="A571" s="625"/>
      <c r="B571" s="625"/>
    </row>
    <row r="572">
      <c r="A572" s="625"/>
      <c r="B572" s="625"/>
    </row>
    <row r="573">
      <c r="A573" s="625"/>
      <c r="B573" s="625"/>
    </row>
    <row r="574">
      <c r="A574" s="625"/>
      <c r="B574" s="625"/>
    </row>
    <row r="575">
      <c r="A575" s="625"/>
      <c r="B575" s="625"/>
    </row>
    <row r="576">
      <c r="A576" s="625"/>
      <c r="B576" s="625"/>
    </row>
    <row r="577">
      <c r="A577" s="625"/>
      <c r="B577" s="625"/>
    </row>
    <row r="578">
      <c r="A578" s="625"/>
      <c r="B578" s="625"/>
    </row>
    <row r="579">
      <c r="A579" s="625"/>
      <c r="B579" s="625"/>
    </row>
    <row r="580">
      <c r="A580" s="625"/>
      <c r="B580" s="625"/>
    </row>
    <row r="581">
      <c r="A581" s="625"/>
      <c r="B581" s="625"/>
    </row>
    <row r="582">
      <c r="A582" s="625"/>
      <c r="B582" s="625"/>
    </row>
    <row r="583">
      <c r="A583" s="625"/>
      <c r="B583" s="625"/>
    </row>
    <row r="584">
      <c r="A584" s="625"/>
      <c r="B584" s="625"/>
    </row>
    <row r="585">
      <c r="A585" s="625"/>
      <c r="B585" s="625"/>
    </row>
    <row r="586">
      <c r="A586" s="625"/>
      <c r="B586" s="625"/>
    </row>
    <row r="587">
      <c r="A587" s="625"/>
      <c r="B587" s="625"/>
    </row>
    <row r="588">
      <c r="A588" s="625"/>
      <c r="B588" s="625"/>
    </row>
    <row r="589">
      <c r="A589" s="625"/>
      <c r="B589" s="625"/>
    </row>
    <row r="590">
      <c r="A590" s="625"/>
      <c r="B590" s="625"/>
    </row>
    <row r="591">
      <c r="A591" s="625"/>
      <c r="B591" s="625"/>
    </row>
    <row r="592">
      <c r="A592" s="625"/>
      <c r="B592" s="625"/>
    </row>
    <row r="593">
      <c r="A593" s="625"/>
      <c r="B593" s="625"/>
    </row>
    <row r="594">
      <c r="A594" s="625"/>
      <c r="B594" s="625"/>
    </row>
    <row r="595">
      <c r="A595" s="625"/>
      <c r="B595" s="625"/>
    </row>
    <row r="596">
      <c r="A596" s="625"/>
      <c r="B596" s="625"/>
    </row>
    <row r="597">
      <c r="A597" s="625"/>
      <c r="B597" s="625"/>
    </row>
    <row r="598">
      <c r="A598" s="625"/>
      <c r="B598" s="625"/>
    </row>
    <row r="599">
      <c r="A599" s="625"/>
      <c r="B599" s="625"/>
    </row>
    <row r="600">
      <c r="A600" s="625"/>
      <c r="B600" s="625"/>
    </row>
    <row r="601">
      <c r="A601" s="625"/>
      <c r="B601" s="625"/>
    </row>
    <row r="602">
      <c r="A602" s="625"/>
      <c r="B602" s="625"/>
    </row>
    <row r="603">
      <c r="A603" s="625"/>
      <c r="B603" s="625"/>
    </row>
    <row r="604">
      <c r="A604" s="625"/>
      <c r="B604" s="625"/>
    </row>
    <row r="605">
      <c r="A605" s="625"/>
      <c r="B605" s="625"/>
    </row>
    <row r="606">
      <c r="A606" s="625"/>
      <c r="B606" s="625"/>
    </row>
    <row r="607">
      <c r="A607" s="625"/>
      <c r="B607" s="625"/>
    </row>
    <row r="608">
      <c r="A608" s="625"/>
      <c r="B608" s="625"/>
    </row>
    <row r="609">
      <c r="A609" s="625"/>
      <c r="B609" s="625"/>
    </row>
    <row r="610">
      <c r="A610" s="625"/>
      <c r="B610" s="625"/>
    </row>
    <row r="611">
      <c r="A611" s="625"/>
      <c r="B611" s="625"/>
    </row>
    <row r="612">
      <c r="A612" s="625"/>
      <c r="B612" s="625"/>
    </row>
    <row r="613">
      <c r="A613" s="625"/>
      <c r="B613" s="625"/>
    </row>
    <row r="614">
      <c r="A614" s="625"/>
      <c r="B614" s="625"/>
    </row>
    <row r="615">
      <c r="A615" s="625"/>
      <c r="B615" s="625"/>
    </row>
    <row r="616">
      <c r="A616" s="625"/>
      <c r="B616" s="625"/>
    </row>
    <row r="617">
      <c r="A617" s="625"/>
      <c r="B617" s="625"/>
    </row>
    <row r="618">
      <c r="A618" s="625"/>
      <c r="B618" s="625"/>
    </row>
    <row r="619">
      <c r="A619" s="625"/>
      <c r="B619" s="625"/>
    </row>
    <row r="620">
      <c r="A620" s="625"/>
      <c r="B620" s="625"/>
    </row>
    <row r="621">
      <c r="A621" s="625"/>
      <c r="B621" s="625"/>
    </row>
    <row r="622">
      <c r="A622" s="625"/>
      <c r="B622" s="625"/>
    </row>
    <row r="623">
      <c r="A623" s="625"/>
      <c r="B623" s="625"/>
    </row>
    <row r="624">
      <c r="A624" s="625"/>
      <c r="B624" s="625"/>
    </row>
    <row r="625">
      <c r="A625" s="625"/>
      <c r="B625" s="625"/>
    </row>
    <row r="626">
      <c r="A626" s="625"/>
      <c r="B626" s="625"/>
    </row>
    <row r="627">
      <c r="A627" s="625"/>
      <c r="B627" s="625"/>
    </row>
    <row r="628">
      <c r="A628" s="625"/>
      <c r="B628" s="625"/>
    </row>
    <row r="629">
      <c r="A629" s="625"/>
      <c r="B629" s="625"/>
    </row>
    <row r="630">
      <c r="A630" s="625"/>
      <c r="B630" s="625"/>
    </row>
    <row r="631">
      <c r="A631" s="625"/>
      <c r="B631" s="625"/>
    </row>
    <row r="632">
      <c r="A632" s="625"/>
      <c r="B632" s="625"/>
    </row>
    <row r="633">
      <c r="A633" s="625"/>
      <c r="B633" s="625"/>
    </row>
    <row r="634">
      <c r="A634" s="625"/>
      <c r="B634" s="625"/>
    </row>
    <row r="635">
      <c r="A635" s="625"/>
      <c r="B635" s="625"/>
    </row>
    <row r="636">
      <c r="A636" s="625"/>
      <c r="B636" s="625"/>
    </row>
    <row r="637">
      <c r="A637" s="625"/>
      <c r="B637" s="625"/>
    </row>
    <row r="638">
      <c r="A638" s="625"/>
      <c r="B638" s="625"/>
    </row>
    <row r="639">
      <c r="A639" s="625"/>
      <c r="B639" s="625"/>
    </row>
    <row r="640">
      <c r="A640" s="625"/>
      <c r="B640" s="625"/>
    </row>
    <row r="641">
      <c r="A641" s="625"/>
      <c r="B641" s="625"/>
    </row>
    <row r="642">
      <c r="A642" s="625"/>
      <c r="B642" s="625"/>
    </row>
    <row r="643">
      <c r="A643" s="625"/>
      <c r="B643" s="625"/>
    </row>
    <row r="644">
      <c r="A644" s="625"/>
      <c r="B644" s="625"/>
    </row>
    <row r="645">
      <c r="A645" s="625"/>
      <c r="B645" s="625"/>
    </row>
    <row r="646">
      <c r="A646" s="625"/>
      <c r="B646" s="625"/>
    </row>
    <row r="647">
      <c r="A647" s="625"/>
      <c r="B647" s="625"/>
    </row>
    <row r="648">
      <c r="A648" s="625"/>
      <c r="B648" s="625"/>
    </row>
    <row r="649">
      <c r="A649" s="625"/>
      <c r="B649" s="625"/>
    </row>
    <row r="650">
      <c r="A650" s="625"/>
      <c r="B650" s="625"/>
    </row>
    <row r="651">
      <c r="A651" s="625"/>
      <c r="B651" s="625"/>
    </row>
    <row r="652">
      <c r="A652" s="625"/>
      <c r="B652" s="625"/>
    </row>
    <row r="653">
      <c r="A653" s="625"/>
      <c r="B653" s="625"/>
    </row>
    <row r="654">
      <c r="A654" s="625"/>
      <c r="B654" s="625"/>
    </row>
    <row r="655">
      <c r="A655" s="625"/>
      <c r="B655" s="625"/>
    </row>
    <row r="656">
      <c r="A656" s="625"/>
      <c r="B656" s="625"/>
    </row>
    <row r="657">
      <c r="A657" s="625"/>
      <c r="B657" s="625"/>
    </row>
    <row r="658">
      <c r="A658" s="625"/>
      <c r="B658" s="625"/>
    </row>
    <row r="659">
      <c r="A659" s="625"/>
      <c r="B659" s="625"/>
    </row>
    <row r="660">
      <c r="A660" s="625"/>
      <c r="B660" s="625"/>
    </row>
    <row r="661">
      <c r="A661" s="625"/>
      <c r="B661" s="625"/>
    </row>
    <row r="662">
      <c r="A662" s="625"/>
      <c r="B662" s="625"/>
    </row>
    <row r="663">
      <c r="A663" s="625"/>
      <c r="B663" s="625"/>
    </row>
    <row r="664">
      <c r="A664" s="625"/>
      <c r="B664" s="625"/>
    </row>
    <row r="665">
      <c r="A665" s="625"/>
      <c r="B665" s="625"/>
    </row>
    <row r="666">
      <c r="A666" s="625"/>
      <c r="B666" s="625"/>
    </row>
    <row r="667">
      <c r="A667" s="625"/>
      <c r="B667" s="625"/>
    </row>
    <row r="668">
      <c r="A668" s="625"/>
      <c r="B668" s="625"/>
    </row>
    <row r="669">
      <c r="A669" s="625"/>
      <c r="B669" s="625"/>
    </row>
    <row r="670">
      <c r="A670" s="625"/>
      <c r="B670" s="625"/>
    </row>
    <row r="671">
      <c r="A671" s="625"/>
      <c r="B671" s="625"/>
    </row>
    <row r="672">
      <c r="A672" s="625"/>
      <c r="B672" s="625"/>
    </row>
    <row r="673">
      <c r="A673" s="625"/>
      <c r="B673" s="625"/>
    </row>
    <row r="674">
      <c r="A674" s="625"/>
      <c r="B674" s="625"/>
    </row>
    <row r="675">
      <c r="A675" s="625"/>
      <c r="B675" s="625"/>
    </row>
    <row r="676">
      <c r="A676" s="625"/>
      <c r="B676" s="625"/>
    </row>
    <row r="677">
      <c r="A677" s="625"/>
      <c r="B677" s="625"/>
    </row>
    <row r="678">
      <c r="A678" s="625"/>
      <c r="B678" s="625"/>
    </row>
    <row r="679">
      <c r="A679" s="625"/>
      <c r="B679" s="625"/>
    </row>
    <row r="680">
      <c r="A680" s="625"/>
      <c r="B680" s="625"/>
    </row>
    <row r="681">
      <c r="A681" s="625"/>
      <c r="B681" s="625"/>
    </row>
    <row r="682">
      <c r="A682" s="625"/>
      <c r="B682" s="625"/>
    </row>
    <row r="683">
      <c r="A683" s="625"/>
      <c r="B683" s="625"/>
    </row>
    <row r="684">
      <c r="A684" s="625"/>
      <c r="B684" s="625"/>
    </row>
    <row r="685">
      <c r="A685" s="625"/>
      <c r="B685" s="625"/>
    </row>
    <row r="686">
      <c r="A686" s="625"/>
      <c r="B686" s="625"/>
    </row>
    <row r="687">
      <c r="A687" s="625"/>
      <c r="B687" s="625"/>
    </row>
    <row r="688">
      <c r="A688" s="625"/>
      <c r="B688" s="625"/>
    </row>
    <row r="689">
      <c r="A689" s="625"/>
      <c r="B689" s="625"/>
    </row>
    <row r="690">
      <c r="A690" s="625"/>
      <c r="B690" s="625"/>
    </row>
    <row r="691">
      <c r="A691" s="625"/>
      <c r="B691" s="625"/>
    </row>
    <row r="692">
      <c r="A692" s="625"/>
      <c r="B692" s="625"/>
    </row>
    <row r="693">
      <c r="A693" s="625"/>
      <c r="B693" s="625"/>
    </row>
    <row r="694">
      <c r="A694" s="625"/>
      <c r="B694" s="625"/>
    </row>
    <row r="695">
      <c r="A695" s="625"/>
      <c r="B695" s="625"/>
    </row>
    <row r="696">
      <c r="A696" s="625"/>
      <c r="B696" s="625"/>
    </row>
    <row r="697">
      <c r="A697" s="625"/>
      <c r="B697" s="625"/>
    </row>
    <row r="698">
      <c r="A698" s="625"/>
      <c r="B698" s="625"/>
    </row>
    <row r="699">
      <c r="A699" s="625"/>
      <c r="B699" s="625"/>
    </row>
    <row r="700">
      <c r="A700" s="625"/>
      <c r="B700" s="625"/>
    </row>
    <row r="701">
      <c r="A701" s="625"/>
      <c r="B701" s="625"/>
    </row>
    <row r="702">
      <c r="A702" s="625"/>
      <c r="B702" s="625"/>
    </row>
    <row r="703">
      <c r="A703" s="625"/>
      <c r="B703" s="625"/>
    </row>
    <row r="704">
      <c r="A704" s="625"/>
      <c r="B704" s="625"/>
    </row>
    <row r="705">
      <c r="A705" s="625"/>
      <c r="B705" s="625"/>
    </row>
    <row r="706">
      <c r="A706" s="625"/>
      <c r="B706" s="625"/>
    </row>
    <row r="707">
      <c r="A707" s="625"/>
      <c r="B707" s="625"/>
    </row>
    <row r="708">
      <c r="A708" s="625"/>
      <c r="B708" s="625"/>
    </row>
    <row r="709">
      <c r="A709" s="625"/>
      <c r="B709" s="625"/>
    </row>
    <row r="710">
      <c r="A710" s="625"/>
      <c r="B710" s="625"/>
    </row>
    <row r="711">
      <c r="A711" s="625"/>
      <c r="B711" s="625"/>
    </row>
    <row r="712">
      <c r="A712" s="625"/>
      <c r="B712" s="625"/>
    </row>
    <row r="713">
      <c r="A713" s="625"/>
      <c r="B713" s="625"/>
    </row>
    <row r="714">
      <c r="A714" s="625"/>
      <c r="B714" s="625"/>
    </row>
    <row r="715">
      <c r="A715" s="625"/>
      <c r="B715" s="625"/>
    </row>
    <row r="716">
      <c r="A716" s="625"/>
      <c r="B716" s="625"/>
    </row>
    <row r="717">
      <c r="A717" s="625"/>
      <c r="B717" s="625"/>
    </row>
    <row r="718">
      <c r="A718" s="625"/>
      <c r="B718" s="625"/>
    </row>
    <row r="719">
      <c r="A719" s="625"/>
      <c r="B719" s="625"/>
    </row>
    <row r="720">
      <c r="A720" s="625"/>
      <c r="B720" s="625"/>
    </row>
    <row r="721">
      <c r="A721" s="625"/>
      <c r="B721" s="625"/>
    </row>
    <row r="722">
      <c r="A722" s="625"/>
      <c r="B722" s="625"/>
    </row>
    <row r="723">
      <c r="A723" s="625"/>
      <c r="B723" s="625"/>
    </row>
    <row r="724">
      <c r="A724" s="625"/>
      <c r="B724" s="625"/>
    </row>
    <row r="725">
      <c r="A725" s="625"/>
      <c r="B725" s="625"/>
    </row>
    <row r="726">
      <c r="A726" s="625"/>
      <c r="B726" s="625"/>
    </row>
    <row r="727">
      <c r="A727" s="625"/>
      <c r="B727" s="625"/>
    </row>
    <row r="728">
      <c r="A728" s="625"/>
      <c r="B728" s="625"/>
    </row>
    <row r="729">
      <c r="A729" s="625"/>
      <c r="B729" s="625"/>
    </row>
    <row r="730">
      <c r="A730" s="625"/>
      <c r="B730" s="625"/>
    </row>
    <row r="731">
      <c r="A731" s="625"/>
      <c r="B731" s="625"/>
    </row>
    <row r="732">
      <c r="A732" s="625"/>
      <c r="B732" s="625"/>
    </row>
    <row r="733">
      <c r="A733" s="625"/>
      <c r="B733" s="625"/>
    </row>
    <row r="734">
      <c r="A734" s="625"/>
      <c r="B734" s="625"/>
    </row>
    <row r="735">
      <c r="A735" s="625"/>
      <c r="B735" s="625"/>
    </row>
    <row r="736">
      <c r="A736" s="625"/>
      <c r="B736" s="625"/>
    </row>
    <row r="737">
      <c r="A737" s="625"/>
      <c r="B737" s="625"/>
    </row>
    <row r="738">
      <c r="A738" s="625"/>
      <c r="B738" s="625"/>
    </row>
    <row r="739">
      <c r="A739" s="625"/>
      <c r="B739" s="625"/>
    </row>
    <row r="740">
      <c r="A740" s="625"/>
      <c r="B740" s="625"/>
    </row>
    <row r="741">
      <c r="A741" s="625"/>
      <c r="B741" s="625"/>
    </row>
    <row r="742">
      <c r="A742" s="625"/>
      <c r="B742" s="625"/>
    </row>
    <row r="743">
      <c r="A743" s="625"/>
      <c r="B743" s="625"/>
    </row>
    <row r="744">
      <c r="A744" s="625"/>
      <c r="B744" s="625"/>
    </row>
    <row r="745">
      <c r="A745" s="625"/>
      <c r="B745" s="625"/>
    </row>
    <row r="746">
      <c r="A746" s="625"/>
      <c r="B746" s="625"/>
    </row>
    <row r="747">
      <c r="A747" s="625"/>
      <c r="B747" s="625"/>
    </row>
    <row r="748">
      <c r="A748" s="625"/>
      <c r="B748" s="625"/>
    </row>
    <row r="749">
      <c r="A749" s="625"/>
      <c r="B749" s="625"/>
    </row>
    <row r="750">
      <c r="A750" s="625"/>
      <c r="B750" s="625"/>
    </row>
    <row r="751">
      <c r="A751" s="625"/>
      <c r="B751" s="625"/>
    </row>
    <row r="752">
      <c r="A752" s="625"/>
      <c r="B752" s="625"/>
    </row>
    <row r="753">
      <c r="A753" s="625"/>
      <c r="B753" s="625"/>
    </row>
    <row r="754">
      <c r="A754" s="625"/>
      <c r="B754" s="625"/>
    </row>
    <row r="755">
      <c r="A755" s="625"/>
      <c r="B755" s="625"/>
    </row>
    <row r="756">
      <c r="A756" s="625"/>
      <c r="B756" s="625"/>
    </row>
    <row r="757">
      <c r="A757" s="625"/>
      <c r="B757" s="625"/>
    </row>
    <row r="758">
      <c r="A758" s="625"/>
      <c r="B758" s="625"/>
    </row>
    <row r="759">
      <c r="A759" s="625"/>
      <c r="B759" s="625"/>
    </row>
    <row r="760">
      <c r="A760" s="625"/>
      <c r="B760" s="625"/>
    </row>
    <row r="761">
      <c r="A761" s="625"/>
      <c r="B761" s="625"/>
    </row>
    <row r="762">
      <c r="A762" s="625"/>
      <c r="B762" s="625"/>
    </row>
    <row r="763">
      <c r="A763" s="625"/>
      <c r="B763" s="625"/>
    </row>
    <row r="764">
      <c r="A764" s="625"/>
      <c r="B764" s="625"/>
    </row>
    <row r="765">
      <c r="A765" s="625"/>
      <c r="B765" s="625"/>
    </row>
    <row r="766">
      <c r="A766" s="625"/>
      <c r="B766" s="625"/>
    </row>
    <row r="767">
      <c r="A767" s="625"/>
      <c r="B767" s="625"/>
    </row>
    <row r="768">
      <c r="A768" s="625"/>
      <c r="B768" s="625"/>
    </row>
    <row r="769">
      <c r="A769" s="625"/>
      <c r="B769" s="625"/>
    </row>
    <row r="770">
      <c r="A770" s="625"/>
      <c r="B770" s="625"/>
    </row>
    <row r="771">
      <c r="A771" s="625"/>
      <c r="B771" s="625"/>
    </row>
    <row r="772">
      <c r="A772" s="625"/>
      <c r="B772" s="625"/>
    </row>
    <row r="773">
      <c r="A773" s="625"/>
      <c r="B773" s="625"/>
    </row>
    <row r="774">
      <c r="A774" s="625"/>
      <c r="B774" s="625"/>
    </row>
    <row r="775">
      <c r="A775" s="625"/>
      <c r="B775" s="625"/>
    </row>
    <row r="776">
      <c r="A776" s="625"/>
      <c r="B776" s="625"/>
    </row>
    <row r="777">
      <c r="A777" s="625"/>
      <c r="B777" s="625"/>
    </row>
    <row r="778">
      <c r="A778" s="625"/>
      <c r="B778" s="625"/>
    </row>
    <row r="779">
      <c r="A779" s="625"/>
      <c r="B779" s="625"/>
    </row>
    <row r="780">
      <c r="A780" s="625"/>
      <c r="B780" s="625"/>
    </row>
    <row r="781">
      <c r="A781" s="625"/>
      <c r="B781" s="625"/>
    </row>
    <row r="782">
      <c r="A782" s="625"/>
      <c r="B782" s="625"/>
    </row>
    <row r="783">
      <c r="A783" s="625"/>
      <c r="B783" s="625"/>
    </row>
    <row r="784">
      <c r="A784" s="625"/>
      <c r="B784" s="625"/>
    </row>
    <row r="785">
      <c r="A785" s="625"/>
      <c r="B785" s="625"/>
    </row>
    <row r="786">
      <c r="A786" s="625"/>
      <c r="B786" s="625"/>
    </row>
    <row r="787">
      <c r="A787" s="625"/>
      <c r="B787" s="625"/>
    </row>
    <row r="788">
      <c r="A788" s="625"/>
      <c r="B788" s="625"/>
    </row>
    <row r="789">
      <c r="A789" s="625"/>
      <c r="B789" s="625"/>
    </row>
    <row r="790">
      <c r="A790" s="625"/>
      <c r="B790" s="625"/>
    </row>
    <row r="791">
      <c r="A791" s="625"/>
      <c r="B791" s="625"/>
    </row>
    <row r="792">
      <c r="A792" s="625"/>
      <c r="B792" s="625"/>
    </row>
    <row r="793">
      <c r="A793" s="625"/>
      <c r="B793" s="625"/>
    </row>
    <row r="794">
      <c r="A794" s="625"/>
      <c r="B794" s="625"/>
    </row>
    <row r="795">
      <c r="A795" s="625"/>
      <c r="B795" s="625"/>
    </row>
    <row r="796">
      <c r="A796" s="625"/>
      <c r="B796" s="625"/>
    </row>
    <row r="797">
      <c r="A797" s="625"/>
      <c r="B797" s="625"/>
    </row>
    <row r="798">
      <c r="A798" s="625"/>
      <c r="B798" s="625"/>
    </row>
    <row r="799">
      <c r="A799" s="625"/>
      <c r="B799" s="625"/>
    </row>
    <row r="800">
      <c r="A800" s="625"/>
      <c r="B800" s="625"/>
    </row>
    <row r="801">
      <c r="A801" s="625"/>
      <c r="B801" s="625"/>
    </row>
    <row r="802">
      <c r="A802" s="625"/>
      <c r="B802" s="625"/>
    </row>
    <row r="803">
      <c r="A803" s="625"/>
      <c r="B803" s="625"/>
    </row>
    <row r="804">
      <c r="A804" s="625"/>
      <c r="B804" s="625"/>
    </row>
    <row r="805">
      <c r="A805" s="625"/>
      <c r="B805" s="625"/>
    </row>
    <row r="806">
      <c r="A806" s="625"/>
      <c r="B806" s="625"/>
    </row>
    <row r="807">
      <c r="A807" s="625"/>
      <c r="B807" s="625"/>
    </row>
    <row r="808">
      <c r="A808" s="625"/>
      <c r="B808" s="625"/>
    </row>
    <row r="809">
      <c r="A809" s="625"/>
      <c r="B809" s="625"/>
    </row>
    <row r="810">
      <c r="A810" s="625"/>
      <c r="B810" s="625"/>
    </row>
    <row r="811">
      <c r="A811" s="625"/>
      <c r="B811" s="625"/>
    </row>
    <row r="812">
      <c r="A812" s="625"/>
      <c r="B812" s="625"/>
    </row>
    <row r="813">
      <c r="A813" s="625"/>
      <c r="B813" s="625"/>
    </row>
    <row r="814">
      <c r="A814" s="625"/>
      <c r="B814" s="625"/>
    </row>
    <row r="815">
      <c r="A815" s="625"/>
      <c r="B815" s="625"/>
    </row>
    <row r="816">
      <c r="A816" s="625"/>
      <c r="B816" s="625"/>
    </row>
    <row r="817">
      <c r="A817" s="625"/>
      <c r="B817" s="625"/>
    </row>
    <row r="818">
      <c r="A818" s="625"/>
      <c r="B818" s="625"/>
    </row>
    <row r="819">
      <c r="A819" s="625"/>
      <c r="B819" s="625"/>
    </row>
    <row r="820">
      <c r="A820" s="625"/>
      <c r="B820" s="625"/>
    </row>
    <row r="821">
      <c r="A821" s="625"/>
      <c r="B821" s="625"/>
    </row>
    <row r="822">
      <c r="A822" s="625"/>
      <c r="B822" s="625"/>
    </row>
    <row r="823">
      <c r="A823" s="625"/>
      <c r="B823" s="625"/>
    </row>
    <row r="824">
      <c r="A824" s="625"/>
      <c r="B824" s="625"/>
    </row>
    <row r="825">
      <c r="A825" s="625"/>
      <c r="B825" s="625"/>
    </row>
    <row r="826">
      <c r="A826" s="625"/>
      <c r="B826" s="625"/>
    </row>
    <row r="827">
      <c r="A827" s="625"/>
      <c r="B827" s="625"/>
    </row>
    <row r="828">
      <c r="A828" s="625"/>
      <c r="B828" s="625"/>
    </row>
    <row r="829">
      <c r="A829" s="625"/>
      <c r="B829" s="625"/>
    </row>
    <row r="830">
      <c r="A830" s="625"/>
      <c r="B830" s="625"/>
    </row>
    <row r="831">
      <c r="A831" s="625"/>
      <c r="B831" s="625"/>
    </row>
    <row r="832">
      <c r="A832" s="625"/>
      <c r="B832" s="625"/>
    </row>
    <row r="833">
      <c r="A833" s="625"/>
      <c r="B833" s="625"/>
    </row>
    <row r="834">
      <c r="A834" s="625"/>
      <c r="B834" s="625"/>
    </row>
    <row r="835">
      <c r="A835" s="625"/>
      <c r="B835" s="625"/>
    </row>
    <row r="836">
      <c r="A836" s="625"/>
      <c r="B836" s="625"/>
    </row>
    <row r="837">
      <c r="A837" s="625"/>
      <c r="B837" s="625"/>
    </row>
    <row r="838">
      <c r="A838" s="625"/>
      <c r="B838" s="625"/>
    </row>
    <row r="839">
      <c r="A839" s="625"/>
      <c r="B839" s="625"/>
    </row>
    <row r="840">
      <c r="A840" s="625"/>
      <c r="B840" s="625"/>
    </row>
    <row r="841">
      <c r="A841" s="625"/>
      <c r="B841" s="625"/>
    </row>
    <row r="842">
      <c r="A842" s="625"/>
      <c r="B842" s="625"/>
    </row>
    <row r="843">
      <c r="A843" s="625"/>
      <c r="B843" s="625"/>
    </row>
    <row r="844">
      <c r="A844" s="625"/>
      <c r="B844" s="625"/>
    </row>
    <row r="845">
      <c r="A845" s="625"/>
      <c r="B845" s="625"/>
    </row>
    <row r="846">
      <c r="A846" s="625"/>
      <c r="B846" s="625"/>
    </row>
    <row r="847">
      <c r="A847" s="625"/>
      <c r="B847" s="625"/>
    </row>
    <row r="848">
      <c r="A848" s="625"/>
      <c r="B848" s="625"/>
    </row>
    <row r="849">
      <c r="A849" s="625"/>
      <c r="B849" s="625"/>
    </row>
    <row r="850">
      <c r="A850" s="625"/>
      <c r="B850" s="625"/>
    </row>
    <row r="851">
      <c r="A851" s="625"/>
      <c r="B851" s="625"/>
    </row>
    <row r="852">
      <c r="A852" s="625"/>
      <c r="B852" s="625"/>
    </row>
    <row r="853">
      <c r="A853" s="625"/>
      <c r="B853" s="625"/>
    </row>
    <row r="854">
      <c r="A854" s="625"/>
      <c r="B854" s="625"/>
    </row>
    <row r="855">
      <c r="A855" s="625"/>
      <c r="B855" s="625"/>
    </row>
    <row r="856">
      <c r="A856" s="625"/>
      <c r="B856" s="625"/>
    </row>
    <row r="857">
      <c r="A857" s="625"/>
      <c r="B857" s="625"/>
    </row>
    <row r="858">
      <c r="A858" s="625"/>
      <c r="B858" s="625"/>
    </row>
    <row r="859">
      <c r="A859" s="625"/>
      <c r="B859" s="625"/>
    </row>
    <row r="860">
      <c r="A860" s="625"/>
      <c r="B860" s="625"/>
    </row>
    <row r="861">
      <c r="A861" s="625"/>
      <c r="B861" s="625"/>
    </row>
    <row r="862">
      <c r="A862" s="625"/>
      <c r="B862" s="625"/>
    </row>
    <row r="863">
      <c r="A863" s="625"/>
      <c r="B863" s="625"/>
    </row>
    <row r="864">
      <c r="A864" s="625"/>
      <c r="B864" s="625"/>
    </row>
    <row r="865">
      <c r="A865" s="625"/>
      <c r="B865" s="625"/>
    </row>
    <row r="866">
      <c r="A866" s="625"/>
      <c r="B866" s="625"/>
    </row>
    <row r="867">
      <c r="A867" s="625"/>
      <c r="B867" s="625"/>
    </row>
    <row r="868">
      <c r="A868" s="625"/>
      <c r="B868" s="625"/>
    </row>
    <row r="869">
      <c r="A869" s="625"/>
      <c r="B869" s="625"/>
    </row>
    <row r="870">
      <c r="A870" s="625"/>
      <c r="B870" s="625"/>
    </row>
    <row r="871">
      <c r="A871" s="625"/>
      <c r="B871" s="625"/>
    </row>
    <row r="872">
      <c r="A872" s="625"/>
      <c r="B872" s="625"/>
    </row>
    <row r="873">
      <c r="A873" s="625"/>
      <c r="B873" s="625"/>
    </row>
    <row r="874">
      <c r="A874" s="625"/>
      <c r="B874" s="625"/>
    </row>
    <row r="875">
      <c r="A875" s="625"/>
      <c r="B875" s="625"/>
    </row>
    <row r="876">
      <c r="A876" s="625"/>
      <c r="B876" s="625"/>
    </row>
    <row r="877">
      <c r="A877" s="625"/>
      <c r="B877" s="625"/>
    </row>
    <row r="878">
      <c r="A878" s="625"/>
      <c r="B878" s="625"/>
    </row>
    <row r="879">
      <c r="A879" s="625"/>
      <c r="B879" s="625"/>
    </row>
    <row r="880">
      <c r="A880" s="625"/>
      <c r="B880" s="625"/>
    </row>
    <row r="881">
      <c r="A881" s="625"/>
      <c r="B881" s="625"/>
    </row>
    <row r="882">
      <c r="A882" s="625"/>
      <c r="B882" s="625"/>
    </row>
    <row r="883">
      <c r="A883" s="625"/>
      <c r="B883" s="625"/>
    </row>
    <row r="884">
      <c r="A884" s="625"/>
      <c r="B884" s="625"/>
    </row>
    <row r="885">
      <c r="A885" s="625"/>
      <c r="B885" s="625"/>
    </row>
    <row r="886">
      <c r="A886" s="625"/>
      <c r="B886" s="625"/>
    </row>
    <row r="887">
      <c r="A887" s="625"/>
      <c r="B887" s="625"/>
    </row>
    <row r="888">
      <c r="A888" s="625"/>
      <c r="B888" s="625"/>
    </row>
    <row r="889">
      <c r="A889" s="625"/>
      <c r="B889" s="625"/>
    </row>
    <row r="890">
      <c r="A890" s="625"/>
      <c r="B890" s="625"/>
    </row>
    <row r="891">
      <c r="A891" s="625"/>
      <c r="B891" s="625"/>
    </row>
    <row r="892">
      <c r="A892" s="625"/>
      <c r="B892" s="625"/>
    </row>
    <row r="893">
      <c r="A893" s="625"/>
      <c r="B893" s="625"/>
    </row>
    <row r="894">
      <c r="A894" s="625"/>
      <c r="B894" s="625"/>
    </row>
    <row r="895">
      <c r="A895" s="625"/>
      <c r="B895" s="625"/>
    </row>
    <row r="896">
      <c r="A896" s="625"/>
      <c r="B896" s="625"/>
    </row>
    <row r="897">
      <c r="A897" s="625"/>
      <c r="B897" s="625"/>
    </row>
    <row r="898">
      <c r="A898" s="625"/>
      <c r="B898" s="625"/>
    </row>
    <row r="899">
      <c r="A899" s="625"/>
      <c r="B899" s="625"/>
    </row>
    <row r="900">
      <c r="A900" s="625"/>
      <c r="B900" s="625"/>
    </row>
    <row r="901">
      <c r="A901" s="625"/>
      <c r="B901" s="625"/>
    </row>
    <row r="902">
      <c r="A902" s="625"/>
      <c r="B902" s="625"/>
    </row>
    <row r="903">
      <c r="A903" s="625"/>
      <c r="B903" s="625"/>
    </row>
    <row r="904">
      <c r="A904" s="625"/>
      <c r="B904" s="625"/>
    </row>
    <row r="905">
      <c r="A905" s="625"/>
      <c r="B905" s="625"/>
    </row>
    <row r="906">
      <c r="A906" s="625"/>
      <c r="B906" s="625"/>
    </row>
    <row r="907">
      <c r="A907" s="625"/>
      <c r="B907" s="625"/>
    </row>
    <row r="908">
      <c r="A908" s="625"/>
      <c r="B908" s="625"/>
    </row>
    <row r="909">
      <c r="A909" s="625"/>
      <c r="B909" s="625"/>
    </row>
    <row r="910">
      <c r="A910" s="625"/>
      <c r="B910" s="625"/>
    </row>
    <row r="911">
      <c r="A911" s="625"/>
      <c r="B911" s="625"/>
    </row>
    <row r="912">
      <c r="A912" s="625"/>
      <c r="B912" s="625"/>
    </row>
    <row r="913">
      <c r="A913" s="625"/>
      <c r="B913" s="625"/>
    </row>
    <row r="914">
      <c r="A914" s="625"/>
      <c r="B914" s="625"/>
    </row>
    <row r="915">
      <c r="A915" s="625"/>
      <c r="B915" s="625"/>
    </row>
    <row r="916">
      <c r="A916" s="625"/>
      <c r="B916" s="625"/>
    </row>
    <row r="917">
      <c r="A917" s="625"/>
      <c r="B917" s="625"/>
    </row>
    <row r="918">
      <c r="A918" s="625"/>
      <c r="B918" s="625"/>
    </row>
    <row r="919">
      <c r="A919" s="625"/>
      <c r="B919" s="625"/>
    </row>
    <row r="920">
      <c r="A920" s="625"/>
      <c r="B920" s="625"/>
    </row>
    <row r="921">
      <c r="A921" s="625"/>
      <c r="B921" s="625"/>
    </row>
    <row r="922">
      <c r="A922" s="625"/>
      <c r="B922" s="625"/>
    </row>
    <row r="923">
      <c r="A923" s="625"/>
      <c r="B923" s="625"/>
    </row>
    <row r="924">
      <c r="A924" s="625"/>
      <c r="B924" s="625"/>
    </row>
    <row r="925">
      <c r="A925" s="625"/>
      <c r="B925" s="625"/>
    </row>
    <row r="926">
      <c r="A926" s="625"/>
      <c r="B926" s="625"/>
    </row>
    <row r="927">
      <c r="A927" s="625"/>
      <c r="B927" s="625"/>
    </row>
    <row r="928">
      <c r="A928" s="625"/>
      <c r="B928" s="625"/>
    </row>
    <row r="929">
      <c r="A929" s="625"/>
      <c r="B929" s="625"/>
    </row>
    <row r="930">
      <c r="A930" s="625"/>
      <c r="B930" s="625"/>
    </row>
    <row r="931">
      <c r="A931" s="625"/>
      <c r="B931" s="625"/>
    </row>
    <row r="932">
      <c r="A932" s="625"/>
      <c r="B932" s="625"/>
    </row>
    <row r="933">
      <c r="A933" s="625"/>
      <c r="B933" s="625"/>
    </row>
    <row r="934">
      <c r="A934" s="625"/>
      <c r="B934" s="625"/>
    </row>
    <row r="935">
      <c r="A935" s="625"/>
      <c r="B935" s="625"/>
    </row>
    <row r="936">
      <c r="A936" s="625"/>
      <c r="B936" s="625"/>
    </row>
    <row r="937">
      <c r="A937" s="625"/>
      <c r="B937" s="625"/>
    </row>
    <row r="938">
      <c r="A938" s="625"/>
      <c r="B938" s="625"/>
    </row>
    <row r="939">
      <c r="A939" s="625"/>
      <c r="B939" s="625"/>
    </row>
    <row r="940">
      <c r="A940" s="625"/>
      <c r="B940" s="625"/>
    </row>
    <row r="941">
      <c r="A941" s="625"/>
      <c r="B941" s="625"/>
    </row>
    <row r="942">
      <c r="A942" s="625"/>
      <c r="B942" s="625"/>
    </row>
    <row r="943">
      <c r="A943" s="625"/>
      <c r="B943" s="625"/>
    </row>
    <row r="944">
      <c r="A944" s="625"/>
      <c r="B944" s="625"/>
    </row>
    <row r="945">
      <c r="A945" s="625"/>
      <c r="B945" s="625"/>
    </row>
    <row r="946">
      <c r="A946" s="625"/>
      <c r="B946" s="625"/>
    </row>
    <row r="947">
      <c r="A947" s="625"/>
      <c r="B947" s="625"/>
    </row>
    <row r="948">
      <c r="A948" s="625"/>
      <c r="B948" s="625"/>
    </row>
    <row r="949">
      <c r="A949" s="625"/>
      <c r="B949" s="625"/>
    </row>
    <row r="950">
      <c r="A950" s="625"/>
      <c r="B950" s="625"/>
    </row>
    <row r="951">
      <c r="A951" s="625"/>
      <c r="B951" s="625"/>
    </row>
    <row r="952">
      <c r="A952" s="625"/>
      <c r="B952" s="625"/>
    </row>
    <row r="953">
      <c r="A953" s="625"/>
      <c r="B953" s="625"/>
    </row>
    <row r="954">
      <c r="A954" s="625"/>
      <c r="B954" s="625"/>
    </row>
    <row r="955">
      <c r="A955" s="625"/>
      <c r="B955" s="625"/>
    </row>
    <row r="956">
      <c r="A956" s="625"/>
      <c r="B956" s="625"/>
    </row>
    <row r="957">
      <c r="A957" s="625"/>
      <c r="B957" s="625"/>
    </row>
    <row r="958">
      <c r="A958" s="625"/>
      <c r="B958" s="625"/>
    </row>
    <row r="959">
      <c r="A959" s="625"/>
      <c r="B959" s="625"/>
    </row>
    <row r="960">
      <c r="A960" s="625"/>
      <c r="B960" s="625"/>
    </row>
    <row r="961">
      <c r="A961" s="625"/>
      <c r="B961" s="625"/>
    </row>
    <row r="962">
      <c r="A962" s="625"/>
      <c r="B962" s="625"/>
    </row>
    <row r="963">
      <c r="A963" s="625"/>
      <c r="B963" s="625"/>
    </row>
    <row r="964">
      <c r="A964" s="625"/>
      <c r="B964" s="625"/>
    </row>
    <row r="965">
      <c r="A965" s="625"/>
      <c r="B965" s="625"/>
    </row>
    <row r="966">
      <c r="A966" s="625"/>
      <c r="B966" s="625"/>
    </row>
    <row r="967">
      <c r="A967" s="625"/>
      <c r="B967" s="625"/>
    </row>
    <row r="968">
      <c r="A968" s="625"/>
      <c r="B968" s="625"/>
    </row>
    <row r="969">
      <c r="A969" s="625"/>
      <c r="B969" s="625"/>
    </row>
    <row r="970">
      <c r="A970" s="625"/>
      <c r="B970" s="625"/>
    </row>
    <row r="971">
      <c r="A971" s="625"/>
      <c r="B971" s="625"/>
    </row>
    <row r="972">
      <c r="A972" s="625"/>
      <c r="B972" s="625"/>
    </row>
    <row r="973">
      <c r="A973" s="625"/>
      <c r="B973" s="625"/>
    </row>
    <row r="974">
      <c r="A974" s="625"/>
      <c r="B974" s="625"/>
    </row>
    <row r="975">
      <c r="A975" s="625"/>
      <c r="B975" s="625"/>
    </row>
    <row r="976">
      <c r="A976" s="625"/>
      <c r="B976" s="625"/>
    </row>
    <row r="977">
      <c r="A977" s="625"/>
      <c r="B977" s="625"/>
    </row>
    <row r="978">
      <c r="A978" s="625"/>
      <c r="B978" s="625"/>
    </row>
    <row r="979">
      <c r="A979" s="625"/>
      <c r="B979" s="625"/>
    </row>
    <row r="980">
      <c r="A980" s="625"/>
      <c r="B980" s="625"/>
    </row>
    <row r="981">
      <c r="A981" s="625"/>
      <c r="B981" s="625"/>
    </row>
    <row r="982">
      <c r="A982" s="625"/>
      <c r="B982" s="625"/>
    </row>
    <row r="983">
      <c r="A983" s="625"/>
      <c r="B983" s="625"/>
    </row>
    <row r="984">
      <c r="A984" s="625"/>
      <c r="B984" s="625"/>
    </row>
    <row r="985">
      <c r="A985" s="625"/>
      <c r="B985" s="625"/>
    </row>
    <row r="986">
      <c r="A986" s="625"/>
      <c r="B986" s="625"/>
    </row>
    <row r="987">
      <c r="A987" s="625"/>
      <c r="B987" s="625"/>
    </row>
    <row r="988">
      <c r="A988" s="625"/>
      <c r="B988" s="625"/>
    </row>
    <row r="989">
      <c r="A989" s="625"/>
      <c r="B989" s="625"/>
    </row>
    <row r="990">
      <c r="A990" s="625"/>
      <c r="B990" s="625"/>
    </row>
    <row r="991">
      <c r="A991" s="625"/>
      <c r="B991" s="625"/>
    </row>
    <row r="992">
      <c r="A992" s="625"/>
      <c r="B992" s="625"/>
    </row>
    <row r="993">
      <c r="A993" s="625"/>
      <c r="B993" s="625"/>
    </row>
    <row r="994">
      <c r="A994" s="625"/>
      <c r="B994" s="625"/>
    </row>
    <row r="995">
      <c r="A995" s="625"/>
      <c r="B995" s="625"/>
    </row>
    <row r="996">
      <c r="A996" s="625"/>
      <c r="B996" s="625"/>
    </row>
    <row r="997">
      <c r="A997" s="625"/>
      <c r="B997" s="625"/>
    </row>
    <row r="998">
      <c r="A998" s="625"/>
      <c r="B998" s="625"/>
    </row>
    <row r="999">
      <c r="A999" s="625"/>
      <c r="B999" s="625"/>
    </row>
    <row r="1000">
      <c r="A1000" s="625"/>
      <c r="B1000" s="625"/>
    </row>
    <row r="1001">
      <c r="A1001" s="625"/>
      <c r="B1001" s="625"/>
    </row>
    <row r="1002">
      <c r="A1002" s="625"/>
      <c r="B1002" s="625"/>
    </row>
    <row r="1003">
      <c r="A1003" s="625"/>
      <c r="B1003" s="625"/>
    </row>
    <row r="1004">
      <c r="A1004" s="625"/>
      <c r="B1004" s="625"/>
    </row>
    <row r="1005">
      <c r="A1005" s="625"/>
      <c r="B1005" s="625"/>
    </row>
    <row r="1006">
      <c r="A1006" s="625"/>
      <c r="B1006" s="625"/>
    </row>
    <row r="1007">
      <c r="A1007" s="625"/>
      <c r="B1007" s="625"/>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6.63"/>
    <col customWidth="1" min="2" max="2" width="52.63"/>
    <col customWidth="1" min="3" max="3" width="20.13"/>
    <col customWidth="1" min="4" max="4" width="52.25"/>
  </cols>
  <sheetData>
    <row r="1">
      <c r="A1" s="624" t="s">
        <v>1823</v>
      </c>
      <c r="B1" s="624" t="s">
        <v>1824</v>
      </c>
      <c r="C1" s="343" t="s">
        <v>1825</v>
      </c>
      <c r="D1" s="343" t="s">
        <v>1826</v>
      </c>
      <c r="E1" s="344"/>
      <c r="F1" s="344"/>
      <c r="G1" s="344"/>
      <c r="H1" s="344"/>
      <c r="I1" s="344"/>
      <c r="J1" s="344"/>
      <c r="K1" s="344"/>
      <c r="L1" s="344"/>
      <c r="M1" s="344"/>
      <c r="N1" s="344"/>
      <c r="O1" s="344"/>
      <c r="P1" s="344"/>
      <c r="Q1" s="344"/>
      <c r="R1" s="344"/>
      <c r="S1" s="344"/>
      <c r="T1" s="344"/>
      <c r="U1" s="344"/>
      <c r="V1" s="344"/>
      <c r="W1" s="344"/>
      <c r="X1" s="344"/>
      <c r="Y1" s="344"/>
      <c r="Z1" s="344"/>
    </row>
    <row r="2">
      <c r="A2" s="346" t="s">
        <v>1939</v>
      </c>
      <c r="B2" s="346" t="s">
        <v>1940</v>
      </c>
      <c r="C2" s="79" t="s">
        <v>1837</v>
      </c>
      <c r="D2" s="346" t="s">
        <v>1941</v>
      </c>
    </row>
    <row r="3">
      <c r="A3" s="346" t="s">
        <v>1942</v>
      </c>
      <c r="B3" s="346" t="s">
        <v>1943</v>
      </c>
      <c r="C3" s="79" t="s">
        <v>1837</v>
      </c>
      <c r="D3" s="79" t="s">
        <v>1944</v>
      </c>
    </row>
    <row r="4">
      <c r="A4" s="346" t="s">
        <v>1945</v>
      </c>
      <c r="B4" s="346" t="s">
        <v>1946</v>
      </c>
      <c r="C4" s="79" t="s">
        <v>1837</v>
      </c>
      <c r="D4" s="79" t="s">
        <v>1947</v>
      </c>
    </row>
    <row r="5">
      <c r="A5" s="346" t="s">
        <v>1948</v>
      </c>
      <c r="B5" s="346" t="s">
        <v>1949</v>
      </c>
      <c r="C5" s="79" t="s">
        <v>1837</v>
      </c>
      <c r="D5" s="79" t="s">
        <v>1833</v>
      </c>
    </row>
    <row r="6">
      <c r="A6" s="346" t="s">
        <v>1950</v>
      </c>
      <c r="B6" s="346" t="s">
        <v>1951</v>
      </c>
      <c r="C6" s="79" t="s">
        <v>1833</v>
      </c>
      <c r="D6" s="346" t="s">
        <v>1952</v>
      </c>
    </row>
    <row r="7">
      <c r="A7" s="346" t="s">
        <v>1953</v>
      </c>
      <c r="B7" s="346" t="s">
        <v>1954</v>
      </c>
      <c r="C7" s="79" t="s">
        <v>1833</v>
      </c>
      <c r="D7" s="346" t="s">
        <v>1955</v>
      </c>
    </row>
    <row r="8">
      <c r="A8" s="346" t="s">
        <v>1956</v>
      </c>
      <c r="B8" s="346" t="s">
        <v>1957</v>
      </c>
      <c r="C8" s="79" t="s">
        <v>1833</v>
      </c>
      <c r="D8" s="346" t="s">
        <v>1958</v>
      </c>
    </row>
    <row r="9">
      <c r="A9" s="346" t="s">
        <v>1959</v>
      </c>
      <c r="B9" s="346" t="s">
        <v>1960</v>
      </c>
      <c r="C9" s="79" t="s">
        <v>1833</v>
      </c>
      <c r="D9" s="346" t="s">
        <v>1961</v>
      </c>
    </row>
    <row r="10">
      <c r="A10" s="346" t="s">
        <v>1962</v>
      </c>
      <c r="B10" s="346" t="s">
        <v>1963</v>
      </c>
      <c r="C10" s="79" t="s">
        <v>1833</v>
      </c>
      <c r="D10" s="346" t="s">
        <v>1964</v>
      </c>
    </row>
    <row r="11">
      <c r="A11" s="346" t="s">
        <v>1965</v>
      </c>
      <c r="B11" s="346" t="s">
        <v>1966</v>
      </c>
      <c r="D11" s="79" t="s">
        <v>1967</v>
      </c>
    </row>
    <row r="12">
      <c r="A12" s="346" t="s">
        <v>1968</v>
      </c>
      <c r="B12" s="346" t="s">
        <v>1969</v>
      </c>
      <c r="C12" s="79" t="s">
        <v>1833</v>
      </c>
      <c r="D12" s="346" t="s">
        <v>1970</v>
      </c>
    </row>
    <row r="13">
      <c r="A13" s="346" t="s">
        <v>1971</v>
      </c>
      <c r="B13" s="346" t="s">
        <v>1972</v>
      </c>
      <c r="C13" s="79" t="s">
        <v>1833</v>
      </c>
      <c r="D13" s="346" t="s">
        <v>1973</v>
      </c>
    </row>
    <row r="14">
      <c r="A14" s="346" t="s">
        <v>1974</v>
      </c>
      <c r="B14" s="346" t="s">
        <v>1975</v>
      </c>
      <c r="C14" s="79" t="s">
        <v>1976</v>
      </c>
    </row>
    <row r="15">
      <c r="A15" s="346" t="s">
        <v>1977</v>
      </c>
      <c r="B15" s="346" t="s">
        <v>1978</v>
      </c>
      <c r="C15" s="79" t="s">
        <v>1833</v>
      </c>
      <c r="D15" s="346" t="s">
        <v>1979</v>
      </c>
    </row>
    <row r="18">
      <c r="A18" s="625"/>
      <c r="B18" s="625"/>
    </row>
    <row r="19">
      <c r="A19" s="625"/>
      <c r="B19" s="625"/>
    </row>
    <row r="20">
      <c r="A20" s="625"/>
      <c r="B20" s="625"/>
    </row>
    <row r="21">
      <c r="A21" s="625"/>
      <c r="B21" s="625"/>
    </row>
    <row r="22">
      <c r="A22" s="625"/>
      <c r="B22" s="625"/>
    </row>
    <row r="23">
      <c r="A23" s="625"/>
      <c r="B23" s="625"/>
    </row>
    <row r="24">
      <c r="A24" s="625"/>
      <c r="B24" s="625"/>
    </row>
    <row r="25">
      <c r="A25" s="625"/>
      <c r="B25" s="625"/>
    </row>
    <row r="26">
      <c r="A26" s="625"/>
      <c r="B26" s="625"/>
    </row>
    <row r="27">
      <c r="A27" s="625"/>
      <c r="B27" s="625"/>
    </row>
    <row r="28">
      <c r="A28" s="625"/>
      <c r="B28" s="625"/>
    </row>
    <row r="29">
      <c r="A29" s="625"/>
      <c r="B29" s="625"/>
    </row>
    <row r="30">
      <c r="A30" s="625"/>
      <c r="B30" s="625"/>
    </row>
    <row r="31">
      <c r="A31" s="625"/>
      <c r="B31" s="625"/>
    </row>
    <row r="32">
      <c r="A32" s="625"/>
      <c r="B32" s="625"/>
    </row>
    <row r="33">
      <c r="A33" s="625"/>
      <c r="B33" s="625"/>
    </row>
    <row r="34">
      <c r="A34" s="625"/>
      <c r="B34" s="625"/>
    </row>
    <row r="35">
      <c r="A35" s="625"/>
      <c r="B35" s="625"/>
    </row>
    <row r="36">
      <c r="A36" s="625"/>
      <c r="B36" s="625"/>
    </row>
    <row r="37">
      <c r="A37" s="625"/>
      <c r="B37" s="625"/>
    </row>
    <row r="38">
      <c r="A38" s="625"/>
      <c r="B38" s="625"/>
    </row>
    <row r="39">
      <c r="A39" s="625"/>
      <c r="B39" s="625"/>
    </row>
    <row r="40">
      <c r="A40" s="625"/>
      <c r="B40" s="625"/>
    </row>
    <row r="41">
      <c r="A41" s="625"/>
      <c r="B41" s="625"/>
    </row>
    <row r="42">
      <c r="A42" s="625"/>
      <c r="B42" s="625"/>
    </row>
    <row r="43">
      <c r="A43" s="625"/>
      <c r="B43" s="625"/>
    </row>
    <row r="44">
      <c r="A44" s="625"/>
      <c r="B44" s="625"/>
    </row>
    <row r="45">
      <c r="A45" s="625"/>
      <c r="B45" s="625"/>
    </row>
    <row r="46">
      <c r="A46" s="625"/>
      <c r="B46" s="625"/>
    </row>
    <row r="47">
      <c r="A47" s="625"/>
      <c r="B47" s="625"/>
    </row>
    <row r="48">
      <c r="A48" s="625"/>
      <c r="B48" s="625"/>
    </row>
    <row r="49">
      <c r="A49" s="625"/>
      <c r="B49" s="625"/>
    </row>
    <row r="50">
      <c r="A50" s="625"/>
      <c r="B50" s="625"/>
    </row>
    <row r="51">
      <c r="A51" s="625"/>
      <c r="B51" s="625"/>
    </row>
    <row r="52">
      <c r="A52" s="625"/>
      <c r="B52" s="625"/>
    </row>
    <row r="53">
      <c r="A53" s="625"/>
      <c r="B53" s="625"/>
    </row>
    <row r="54">
      <c r="A54" s="625"/>
      <c r="B54" s="625"/>
    </row>
    <row r="55">
      <c r="A55" s="625"/>
      <c r="B55" s="625"/>
    </row>
    <row r="56">
      <c r="A56" s="625"/>
      <c r="B56" s="625"/>
    </row>
    <row r="57">
      <c r="A57" s="625"/>
      <c r="B57" s="625"/>
    </row>
    <row r="58">
      <c r="A58" s="625"/>
      <c r="B58" s="625"/>
    </row>
    <row r="59">
      <c r="A59" s="625"/>
      <c r="B59" s="625"/>
    </row>
    <row r="60">
      <c r="A60" s="625"/>
      <c r="B60" s="625"/>
    </row>
    <row r="61">
      <c r="A61" s="625"/>
      <c r="B61" s="625"/>
    </row>
    <row r="62">
      <c r="A62" s="625"/>
      <c r="B62" s="625"/>
    </row>
    <row r="63">
      <c r="A63" s="625"/>
      <c r="B63" s="625"/>
    </row>
    <row r="64">
      <c r="A64" s="625"/>
      <c r="B64" s="625"/>
    </row>
    <row r="65">
      <c r="A65" s="625"/>
      <c r="B65" s="625"/>
    </row>
    <row r="66">
      <c r="A66" s="625"/>
      <c r="B66" s="625"/>
    </row>
    <row r="67">
      <c r="A67" s="625"/>
      <c r="B67" s="625"/>
    </row>
    <row r="68">
      <c r="A68" s="625"/>
      <c r="B68" s="625"/>
    </row>
    <row r="69">
      <c r="A69" s="625"/>
      <c r="B69" s="625"/>
    </row>
    <row r="70">
      <c r="A70" s="625"/>
      <c r="B70" s="625"/>
    </row>
    <row r="71">
      <c r="A71" s="625"/>
      <c r="B71" s="625"/>
    </row>
    <row r="72">
      <c r="A72" s="625"/>
      <c r="B72" s="625"/>
    </row>
    <row r="73">
      <c r="A73" s="625"/>
      <c r="B73" s="625"/>
    </row>
    <row r="74">
      <c r="A74" s="625"/>
      <c r="B74" s="625"/>
    </row>
    <row r="75">
      <c r="A75" s="625"/>
      <c r="B75" s="625"/>
    </row>
    <row r="76">
      <c r="A76" s="625"/>
      <c r="B76" s="625"/>
    </row>
    <row r="77">
      <c r="A77" s="625"/>
      <c r="B77" s="625"/>
    </row>
    <row r="78">
      <c r="A78" s="625"/>
      <c r="B78" s="625"/>
    </row>
    <row r="79">
      <c r="A79" s="625"/>
      <c r="B79" s="625"/>
    </row>
    <row r="80">
      <c r="A80" s="625"/>
      <c r="B80" s="625"/>
    </row>
    <row r="81">
      <c r="A81" s="625"/>
      <c r="B81" s="625"/>
    </row>
    <row r="82">
      <c r="A82" s="625"/>
      <c r="B82" s="625"/>
    </row>
    <row r="83">
      <c r="A83" s="625"/>
      <c r="B83" s="625"/>
    </row>
    <row r="84">
      <c r="A84" s="625"/>
      <c r="B84" s="625"/>
    </row>
    <row r="85">
      <c r="A85" s="625"/>
      <c r="B85" s="625"/>
    </row>
    <row r="86">
      <c r="A86" s="625"/>
      <c r="B86" s="625"/>
    </row>
    <row r="87">
      <c r="A87" s="625"/>
      <c r="B87" s="625"/>
    </row>
    <row r="88">
      <c r="A88" s="625"/>
      <c r="B88" s="625"/>
    </row>
    <row r="89">
      <c r="A89" s="625"/>
      <c r="B89" s="625"/>
    </row>
    <row r="90">
      <c r="A90" s="625"/>
      <c r="B90" s="625"/>
    </row>
    <row r="91">
      <c r="A91" s="625"/>
      <c r="B91" s="625"/>
    </row>
    <row r="92">
      <c r="A92" s="625"/>
      <c r="B92" s="625"/>
    </row>
    <row r="93">
      <c r="A93" s="625"/>
      <c r="B93" s="625"/>
    </row>
    <row r="94">
      <c r="A94" s="625"/>
      <c r="B94" s="625"/>
    </row>
    <row r="95">
      <c r="A95" s="625"/>
      <c r="B95" s="625"/>
    </row>
    <row r="96">
      <c r="A96" s="625"/>
      <c r="B96" s="625"/>
    </row>
    <row r="97">
      <c r="A97" s="625"/>
      <c r="B97" s="625"/>
    </row>
    <row r="98">
      <c r="A98" s="625"/>
      <c r="B98" s="625"/>
    </row>
    <row r="99">
      <c r="A99" s="625"/>
      <c r="B99" s="625"/>
    </row>
    <row r="100">
      <c r="A100" s="625"/>
      <c r="B100" s="625"/>
    </row>
    <row r="101">
      <c r="A101" s="625"/>
      <c r="B101" s="625"/>
    </row>
    <row r="102">
      <c r="A102" s="625"/>
      <c r="B102" s="625"/>
    </row>
    <row r="103">
      <c r="A103" s="625"/>
      <c r="B103" s="625"/>
    </row>
    <row r="104">
      <c r="A104" s="625"/>
      <c r="B104" s="625"/>
    </row>
    <row r="105">
      <c r="A105" s="625"/>
      <c r="B105" s="625"/>
    </row>
    <row r="106">
      <c r="A106" s="625"/>
      <c r="B106" s="625"/>
    </row>
    <row r="107">
      <c r="A107" s="625"/>
      <c r="B107" s="625"/>
    </row>
    <row r="108">
      <c r="A108" s="625"/>
      <c r="B108" s="625"/>
    </row>
    <row r="109">
      <c r="A109" s="625"/>
      <c r="B109" s="625"/>
    </row>
    <row r="110">
      <c r="A110" s="625"/>
      <c r="B110" s="625"/>
    </row>
    <row r="111">
      <c r="A111" s="625"/>
      <c r="B111" s="625"/>
    </row>
    <row r="112">
      <c r="A112" s="625"/>
      <c r="B112" s="625"/>
    </row>
    <row r="113">
      <c r="A113" s="625"/>
      <c r="B113" s="625"/>
    </row>
    <row r="114">
      <c r="A114" s="625"/>
      <c r="B114" s="625"/>
    </row>
    <row r="115">
      <c r="A115" s="625"/>
      <c r="B115" s="625"/>
    </row>
    <row r="116">
      <c r="A116" s="625"/>
      <c r="B116" s="625"/>
    </row>
    <row r="117">
      <c r="A117" s="625"/>
      <c r="B117" s="625"/>
    </row>
    <row r="118">
      <c r="A118" s="625"/>
      <c r="B118" s="625"/>
    </row>
    <row r="119">
      <c r="A119" s="625"/>
      <c r="B119" s="625"/>
    </row>
    <row r="120">
      <c r="A120" s="625"/>
      <c r="B120" s="625"/>
    </row>
    <row r="121">
      <c r="A121" s="625"/>
      <c r="B121" s="625"/>
    </row>
    <row r="122">
      <c r="A122" s="625"/>
      <c r="B122" s="625"/>
    </row>
    <row r="123">
      <c r="A123" s="625"/>
      <c r="B123" s="625"/>
    </row>
    <row r="124">
      <c r="A124" s="625"/>
      <c r="B124" s="625"/>
    </row>
    <row r="125">
      <c r="A125" s="625"/>
      <c r="B125" s="625"/>
    </row>
    <row r="126">
      <c r="A126" s="625"/>
      <c r="B126" s="625"/>
    </row>
    <row r="127">
      <c r="A127" s="625"/>
      <c r="B127" s="625"/>
    </row>
    <row r="128">
      <c r="A128" s="625"/>
      <c r="B128" s="625"/>
    </row>
    <row r="129">
      <c r="A129" s="625"/>
      <c r="B129" s="625"/>
    </row>
    <row r="130">
      <c r="A130" s="625"/>
      <c r="B130" s="625"/>
    </row>
    <row r="131">
      <c r="A131" s="625"/>
      <c r="B131" s="625"/>
    </row>
    <row r="132">
      <c r="A132" s="625"/>
      <c r="B132" s="625"/>
    </row>
    <row r="133">
      <c r="A133" s="625"/>
      <c r="B133" s="625"/>
    </row>
    <row r="134">
      <c r="A134" s="625"/>
      <c r="B134" s="625"/>
    </row>
    <row r="135">
      <c r="A135" s="625"/>
      <c r="B135" s="625"/>
    </row>
    <row r="136">
      <c r="A136" s="625"/>
      <c r="B136" s="625"/>
    </row>
    <row r="137">
      <c r="A137" s="625"/>
      <c r="B137" s="625"/>
    </row>
    <row r="138">
      <c r="A138" s="625"/>
      <c r="B138" s="625"/>
    </row>
    <row r="139">
      <c r="A139" s="625"/>
      <c r="B139" s="625"/>
    </row>
    <row r="140">
      <c r="A140" s="625"/>
      <c r="B140" s="625"/>
    </row>
    <row r="141">
      <c r="A141" s="625"/>
      <c r="B141" s="625"/>
    </row>
    <row r="142">
      <c r="A142" s="625"/>
      <c r="B142" s="625"/>
    </row>
    <row r="143">
      <c r="A143" s="625"/>
      <c r="B143" s="625"/>
    </row>
    <row r="144">
      <c r="A144" s="625"/>
      <c r="B144" s="625"/>
    </row>
    <row r="145">
      <c r="A145" s="625"/>
      <c r="B145" s="625"/>
    </row>
    <row r="146">
      <c r="A146" s="625"/>
      <c r="B146" s="625"/>
    </row>
    <row r="147">
      <c r="A147" s="625"/>
      <c r="B147" s="625"/>
    </row>
    <row r="148">
      <c r="A148" s="625"/>
      <c r="B148" s="625"/>
    </row>
    <row r="149">
      <c r="A149" s="625"/>
      <c r="B149" s="625"/>
    </row>
    <row r="150">
      <c r="A150" s="625"/>
      <c r="B150" s="625"/>
    </row>
    <row r="151">
      <c r="A151" s="625"/>
      <c r="B151" s="625"/>
    </row>
    <row r="152">
      <c r="A152" s="625"/>
      <c r="B152" s="625"/>
    </row>
    <row r="153">
      <c r="A153" s="625"/>
      <c r="B153" s="625"/>
    </row>
    <row r="154">
      <c r="A154" s="625"/>
      <c r="B154" s="625"/>
    </row>
    <row r="155">
      <c r="A155" s="625"/>
      <c r="B155" s="625"/>
    </row>
    <row r="156">
      <c r="A156" s="625"/>
      <c r="B156" s="625"/>
    </row>
    <row r="157">
      <c r="A157" s="625"/>
      <c r="B157" s="625"/>
    </row>
    <row r="158">
      <c r="A158" s="625"/>
      <c r="B158" s="625"/>
    </row>
    <row r="159">
      <c r="A159" s="625"/>
      <c r="B159" s="625"/>
    </row>
    <row r="160">
      <c r="A160" s="625"/>
      <c r="B160" s="625"/>
    </row>
    <row r="161">
      <c r="A161" s="625"/>
      <c r="B161" s="625"/>
    </row>
    <row r="162">
      <c r="A162" s="625"/>
      <c r="B162" s="625"/>
    </row>
    <row r="163">
      <c r="A163" s="625"/>
      <c r="B163" s="625"/>
    </row>
    <row r="164">
      <c r="A164" s="625"/>
      <c r="B164" s="625"/>
    </row>
    <row r="165">
      <c r="A165" s="625"/>
      <c r="B165" s="625"/>
    </row>
    <row r="166">
      <c r="A166" s="625"/>
      <c r="B166" s="625"/>
    </row>
    <row r="167">
      <c r="A167" s="625"/>
      <c r="B167" s="625"/>
    </row>
    <row r="168">
      <c r="A168" s="625"/>
      <c r="B168" s="625"/>
    </row>
    <row r="169">
      <c r="A169" s="625"/>
      <c r="B169" s="625"/>
    </row>
    <row r="170">
      <c r="A170" s="625"/>
      <c r="B170" s="625"/>
    </row>
    <row r="171">
      <c r="A171" s="625"/>
      <c r="B171" s="625"/>
    </row>
    <row r="172">
      <c r="A172" s="625"/>
      <c r="B172" s="625"/>
    </row>
    <row r="173">
      <c r="A173" s="625"/>
      <c r="B173" s="625"/>
    </row>
    <row r="174">
      <c r="A174" s="625"/>
      <c r="B174" s="625"/>
    </row>
    <row r="175">
      <c r="A175" s="625"/>
      <c r="B175" s="625"/>
    </row>
    <row r="176">
      <c r="A176" s="625"/>
      <c r="B176" s="625"/>
    </row>
    <row r="177">
      <c r="A177" s="625"/>
      <c r="B177" s="625"/>
    </row>
    <row r="178">
      <c r="A178" s="625"/>
      <c r="B178" s="625"/>
    </row>
    <row r="179">
      <c r="A179" s="625"/>
      <c r="B179" s="625"/>
    </row>
    <row r="180">
      <c r="A180" s="625"/>
      <c r="B180" s="625"/>
    </row>
    <row r="181">
      <c r="A181" s="625"/>
      <c r="B181" s="625"/>
    </row>
    <row r="182">
      <c r="A182" s="625"/>
      <c r="B182" s="625"/>
    </row>
    <row r="183">
      <c r="A183" s="625"/>
      <c r="B183" s="625"/>
    </row>
    <row r="184">
      <c r="A184" s="625"/>
      <c r="B184" s="625"/>
    </row>
    <row r="185">
      <c r="A185" s="625"/>
      <c r="B185" s="625"/>
    </row>
    <row r="186">
      <c r="A186" s="625"/>
      <c r="B186" s="625"/>
    </row>
    <row r="187">
      <c r="A187" s="625"/>
      <c r="B187" s="625"/>
    </row>
    <row r="188">
      <c r="A188" s="625"/>
      <c r="B188" s="625"/>
    </row>
    <row r="189">
      <c r="A189" s="625"/>
      <c r="B189" s="625"/>
    </row>
    <row r="190">
      <c r="A190" s="625"/>
      <c r="B190" s="625"/>
    </row>
    <row r="191">
      <c r="A191" s="625"/>
      <c r="B191" s="625"/>
    </row>
    <row r="192">
      <c r="A192" s="625"/>
      <c r="B192" s="625"/>
    </row>
    <row r="193">
      <c r="A193" s="625"/>
      <c r="B193" s="625"/>
    </row>
    <row r="194">
      <c r="A194" s="625"/>
      <c r="B194" s="625"/>
    </row>
    <row r="195">
      <c r="A195" s="625"/>
      <c r="B195" s="625"/>
    </row>
    <row r="196">
      <c r="A196" s="625"/>
      <c r="B196" s="625"/>
    </row>
    <row r="197">
      <c r="A197" s="625"/>
      <c r="B197" s="625"/>
    </row>
    <row r="198">
      <c r="A198" s="625"/>
      <c r="B198" s="625"/>
    </row>
    <row r="199">
      <c r="A199" s="625"/>
      <c r="B199" s="625"/>
    </row>
    <row r="200">
      <c r="A200" s="625"/>
      <c r="B200" s="625"/>
    </row>
    <row r="201">
      <c r="A201" s="625"/>
      <c r="B201" s="625"/>
    </row>
    <row r="202">
      <c r="A202" s="625"/>
      <c r="B202" s="625"/>
    </row>
    <row r="203">
      <c r="A203" s="625"/>
      <c r="B203" s="625"/>
    </row>
    <row r="204">
      <c r="A204" s="625"/>
      <c r="B204" s="625"/>
    </row>
    <row r="205">
      <c r="A205" s="625"/>
      <c r="B205" s="625"/>
    </row>
    <row r="206">
      <c r="A206" s="625"/>
      <c r="B206" s="625"/>
    </row>
    <row r="207">
      <c r="A207" s="625"/>
      <c r="B207" s="625"/>
    </row>
    <row r="208">
      <c r="A208" s="625"/>
      <c r="B208" s="625"/>
    </row>
    <row r="209">
      <c r="A209" s="625"/>
      <c r="B209" s="625"/>
    </row>
    <row r="210">
      <c r="A210" s="625"/>
      <c r="B210" s="625"/>
    </row>
    <row r="211">
      <c r="A211" s="625"/>
      <c r="B211" s="625"/>
    </row>
    <row r="212">
      <c r="A212" s="625"/>
      <c r="B212" s="625"/>
    </row>
    <row r="213">
      <c r="A213" s="625"/>
      <c r="B213" s="625"/>
    </row>
    <row r="214">
      <c r="A214" s="625"/>
      <c r="B214" s="625"/>
    </row>
    <row r="215">
      <c r="A215" s="625"/>
      <c r="B215" s="625"/>
    </row>
    <row r="216">
      <c r="A216" s="625"/>
      <c r="B216" s="625"/>
    </row>
    <row r="217">
      <c r="A217" s="625"/>
      <c r="B217" s="625"/>
    </row>
    <row r="218">
      <c r="A218" s="625"/>
      <c r="B218" s="625"/>
    </row>
    <row r="219">
      <c r="A219" s="625"/>
      <c r="B219" s="625"/>
    </row>
    <row r="220">
      <c r="A220" s="625"/>
      <c r="B220" s="625"/>
    </row>
    <row r="221">
      <c r="A221" s="625"/>
      <c r="B221" s="625"/>
    </row>
    <row r="222">
      <c r="A222" s="625"/>
      <c r="B222" s="625"/>
    </row>
    <row r="223">
      <c r="A223" s="625"/>
      <c r="B223" s="625"/>
    </row>
    <row r="224">
      <c r="A224" s="625"/>
      <c r="B224" s="625"/>
    </row>
    <row r="225">
      <c r="A225" s="625"/>
      <c r="B225" s="625"/>
    </row>
    <row r="226">
      <c r="A226" s="625"/>
      <c r="B226" s="625"/>
    </row>
    <row r="227">
      <c r="A227" s="625"/>
      <c r="B227" s="625"/>
    </row>
    <row r="228">
      <c r="A228" s="625"/>
      <c r="B228" s="625"/>
    </row>
    <row r="229">
      <c r="A229" s="625"/>
      <c r="B229" s="625"/>
    </row>
    <row r="230">
      <c r="A230" s="625"/>
      <c r="B230" s="625"/>
    </row>
    <row r="231">
      <c r="A231" s="625"/>
      <c r="B231" s="625"/>
    </row>
    <row r="232">
      <c r="A232" s="625"/>
      <c r="B232" s="625"/>
    </row>
    <row r="233">
      <c r="A233" s="625"/>
      <c r="B233" s="625"/>
    </row>
    <row r="234">
      <c r="A234" s="625"/>
      <c r="B234" s="625"/>
    </row>
    <row r="235">
      <c r="A235" s="625"/>
      <c r="B235" s="625"/>
    </row>
    <row r="236">
      <c r="A236" s="625"/>
      <c r="B236" s="625"/>
    </row>
    <row r="237">
      <c r="A237" s="625"/>
      <c r="B237" s="625"/>
    </row>
    <row r="238">
      <c r="A238" s="625"/>
      <c r="B238" s="625"/>
    </row>
    <row r="239">
      <c r="A239" s="625"/>
      <c r="B239" s="625"/>
    </row>
    <row r="240">
      <c r="A240" s="625"/>
      <c r="B240" s="625"/>
    </row>
    <row r="241">
      <c r="A241" s="625"/>
      <c r="B241" s="625"/>
    </row>
    <row r="242">
      <c r="A242" s="625"/>
      <c r="B242" s="625"/>
    </row>
    <row r="243">
      <c r="A243" s="625"/>
      <c r="B243" s="625"/>
    </row>
    <row r="244">
      <c r="A244" s="625"/>
      <c r="B244" s="625"/>
    </row>
    <row r="245">
      <c r="A245" s="625"/>
      <c r="B245" s="625"/>
    </row>
    <row r="246">
      <c r="A246" s="625"/>
      <c r="B246" s="625"/>
    </row>
    <row r="247">
      <c r="A247" s="625"/>
      <c r="B247" s="625"/>
    </row>
    <row r="248">
      <c r="A248" s="625"/>
      <c r="B248" s="625"/>
    </row>
    <row r="249">
      <c r="A249" s="625"/>
      <c r="B249" s="625"/>
    </row>
    <row r="250">
      <c r="A250" s="625"/>
      <c r="B250" s="625"/>
    </row>
    <row r="251">
      <c r="A251" s="625"/>
      <c r="B251" s="625"/>
    </row>
    <row r="252">
      <c r="A252" s="625"/>
      <c r="B252" s="625"/>
    </row>
    <row r="253">
      <c r="A253" s="625"/>
      <c r="B253" s="625"/>
    </row>
    <row r="254">
      <c r="A254" s="625"/>
      <c r="B254" s="625"/>
    </row>
    <row r="255">
      <c r="A255" s="625"/>
      <c r="B255" s="625"/>
    </row>
    <row r="256">
      <c r="A256" s="625"/>
      <c r="B256" s="625"/>
    </row>
    <row r="257">
      <c r="A257" s="625"/>
      <c r="B257" s="625"/>
    </row>
    <row r="258">
      <c r="A258" s="625"/>
      <c r="B258" s="625"/>
    </row>
    <row r="259">
      <c r="A259" s="625"/>
      <c r="B259" s="625"/>
    </row>
    <row r="260">
      <c r="A260" s="625"/>
      <c r="B260" s="625"/>
    </row>
    <row r="261">
      <c r="A261" s="625"/>
      <c r="B261" s="625"/>
    </row>
    <row r="262">
      <c r="A262" s="625"/>
      <c r="B262" s="625"/>
    </row>
    <row r="263">
      <c r="A263" s="625"/>
      <c r="B263" s="625"/>
    </row>
    <row r="264">
      <c r="A264" s="625"/>
      <c r="B264" s="625"/>
    </row>
    <row r="265">
      <c r="A265" s="625"/>
      <c r="B265" s="625"/>
    </row>
    <row r="266">
      <c r="A266" s="625"/>
      <c r="B266" s="625"/>
    </row>
    <row r="267">
      <c r="A267" s="625"/>
      <c r="B267" s="625"/>
    </row>
    <row r="268">
      <c r="A268" s="625"/>
      <c r="B268" s="625"/>
    </row>
    <row r="269">
      <c r="A269" s="625"/>
      <c r="B269" s="625"/>
    </row>
    <row r="270">
      <c r="A270" s="625"/>
      <c r="B270" s="625"/>
    </row>
    <row r="271">
      <c r="A271" s="625"/>
      <c r="B271" s="625"/>
    </row>
    <row r="272">
      <c r="A272" s="625"/>
      <c r="B272" s="625"/>
    </row>
    <row r="273">
      <c r="A273" s="625"/>
      <c r="B273" s="625"/>
    </row>
    <row r="274">
      <c r="A274" s="625"/>
      <c r="B274" s="625"/>
    </row>
    <row r="275">
      <c r="A275" s="625"/>
      <c r="B275" s="625"/>
    </row>
    <row r="276">
      <c r="A276" s="625"/>
      <c r="B276" s="625"/>
    </row>
    <row r="277">
      <c r="A277" s="625"/>
      <c r="B277" s="625"/>
    </row>
    <row r="278">
      <c r="A278" s="625"/>
      <c r="B278" s="625"/>
    </row>
    <row r="279">
      <c r="A279" s="625"/>
      <c r="B279" s="625"/>
    </row>
    <row r="280">
      <c r="A280" s="625"/>
      <c r="B280" s="625"/>
    </row>
    <row r="281">
      <c r="A281" s="625"/>
      <c r="B281" s="625"/>
    </row>
    <row r="282">
      <c r="A282" s="625"/>
      <c r="B282" s="625"/>
    </row>
    <row r="283">
      <c r="A283" s="625"/>
      <c r="B283" s="625"/>
    </row>
    <row r="284">
      <c r="A284" s="625"/>
      <c r="B284" s="625"/>
    </row>
    <row r="285">
      <c r="A285" s="625"/>
      <c r="B285" s="625"/>
    </row>
    <row r="286">
      <c r="A286" s="625"/>
      <c r="B286" s="625"/>
    </row>
    <row r="287">
      <c r="A287" s="625"/>
      <c r="B287" s="625"/>
    </row>
    <row r="288">
      <c r="A288" s="625"/>
      <c r="B288" s="625"/>
    </row>
    <row r="289">
      <c r="A289" s="625"/>
      <c r="B289" s="625"/>
    </row>
    <row r="290">
      <c r="A290" s="625"/>
      <c r="B290" s="625"/>
    </row>
    <row r="291">
      <c r="A291" s="625"/>
      <c r="B291" s="625"/>
    </row>
    <row r="292">
      <c r="A292" s="625"/>
      <c r="B292" s="625"/>
    </row>
    <row r="293">
      <c r="A293" s="625"/>
      <c r="B293" s="625"/>
    </row>
    <row r="294">
      <c r="A294" s="625"/>
      <c r="B294" s="625"/>
    </row>
    <row r="295">
      <c r="A295" s="625"/>
      <c r="B295" s="625"/>
    </row>
    <row r="296">
      <c r="A296" s="625"/>
      <c r="B296" s="625"/>
    </row>
    <row r="297">
      <c r="A297" s="625"/>
      <c r="B297" s="625"/>
    </row>
    <row r="298">
      <c r="A298" s="625"/>
      <c r="B298" s="625"/>
    </row>
    <row r="299">
      <c r="A299" s="625"/>
      <c r="B299" s="625"/>
    </row>
    <row r="300">
      <c r="A300" s="625"/>
      <c r="B300" s="625"/>
    </row>
    <row r="301">
      <c r="A301" s="625"/>
      <c r="B301" s="625"/>
    </row>
    <row r="302">
      <c r="A302" s="625"/>
      <c r="B302" s="625"/>
    </row>
    <row r="303">
      <c r="A303" s="625"/>
      <c r="B303" s="625"/>
    </row>
    <row r="304">
      <c r="A304" s="625"/>
      <c r="B304" s="625"/>
    </row>
    <row r="305">
      <c r="A305" s="625"/>
      <c r="B305" s="625"/>
    </row>
    <row r="306">
      <c r="A306" s="625"/>
      <c r="B306" s="625"/>
    </row>
    <row r="307">
      <c r="A307" s="625"/>
      <c r="B307" s="625"/>
    </row>
    <row r="308">
      <c r="A308" s="625"/>
      <c r="B308" s="625"/>
    </row>
    <row r="309">
      <c r="A309" s="625"/>
      <c r="B309" s="625"/>
    </row>
    <row r="310">
      <c r="A310" s="625"/>
      <c r="B310" s="625"/>
    </row>
    <row r="311">
      <c r="A311" s="625"/>
      <c r="B311" s="625"/>
    </row>
    <row r="312">
      <c r="A312" s="625"/>
      <c r="B312" s="625"/>
    </row>
    <row r="313">
      <c r="A313" s="625"/>
      <c r="B313" s="625"/>
    </row>
    <row r="314">
      <c r="A314" s="625"/>
      <c r="B314" s="625"/>
    </row>
    <row r="315">
      <c r="A315" s="625"/>
      <c r="B315" s="625"/>
    </row>
    <row r="316">
      <c r="A316" s="625"/>
      <c r="B316" s="625"/>
    </row>
    <row r="317">
      <c r="A317" s="625"/>
      <c r="B317" s="625"/>
    </row>
    <row r="318">
      <c r="A318" s="625"/>
      <c r="B318" s="625"/>
    </row>
    <row r="319">
      <c r="A319" s="625"/>
      <c r="B319" s="625"/>
    </row>
    <row r="320">
      <c r="A320" s="625"/>
      <c r="B320" s="625"/>
    </row>
    <row r="321">
      <c r="A321" s="625"/>
      <c r="B321" s="625"/>
    </row>
    <row r="322">
      <c r="A322" s="625"/>
      <c r="B322" s="625"/>
    </row>
    <row r="323">
      <c r="A323" s="625"/>
      <c r="B323" s="625"/>
    </row>
    <row r="324">
      <c r="A324" s="625"/>
      <c r="B324" s="625"/>
    </row>
    <row r="325">
      <c r="A325" s="625"/>
      <c r="B325" s="625"/>
    </row>
    <row r="326">
      <c r="A326" s="625"/>
      <c r="B326" s="625"/>
    </row>
    <row r="327">
      <c r="A327" s="625"/>
      <c r="B327" s="625"/>
    </row>
    <row r="328">
      <c r="A328" s="625"/>
      <c r="B328" s="625"/>
    </row>
    <row r="329">
      <c r="A329" s="625"/>
      <c r="B329" s="625"/>
    </row>
    <row r="330">
      <c r="A330" s="625"/>
      <c r="B330" s="625"/>
    </row>
    <row r="331">
      <c r="A331" s="625"/>
      <c r="B331" s="625"/>
    </row>
    <row r="332">
      <c r="A332" s="625"/>
      <c r="B332" s="625"/>
    </row>
    <row r="333">
      <c r="A333" s="625"/>
      <c r="B333" s="625"/>
    </row>
    <row r="334">
      <c r="A334" s="625"/>
      <c r="B334" s="625"/>
    </row>
    <row r="335">
      <c r="A335" s="625"/>
      <c r="B335" s="625"/>
    </row>
    <row r="336">
      <c r="A336" s="625"/>
      <c r="B336" s="625"/>
    </row>
    <row r="337">
      <c r="A337" s="625"/>
      <c r="B337" s="625"/>
    </row>
    <row r="338">
      <c r="A338" s="625"/>
      <c r="B338" s="625"/>
    </row>
    <row r="339">
      <c r="A339" s="625"/>
      <c r="B339" s="625"/>
    </row>
    <row r="340">
      <c r="A340" s="625"/>
      <c r="B340" s="625"/>
    </row>
    <row r="341">
      <c r="A341" s="625"/>
      <c r="B341" s="625"/>
    </row>
    <row r="342">
      <c r="A342" s="625"/>
      <c r="B342" s="625"/>
    </row>
    <row r="343">
      <c r="A343" s="625"/>
      <c r="B343" s="625"/>
    </row>
    <row r="344">
      <c r="A344" s="625"/>
      <c r="B344" s="625"/>
    </row>
    <row r="345">
      <c r="A345" s="625"/>
      <c r="B345" s="625"/>
    </row>
    <row r="346">
      <c r="A346" s="625"/>
      <c r="B346" s="625"/>
    </row>
    <row r="347">
      <c r="A347" s="625"/>
      <c r="B347" s="625"/>
    </row>
    <row r="348">
      <c r="A348" s="625"/>
      <c r="B348" s="625"/>
    </row>
    <row r="349">
      <c r="A349" s="625"/>
      <c r="B349" s="625"/>
    </row>
    <row r="350">
      <c r="A350" s="625"/>
      <c r="B350" s="625"/>
    </row>
    <row r="351">
      <c r="A351" s="625"/>
      <c r="B351" s="625"/>
    </row>
    <row r="352">
      <c r="A352" s="625"/>
      <c r="B352" s="625"/>
    </row>
    <row r="353">
      <c r="A353" s="625"/>
      <c r="B353" s="625"/>
    </row>
    <row r="354">
      <c r="A354" s="625"/>
      <c r="B354" s="625"/>
    </row>
    <row r="355">
      <c r="A355" s="625"/>
      <c r="B355" s="625"/>
    </row>
    <row r="356">
      <c r="A356" s="625"/>
      <c r="B356" s="625"/>
    </row>
    <row r="357">
      <c r="A357" s="625"/>
      <c r="B357" s="625"/>
    </row>
    <row r="358">
      <c r="A358" s="625"/>
      <c r="B358" s="625"/>
    </row>
    <row r="359">
      <c r="A359" s="625"/>
      <c r="B359" s="625"/>
    </row>
    <row r="360">
      <c r="A360" s="625"/>
      <c r="B360" s="625"/>
    </row>
    <row r="361">
      <c r="A361" s="625"/>
      <c r="B361" s="625"/>
    </row>
    <row r="362">
      <c r="A362" s="625"/>
      <c r="B362" s="625"/>
    </row>
    <row r="363">
      <c r="A363" s="625"/>
      <c r="B363" s="625"/>
    </row>
    <row r="364">
      <c r="A364" s="625"/>
      <c r="B364" s="625"/>
    </row>
    <row r="365">
      <c r="A365" s="625"/>
      <c r="B365" s="625"/>
    </row>
    <row r="366">
      <c r="A366" s="625"/>
      <c r="B366" s="625"/>
    </row>
    <row r="367">
      <c r="A367" s="625"/>
      <c r="B367" s="625"/>
    </row>
    <row r="368">
      <c r="A368" s="625"/>
      <c r="B368" s="625"/>
    </row>
    <row r="369">
      <c r="A369" s="625"/>
      <c r="B369" s="625"/>
    </row>
    <row r="370">
      <c r="A370" s="625"/>
      <c r="B370" s="625"/>
    </row>
    <row r="371">
      <c r="A371" s="625"/>
      <c r="B371" s="625"/>
    </row>
    <row r="372">
      <c r="A372" s="625"/>
      <c r="B372" s="625"/>
    </row>
    <row r="373">
      <c r="A373" s="625"/>
      <c r="B373" s="625"/>
    </row>
    <row r="374">
      <c r="A374" s="625"/>
      <c r="B374" s="625"/>
    </row>
    <row r="375">
      <c r="A375" s="625"/>
      <c r="B375" s="625"/>
    </row>
    <row r="376">
      <c r="A376" s="625"/>
      <c r="B376" s="625"/>
    </row>
    <row r="377">
      <c r="A377" s="625"/>
      <c r="B377" s="625"/>
    </row>
    <row r="378">
      <c r="A378" s="625"/>
      <c r="B378" s="625"/>
    </row>
    <row r="379">
      <c r="A379" s="625"/>
      <c r="B379" s="625"/>
    </row>
    <row r="380">
      <c r="A380" s="625"/>
      <c r="B380" s="625"/>
    </row>
    <row r="381">
      <c r="A381" s="625"/>
      <c r="B381" s="625"/>
    </row>
    <row r="382">
      <c r="A382" s="625"/>
      <c r="B382" s="625"/>
    </row>
    <row r="383">
      <c r="A383" s="625"/>
      <c r="B383" s="625"/>
    </row>
    <row r="384">
      <c r="A384" s="625"/>
      <c r="B384" s="625"/>
    </row>
    <row r="385">
      <c r="A385" s="625"/>
      <c r="B385" s="625"/>
    </row>
    <row r="386">
      <c r="A386" s="625"/>
      <c r="B386" s="625"/>
    </row>
    <row r="387">
      <c r="A387" s="625"/>
      <c r="B387" s="625"/>
    </row>
    <row r="388">
      <c r="A388" s="625"/>
      <c r="B388" s="625"/>
    </row>
    <row r="389">
      <c r="A389" s="625"/>
      <c r="B389" s="625"/>
    </row>
    <row r="390">
      <c r="A390" s="625"/>
      <c r="B390" s="625"/>
    </row>
    <row r="391">
      <c r="A391" s="625"/>
      <c r="B391" s="625"/>
    </row>
    <row r="392">
      <c r="A392" s="625"/>
      <c r="B392" s="625"/>
    </row>
    <row r="393">
      <c r="A393" s="625"/>
      <c r="B393" s="625"/>
    </row>
    <row r="394">
      <c r="A394" s="625"/>
      <c r="B394" s="625"/>
    </row>
    <row r="395">
      <c r="A395" s="625"/>
      <c r="B395" s="625"/>
    </row>
    <row r="396">
      <c r="A396" s="625"/>
      <c r="B396" s="625"/>
    </row>
    <row r="397">
      <c r="A397" s="625"/>
      <c r="B397" s="625"/>
    </row>
    <row r="398">
      <c r="A398" s="625"/>
      <c r="B398" s="625"/>
    </row>
    <row r="399">
      <c r="A399" s="625"/>
      <c r="B399" s="625"/>
    </row>
    <row r="400">
      <c r="A400" s="625"/>
      <c r="B400" s="625"/>
    </row>
    <row r="401">
      <c r="A401" s="625"/>
      <c r="B401" s="625"/>
    </row>
    <row r="402">
      <c r="A402" s="625"/>
      <c r="B402" s="625"/>
    </row>
    <row r="403">
      <c r="A403" s="625"/>
      <c r="B403" s="625"/>
    </row>
    <row r="404">
      <c r="A404" s="625"/>
      <c r="B404" s="625"/>
    </row>
    <row r="405">
      <c r="A405" s="625"/>
      <c r="B405" s="625"/>
    </row>
    <row r="406">
      <c r="A406" s="625"/>
      <c r="B406" s="625"/>
    </row>
    <row r="407">
      <c r="A407" s="625"/>
      <c r="B407" s="625"/>
    </row>
    <row r="408">
      <c r="A408" s="625"/>
      <c r="B408" s="625"/>
    </row>
    <row r="409">
      <c r="A409" s="625"/>
      <c r="B409" s="625"/>
    </row>
    <row r="410">
      <c r="A410" s="625"/>
      <c r="B410" s="625"/>
    </row>
    <row r="411">
      <c r="A411" s="625"/>
      <c r="B411" s="625"/>
    </row>
    <row r="412">
      <c r="A412" s="625"/>
      <c r="B412" s="625"/>
    </row>
    <row r="413">
      <c r="A413" s="625"/>
      <c r="B413" s="625"/>
    </row>
    <row r="414">
      <c r="A414" s="625"/>
      <c r="B414" s="625"/>
    </row>
    <row r="415">
      <c r="A415" s="625"/>
      <c r="B415" s="625"/>
    </row>
    <row r="416">
      <c r="A416" s="625"/>
      <c r="B416" s="625"/>
    </row>
    <row r="417">
      <c r="A417" s="625"/>
      <c r="B417" s="625"/>
    </row>
    <row r="418">
      <c r="A418" s="625"/>
      <c r="B418" s="625"/>
    </row>
    <row r="419">
      <c r="A419" s="625"/>
      <c r="B419" s="625"/>
    </row>
    <row r="420">
      <c r="A420" s="625"/>
      <c r="B420" s="625"/>
    </row>
    <row r="421">
      <c r="A421" s="625"/>
      <c r="B421" s="625"/>
    </row>
    <row r="422">
      <c r="A422" s="625"/>
      <c r="B422" s="625"/>
    </row>
    <row r="423">
      <c r="A423" s="625"/>
      <c r="B423" s="625"/>
    </row>
    <row r="424">
      <c r="A424" s="625"/>
      <c r="B424" s="625"/>
    </row>
    <row r="425">
      <c r="A425" s="625"/>
      <c r="B425" s="625"/>
    </row>
    <row r="426">
      <c r="A426" s="625"/>
      <c r="B426" s="625"/>
    </row>
    <row r="427">
      <c r="A427" s="625"/>
      <c r="B427" s="625"/>
    </row>
    <row r="428">
      <c r="A428" s="625"/>
      <c r="B428" s="625"/>
    </row>
    <row r="429">
      <c r="A429" s="625"/>
      <c r="B429" s="625"/>
    </row>
    <row r="430">
      <c r="A430" s="625"/>
      <c r="B430" s="625"/>
    </row>
    <row r="431">
      <c r="A431" s="625"/>
      <c r="B431" s="625"/>
    </row>
    <row r="432">
      <c r="A432" s="625"/>
      <c r="B432" s="625"/>
    </row>
    <row r="433">
      <c r="A433" s="625"/>
      <c r="B433" s="625"/>
    </row>
    <row r="434">
      <c r="A434" s="625"/>
      <c r="B434" s="625"/>
    </row>
    <row r="435">
      <c r="A435" s="625"/>
      <c r="B435" s="625"/>
    </row>
    <row r="436">
      <c r="A436" s="625"/>
      <c r="B436" s="625"/>
    </row>
    <row r="437">
      <c r="A437" s="625"/>
      <c r="B437" s="625"/>
    </row>
    <row r="438">
      <c r="A438" s="625"/>
      <c r="B438" s="625"/>
    </row>
    <row r="439">
      <c r="A439" s="625"/>
      <c r="B439" s="625"/>
    </row>
    <row r="440">
      <c r="A440" s="625"/>
      <c r="B440" s="625"/>
    </row>
    <row r="441">
      <c r="A441" s="625"/>
      <c r="B441" s="625"/>
    </row>
    <row r="442">
      <c r="A442" s="625"/>
      <c r="B442" s="625"/>
    </row>
    <row r="443">
      <c r="A443" s="625"/>
      <c r="B443" s="625"/>
    </row>
    <row r="444">
      <c r="A444" s="625"/>
      <c r="B444" s="625"/>
    </row>
    <row r="445">
      <c r="A445" s="625"/>
      <c r="B445" s="625"/>
    </row>
    <row r="446">
      <c r="A446" s="625"/>
      <c r="B446" s="625"/>
    </row>
    <row r="447">
      <c r="A447" s="625"/>
      <c r="B447" s="625"/>
    </row>
    <row r="448">
      <c r="A448" s="625"/>
      <c r="B448" s="625"/>
    </row>
    <row r="449">
      <c r="A449" s="625"/>
      <c r="B449" s="625"/>
    </row>
    <row r="450">
      <c r="A450" s="625"/>
      <c r="B450" s="625"/>
    </row>
    <row r="451">
      <c r="A451" s="625"/>
      <c r="B451" s="625"/>
    </row>
    <row r="452">
      <c r="A452" s="625"/>
      <c r="B452" s="625"/>
    </row>
    <row r="453">
      <c r="A453" s="625"/>
      <c r="B453" s="625"/>
    </row>
    <row r="454">
      <c r="A454" s="625"/>
      <c r="B454" s="625"/>
    </row>
    <row r="455">
      <c r="A455" s="625"/>
      <c r="B455" s="625"/>
    </row>
    <row r="456">
      <c r="A456" s="625"/>
      <c r="B456" s="625"/>
    </row>
    <row r="457">
      <c r="A457" s="625"/>
      <c r="B457" s="625"/>
    </row>
    <row r="458">
      <c r="A458" s="625"/>
      <c r="B458" s="625"/>
    </row>
    <row r="459">
      <c r="A459" s="625"/>
      <c r="B459" s="625"/>
    </row>
    <row r="460">
      <c r="A460" s="625"/>
      <c r="B460" s="625"/>
    </row>
    <row r="461">
      <c r="A461" s="625"/>
      <c r="B461" s="625"/>
    </row>
    <row r="462">
      <c r="A462" s="625"/>
      <c r="B462" s="625"/>
    </row>
    <row r="463">
      <c r="A463" s="625"/>
      <c r="B463" s="625"/>
    </row>
    <row r="464">
      <c r="A464" s="625"/>
      <c r="B464" s="625"/>
    </row>
    <row r="465">
      <c r="A465" s="625"/>
      <c r="B465" s="625"/>
    </row>
    <row r="466">
      <c r="A466" s="625"/>
      <c r="B466" s="625"/>
    </row>
    <row r="467">
      <c r="A467" s="625"/>
      <c r="B467" s="625"/>
    </row>
    <row r="468">
      <c r="A468" s="625"/>
      <c r="B468" s="625"/>
    </row>
    <row r="469">
      <c r="A469" s="625"/>
      <c r="B469" s="625"/>
    </row>
    <row r="470">
      <c r="A470" s="625"/>
      <c r="B470" s="625"/>
    </row>
    <row r="471">
      <c r="A471" s="625"/>
      <c r="B471" s="625"/>
    </row>
    <row r="472">
      <c r="A472" s="625"/>
      <c r="B472" s="625"/>
    </row>
    <row r="473">
      <c r="A473" s="625"/>
      <c r="B473" s="625"/>
    </row>
    <row r="474">
      <c r="A474" s="625"/>
      <c r="B474" s="625"/>
    </row>
    <row r="475">
      <c r="A475" s="625"/>
      <c r="B475" s="625"/>
    </row>
    <row r="476">
      <c r="A476" s="625"/>
      <c r="B476" s="625"/>
    </row>
    <row r="477">
      <c r="A477" s="625"/>
      <c r="B477" s="625"/>
    </row>
    <row r="478">
      <c r="A478" s="625"/>
      <c r="B478" s="625"/>
    </row>
    <row r="479">
      <c r="A479" s="625"/>
      <c r="B479" s="625"/>
    </row>
    <row r="480">
      <c r="A480" s="625"/>
      <c r="B480" s="625"/>
    </row>
    <row r="481">
      <c r="A481" s="625"/>
      <c r="B481" s="625"/>
    </row>
    <row r="482">
      <c r="A482" s="625"/>
      <c r="B482" s="625"/>
    </row>
    <row r="483">
      <c r="A483" s="625"/>
      <c r="B483" s="625"/>
    </row>
    <row r="484">
      <c r="A484" s="625"/>
      <c r="B484" s="625"/>
    </row>
    <row r="485">
      <c r="A485" s="625"/>
      <c r="B485" s="625"/>
    </row>
    <row r="486">
      <c r="A486" s="625"/>
      <c r="B486" s="625"/>
    </row>
    <row r="487">
      <c r="A487" s="625"/>
      <c r="B487" s="625"/>
    </row>
    <row r="488">
      <c r="A488" s="625"/>
      <c r="B488" s="625"/>
    </row>
    <row r="489">
      <c r="A489" s="625"/>
      <c r="B489" s="625"/>
    </row>
    <row r="490">
      <c r="A490" s="625"/>
      <c r="B490" s="625"/>
    </row>
    <row r="491">
      <c r="A491" s="625"/>
      <c r="B491" s="625"/>
    </row>
    <row r="492">
      <c r="A492" s="625"/>
      <c r="B492" s="625"/>
    </row>
    <row r="493">
      <c r="A493" s="625"/>
      <c r="B493" s="625"/>
    </row>
    <row r="494">
      <c r="A494" s="625"/>
      <c r="B494" s="625"/>
    </row>
    <row r="495">
      <c r="A495" s="625"/>
      <c r="B495" s="625"/>
    </row>
    <row r="496">
      <c r="A496" s="625"/>
      <c r="B496" s="625"/>
    </row>
    <row r="497">
      <c r="A497" s="625"/>
      <c r="B497" s="625"/>
    </row>
    <row r="498">
      <c r="A498" s="625"/>
      <c r="B498" s="625"/>
    </row>
    <row r="499">
      <c r="A499" s="625"/>
      <c r="B499" s="625"/>
    </row>
    <row r="500">
      <c r="A500" s="625"/>
      <c r="B500" s="625"/>
    </row>
    <row r="501">
      <c r="A501" s="625"/>
      <c r="B501" s="625"/>
    </row>
    <row r="502">
      <c r="A502" s="625"/>
      <c r="B502" s="625"/>
    </row>
    <row r="503">
      <c r="A503" s="625"/>
      <c r="B503" s="625"/>
    </row>
    <row r="504">
      <c r="A504" s="625"/>
      <c r="B504" s="625"/>
    </row>
    <row r="505">
      <c r="A505" s="625"/>
      <c r="B505" s="625"/>
    </row>
    <row r="506">
      <c r="A506" s="625"/>
      <c r="B506" s="625"/>
    </row>
    <row r="507">
      <c r="A507" s="625"/>
      <c r="B507" s="625"/>
    </row>
    <row r="508">
      <c r="A508" s="625"/>
      <c r="B508" s="625"/>
    </row>
    <row r="509">
      <c r="A509" s="625"/>
      <c r="B509" s="625"/>
    </row>
    <row r="510">
      <c r="A510" s="625"/>
      <c r="B510" s="625"/>
    </row>
    <row r="511">
      <c r="A511" s="625"/>
      <c r="B511" s="625"/>
    </row>
    <row r="512">
      <c r="A512" s="625"/>
      <c r="B512" s="625"/>
    </row>
    <row r="513">
      <c r="A513" s="625"/>
      <c r="B513" s="625"/>
    </row>
    <row r="514">
      <c r="A514" s="625"/>
      <c r="B514" s="625"/>
    </row>
    <row r="515">
      <c r="A515" s="625"/>
      <c r="B515" s="625"/>
    </row>
    <row r="516">
      <c r="A516" s="625"/>
      <c r="B516" s="625"/>
    </row>
    <row r="517">
      <c r="A517" s="625"/>
      <c r="B517" s="625"/>
    </row>
    <row r="518">
      <c r="A518" s="625"/>
      <c r="B518" s="625"/>
    </row>
    <row r="519">
      <c r="A519" s="625"/>
      <c r="B519" s="625"/>
    </row>
    <row r="520">
      <c r="A520" s="625"/>
      <c r="B520" s="625"/>
    </row>
    <row r="521">
      <c r="A521" s="625"/>
      <c r="B521" s="625"/>
    </row>
    <row r="522">
      <c r="A522" s="625"/>
      <c r="B522" s="625"/>
    </row>
    <row r="523">
      <c r="A523" s="625"/>
      <c r="B523" s="625"/>
    </row>
    <row r="524">
      <c r="A524" s="625"/>
      <c r="B524" s="625"/>
    </row>
    <row r="525">
      <c r="A525" s="625"/>
      <c r="B525" s="625"/>
    </row>
    <row r="526">
      <c r="A526" s="625"/>
      <c r="B526" s="625"/>
    </row>
    <row r="527">
      <c r="A527" s="625"/>
      <c r="B527" s="625"/>
    </row>
    <row r="528">
      <c r="A528" s="625"/>
      <c r="B528" s="625"/>
    </row>
    <row r="529">
      <c r="A529" s="625"/>
      <c r="B529" s="625"/>
    </row>
    <row r="530">
      <c r="A530" s="625"/>
      <c r="B530" s="625"/>
    </row>
    <row r="531">
      <c r="A531" s="625"/>
      <c r="B531" s="625"/>
    </row>
    <row r="532">
      <c r="A532" s="625"/>
      <c r="B532" s="625"/>
    </row>
    <row r="533">
      <c r="A533" s="625"/>
      <c r="B533" s="625"/>
    </row>
    <row r="534">
      <c r="A534" s="625"/>
      <c r="B534" s="625"/>
    </row>
    <row r="535">
      <c r="A535" s="625"/>
      <c r="B535" s="625"/>
    </row>
    <row r="536">
      <c r="A536" s="625"/>
      <c r="B536" s="625"/>
    </row>
    <row r="537">
      <c r="A537" s="625"/>
      <c r="B537" s="625"/>
    </row>
    <row r="538">
      <c r="A538" s="625"/>
      <c r="B538" s="625"/>
    </row>
    <row r="539">
      <c r="A539" s="625"/>
      <c r="B539" s="625"/>
    </row>
    <row r="540">
      <c r="A540" s="625"/>
      <c r="B540" s="625"/>
    </row>
    <row r="541">
      <c r="A541" s="625"/>
      <c r="B541" s="625"/>
    </row>
    <row r="542">
      <c r="A542" s="625"/>
      <c r="B542" s="625"/>
    </row>
    <row r="543">
      <c r="A543" s="625"/>
      <c r="B543" s="625"/>
    </row>
    <row r="544">
      <c r="A544" s="625"/>
      <c r="B544" s="625"/>
    </row>
    <row r="545">
      <c r="A545" s="625"/>
      <c r="B545" s="625"/>
    </row>
    <row r="546">
      <c r="A546" s="625"/>
      <c r="B546" s="625"/>
    </row>
    <row r="547">
      <c r="A547" s="625"/>
      <c r="B547" s="625"/>
    </row>
    <row r="548">
      <c r="A548" s="625"/>
      <c r="B548" s="625"/>
    </row>
    <row r="549">
      <c r="A549" s="625"/>
      <c r="B549" s="625"/>
    </row>
    <row r="550">
      <c r="A550" s="625"/>
      <c r="B550" s="625"/>
    </row>
    <row r="551">
      <c r="A551" s="625"/>
      <c r="B551" s="625"/>
    </row>
    <row r="552">
      <c r="A552" s="625"/>
      <c r="B552" s="625"/>
    </row>
    <row r="553">
      <c r="A553" s="625"/>
      <c r="B553" s="625"/>
    </row>
    <row r="554">
      <c r="A554" s="625"/>
      <c r="B554" s="625"/>
    </row>
    <row r="555">
      <c r="A555" s="625"/>
      <c r="B555" s="625"/>
    </row>
    <row r="556">
      <c r="A556" s="625"/>
      <c r="B556" s="625"/>
    </row>
    <row r="557">
      <c r="A557" s="625"/>
      <c r="B557" s="625"/>
    </row>
    <row r="558">
      <c r="A558" s="625"/>
      <c r="B558" s="625"/>
    </row>
    <row r="559">
      <c r="A559" s="625"/>
      <c r="B559" s="625"/>
    </row>
    <row r="560">
      <c r="A560" s="625"/>
      <c r="B560" s="625"/>
    </row>
    <row r="561">
      <c r="A561" s="625"/>
      <c r="B561" s="625"/>
    </row>
    <row r="562">
      <c r="A562" s="625"/>
      <c r="B562" s="625"/>
    </row>
    <row r="563">
      <c r="A563" s="625"/>
      <c r="B563" s="625"/>
    </row>
    <row r="564">
      <c r="A564" s="625"/>
      <c r="B564" s="625"/>
    </row>
    <row r="565">
      <c r="A565" s="625"/>
      <c r="B565" s="625"/>
    </row>
    <row r="566">
      <c r="A566" s="625"/>
      <c r="B566" s="625"/>
    </row>
    <row r="567">
      <c r="A567" s="625"/>
      <c r="B567" s="625"/>
    </row>
    <row r="568">
      <c r="A568" s="625"/>
      <c r="B568" s="625"/>
    </row>
    <row r="569">
      <c r="A569" s="625"/>
      <c r="B569" s="625"/>
    </row>
    <row r="570">
      <c r="A570" s="625"/>
      <c r="B570" s="625"/>
    </row>
    <row r="571">
      <c r="A571" s="625"/>
      <c r="B571" s="625"/>
    </row>
    <row r="572">
      <c r="A572" s="625"/>
      <c r="B572" s="625"/>
    </row>
    <row r="573">
      <c r="A573" s="625"/>
      <c r="B573" s="625"/>
    </row>
    <row r="574">
      <c r="A574" s="625"/>
      <c r="B574" s="625"/>
    </row>
    <row r="575">
      <c r="A575" s="625"/>
      <c r="B575" s="625"/>
    </row>
    <row r="576">
      <c r="A576" s="625"/>
      <c r="B576" s="625"/>
    </row>
    <row r="577">
      <c r="A577" s="625"/>
      <c r="B577" s="625"/>
    </row>
    <row r="578">
      <c r="A578" s="625"/>
      <c r="B578" s="625"/>
    </row>
    <row r="579">
      <c r="A579" s="625"/>
      <c r="B579" s="625"/>
    </row>
    <row r="580">
      <c r="A580" s="625"/>
      <c r="B580" s="625"/>
    </row>
    <row r="581">
      <c r="A581" s="625"/>
      <c r="B581" s="625"/>
    </row>
    <row r="582">
      <c r="A582" s="625"/>
      <c r="B582" s="625"/>
    </row>
    <row r="583">
      <c r="A583" s="625"/>
      <c r="B583" s="625"/>
    </row>
    <row r="584">
      <c r="A584" s="625"/>
      <c r="B584" s="625"/>
    </row>
    <row r="585">
      <c r="A585" s="625"/>
      <c r="B585" s="625"/>
    </row>
    <row r="586">
      <c r="A586" s="625"/>
      <c r="B586" s="625"/>
    </row>
    <row r="587">
      <c r="A587" s="625"/>
      <c r="B587" s="625"/>
    </row>
    <row r="588">
      <c r="A588" s="625"/>
      <c r="B588" s="625"/>
    </row>
    <row r="589">
      <c r="A589" s="625"/>
      <c r="B589" s="625"/>
    </row>
    <row r="590">
      <c r="A590" s="625"/>
      <c r="B590" s="625"/>
    </row>
    <row r="591">
      <c r="A591" s="625"/>
      <c r="B591" s="625"/>
    </row>
    <row r="592">
      <c r="A592" s="625"/>
      <c r="B592" s="625"/>
    </row>
    <row r="593">
      <c r="A593" s="625"/>
      <c r="B593" s="625"/>
    </row>
    <row r="594">
      <c r="A594" s="625"/>
      <c r="B594" s="625"/>
    </row>
    <row r="595">
      <c r="A595" s="625"/>
      <c r="B595" s="625"/>
    </row>
    <row r="596">
      <c r="A596" s="625"/>
      <c r="B596" s="625"/>
    </row>
    <row r="597">
      <c r="A597" s="625"/>
      <c r="B597" s="625"/>
    </row>
    <row r="598">
      <c r="A598" s="625"/>
      <c r="B598" s="625"/>
    </row>
    <row r="599">
      <c r="A599" s="625"/>
      <c r="B599" s="625"/>
    </row>
    <row r="600">
      <c r="A600" s="625"/>
      <c r="B600" s="625"/>
    </row>
    <row r="601">
      <c r="A601" s="625"/>
      <c r="B601" s="625"/>
    </row>
    <row r="602">
      <c r="A602" s="625"/>
      <c r="B602" s="625"/>
    </row>
    <row r="603">
      <c r="A603" s="625"/>
      <c r="B603" s="625"/>
    </row>
    <row r="604">
      <c r="A604" s="625"/>
      <c r="B604" s="625"/>
    </row>
    <row r="605">
      <c r="A605" s="625"/>
      <c r="B605" s="625"/>
    </row>
    <row r="606">
      <c r="A606" s="625"/>
      <c r="B606" s="625"/>
    </row>
    <row r="607">
      <c r="A607" s="625"/>
      <c r="B607" s="625"/>
    </row>
    <row r="608">
      <c r="A608" s="625"/>
      <c r="B608" s="625"/>
    </row>
    <row r="609">
      <c r="A609" s="625"/>
      <c r="B609" s="625"/>
    </row>
    <row r="610">
      <c r="A610" s="625"/>
      <c r="B610" s="625"/>
    </row>
    <row r="611">
      <c r="A611" s="625"/>
      <c r="B611" s="625"/>
    </row>
    <row r="612">
      <c r="A612" s="625"/>
      <c r="B612" s="625"/>
    </row>
    <row r="613">
      <c r="A613" s="625"/>
      <c r="B613" s="625"/>
    </row>
    <row r="614">
      <c r="A614" s="625"/>
      <c r="B614" s="625"/>
    </row>
    <row r="615">
      <c r="A615" s="625"/>
      <c r="B615" s="625"/>
    </row>
    <row r="616">
      <c r="A616" s="625"/>
      <c r="B616" s="625"/>
    </row>
    <row r="617">
      <c r="A617" s="625"/>
      <c r="B617" s="625"/>
    </row>
    <row r="618">
      <c r="A618" s="625"/>
      <c r="B618" s="625"/>
    </row>
    <row r="619">
      <c r="A619" s="625"/>
      <c r="B619" s="625"/>
    </row>
    <row r="620">
      <c r="A620" s="625"/>
      <c r="B620" s="625"/>
    </row>
    <row r="621">
      <c r="A621" s="625"/>
      <c r="B621" s="625"/>
    </row>
    <row r="622">
      <c r="A622" s="625"/>
      <c r="B622" s="625"/>
    </row>
    <row r="623">
      <c r="A623" s="625"/>
      <c r="B623" s="625"/>
    </row>
    <row r="624">
      <c r="A624" s="625"/>
      <c r="B624" s="625"/>
    </row>
    <row r="625">
      <c r="A625" s="625"/>
      <c r="B625" s="625"/>
    </row>
    <row r="626">
      <c r="A626" s="625"/>
      <c r="B626" s="625"/>
    </row>
    <row r="627">
      <c r="A627" s="625"/>
      <c r="B627" s="625"/>
    </row>
    <row r="628">
      <c r="A628" s="625"/>
      <c r="B628" s="625"/>
    </row>
    <row r="629">
      <c r="A629" s="625"/>
      <c r="B629" s="625"/>
    </row>
    <row r="630">
      <c r="A630" s="625"/>
      <c r="B630" s="625"/>
    </row>
    <row r="631">
      <c r="A631" s="625"/>
      <c r="B631" s="625"/>
    </row>
    <row r="632">
      <c r="A632" s="625"/>
      <c r="B632" s="625"/>
    </row>
    <row r="633">
      <c r="A633" s="625"/>
      <c r="B633" s="625"/>
    </row>
    <row r="634">
      <c r="A634" s="625"/>
      <c r="B634" s="625"/>
    </row>
    <row r="635">
      <c r="A635" s="625"/>
      <c r="B635" s="625"/>
    </row>
    <row r="636">
      <c r="A636" s="625"/>
      <c r="B636" s="625"/>
    </row>
    <row r="637">
      <c r="A637" s="625"/>
      <c r="B637" s="625"/>
    </row>
    <row r="638">
      <c r="A638" s="625"/>
      <c r="B638" s="625"/>
    </row>
    <row r="639">
      <c r="A639" s="625"/>
      <c r="B639" s="625"/>
    </row>
    <row r="640">
      <c r="A640" s="625"/>
      <c r="B640" s="625"/>
    </row>
    <row r="641">
      <c r="A641" s="625"/>
      <c r="B641" s="625"/>
    </row>
    <row r="642">
      <c r="A642" s="625"/>
      <c r="B642" s="625"/>
    </row>
    <row r="643">
      <c r="A643" s="625"/>
      <c r="B643" s="625"/>
    </row>
    <row r="644">
      <c r="A644" s="625"/>
      <c r="B644" s="625"/>
    </row>
    <row r="645">
      <c r="A645" s="625"/>
      <c r="B645" s="625"/>
    </row>
    <row r="646">
      <c r="A646" s="625"/>
      <c r="B646" s="625"/>
    </row>
    <row r="647">
      <c r="A647" s="625"/>
      <c r="B647" s="625"/>
    </row>
    <row r="648">
      <c r="A648" s="625"/>
      <c r="B648" s="625"/>
    </row>
    <row r="649">
      <c r="A649" s="625"/>
      <c r="B649" s="625"/>
    </row>
    <row r="650">
      <c r="A650" s="625"/>
      <c r="B650" s="625"/>
    </row>
    <row r="651">
      <c r="A651" s="625"/>
      <c r="B651" s="625"/>
    </row>
    <row r="652">
      <c r="A652" s="625"/>
      <c r="B652" s="625"/>
    </row>
    <row r="653">
      <c r="A653" s="625"/>
      <c r="B653" s="625"/>
    </row>
    <row r="654">
      <c r="A654" s="625"/>
      <c r="B654" s="625"/>
    </row>
    <row r="655">
      <c r="A655" s="625"/>
      <c r="B655" s="625"/>
    </row>
    <row r="656">
      <c r="A656" s="625"/>
      <c r="B656" s="625"/>
    </row>
    <row r="657">
      <c r="A657" s="625"/>
      <c r="B657" s="625"/>
    </row>
    <row r="658">
      <c r="A658" s="625"/>
      <c r="B658" s="625"/>
    </row>
    <row r="659">
      <c r="A659" s="625"/>
      <c r="B659" s="625"/>
    </row>
    <row r="660">
      <c r="A660" s="625"/>
      <c r="B660" s="625"/>
    </row>
    <row r="661">
      <c r="A661" s="625"/>
      <c r="B661" s="625"/>
    </row>
    <row r="662">
      <c r="A662" s="625"/>
      <c r="B662" s="625"/>
    </row>
    <row r="663">
      <c r="A663" s="625"/>
      <c r="B663" s="625"/>
    </row>
    <row r="664">
      <c r="A664" s="625"/>
      <c r="B664" s="625"/>
    </row>
    <row r="665">
      <c r="A665" s="625"/>
      <c r="B665" s="625"/>
    </row>
    <row r="666">
      <c r="A666" s="625"/>
      <c r="B666" s="625"/>
    </row>
    <row r="667">
      <c r="A667" s="625"/>
      <c r="B667" s="625"/>
    </row>
    <row r="668">
      <c r="A668" s="625"/>
      <c r="B668" s="625"/>
    </row>
    <row r="669">
      <c r="A669" s="625"/>
      <c r="B669" s="625"/>
    </row>
    <row r="670">
      <c r="A670" s="625"/>
      <c r="B670" s="625"/>
    </row>
    <row r="671">
      <c r="A671" s="625"/>
      <c r="B671" s="625"/>
    </row>
    <row r="672">
      <c r="A672" s="625"/>
      <c r="B672" s="625"/>
    </row>
    <row r="673">
      <c r="A673" s="625"/>
      <c r="B673" s="625"/>
    </row>
    <row r="674">
      <c r="A674" s="625"/>
      <c r="B674" s="625"/>
    </row>
    <row r="675">
      <c r="A675" s="625"/>
      <c r="B675" s="625"/>
    </row>
    <row r="676">
      <c r="A676" s="625"/>
      <c r="B676" s="625"/>
    </row>
    <row r="677">
      <c r="A677" s="625"/>
      <c r="B677" s="625"/>
    </row>
    <row r="678">
      <c r="A678" s="625"/>
      <c r="B678" s="625"/>
    </row>
    <row r="679">
      <c r="A679" s="625"/>
      <c r="B679" s="625"/>
    </row>
    <row r="680">
      <c r="A680" s="625"/>
      <c r="B680" s="625"/>
    </row>
    <row r="681">
      <c r="A681" s="625"/>
      <c r="B681" s="625"/>
    </row>
    <row r="682">
      <c r="A682" s="625"/>
      <c r="B682" s="625"/>
    </row>
    <row r="683">
      <c r="A683" s="625"/>
      <c r="B683" s="625"/>
    </row>
    <row r="684">
      <c r="A684" s="625"/>
      <c r="B684" s="625"/>
    </row>
    <row r="685">
      <c r="A685" s="625"/>
      <c r="B685" s="625"/>
    </row>
    <row r="686">
      <c r="A686" s="625"/>
      <c r="B686" s="625"/>
    </row>
    <row r="687">
      <c r="A687" s="625"/>
      <c r="B687" s="625"/>
    </row>
    <row r="688">
      <c r="A688" s="625"/>
      <c r="B688" s="625"/>
    </row>
    <row r="689">
      <c r="A689" s="625"/>
      <c r="B689" s="625"/>
    </row>
    <row r="690">
      <c r="A690" s="625"/>
      <c r="B690" s="625"/>
    </row>
    <row r="691">
      <c r="A691" s="625"/>
      <c r="B691" s="625"/>
    </row>
    <row r="692">
      <c r="A692" s="625"/>
      <c r="B692" s="625"/>
    </row>
    <row r="693">
      <c r="A693" s="625"/>
      <c r="B693" s="625"/>
    </row>
    <row r="694">
      <c r="A694" s="625"/>
      <c r="B694" s="625"/>
    </row>
    <row r="695">
      <c r="A695" s="625"/>
      <c r="B695" s="625"/>
    </row>
    <row r="696">
      <c r="A696" s="625"/>
      <c r="B696" s="625"/>
    </row>
    <row r="697">
      <c r="A697" s="625"/>
      <c r="B697" s="625"/>
    </row>
    <row r="698">
      <c r="A698" s="625"/>
      <c r="B698" s="625"/>
    </row>
    <row r="699">
      <c r="A699" s="625"/>
      <c r="B699" s="625"/>
    </row>
    <row r="700">
      <c r="A700" s="625"/>
      <c r="B700" s="625"/>
    </row>
    <row r="701">
      <c r="A701" s="625"/>
      <c r="B701" s="625"/>
    </row>
    <row r="702">
      <c r="A702" s="625"/>
      <c r="B702" s="625"/>
    </row>
    <row r="703">
      <c r="A703" s="625"/>
      <c r="B703" s="625"/>
    </row>
    <row r="704">
      <c r="A704" s="625"/>
      <c r="B704" s="625"/>
    </row>
    <row r="705">
      <c r="A705" s="625"/>
      <c r="B705" s="625"/>
    </row>
    <row r="706">
      <c r="A706" s="625"/>
      <c r="B706" s="625"/>
    </row>
    <row r="707">
      <c r="A707" s="625"/>
      <c r="B707" s="625"/>
    </row>
    <row r="708">
      <c r="A708" s="625"/>
      <c r="B708" s="625"/>
    </row>
    <row r="709">
      <c r="A709" s="625"/>
      <c r="B709" s="625"/>
    </row>
    <row r="710">
      <c r="A710" s="625"/>
      <c r="B710" s="625"/>
    </row>
    <row r="711">
      <c r="A711" s="625"/>
      <c r="B711" s="625"/>
    </row>
    <row r="712">
      <c r="A712" s="625"/>
      <c r="B712" s="625"/>
    </row>
    <row r="713">
      <c r="A713" s="625"/>
      <c r="B713" s="625"/>
    </row>
    <row r="714">
      <c r="A714" s="625"/>
      <c r="B714" s="625"/>
    </row>
    <row r="715">
      <c r="A715" s="625"/>
      <c r="B715" s="625"/>
    </row>
    <row r="716">
      <c r="A716" s="625"/>
      <c r="B716" s="625"/>
    </row>
    <row r="717">
      <c r="A717" s="625"/>
      <c r="B717" s="625"/>
    </row>
    <row r="718">
      <c r="A718" s="625"/>
      <c r="B718" s="625"/>
    </row>
    <row r="719">
      <c r="A719" s="625"/>
      <c r="B719" s="625"/>
    </row>
    <row r="720">
      <c r="A720" s="625"/>
      <c r="B720" s="625"/>
    </row>
    <row r="721">
      <c r="A721" s="625"/>
      <c r="B721" s="625"/>
    </row>
    <row r="722">
      <c r="A722" s="625"/>
      <c r="B722" s="625"/>
    </row>
    <row r="723">
      <c r="A723" s="625"/>
      <c r="B723" s="625"/>
    </row>
    <row r="724">
      <c r="A724" s="625"/>
      <c r="B724" s="625"/>
    </row>
    <row r="725">
      <c r="A725" s="625"/>
      <c r="B725" s="625"/>
    </row>
    <row r="726">
      <c r="A726" s="625"/>
      <c r="B726" s="625"/>
    </row>
    <row r="727">
      <c r="A727" s="625"/>
      <c r="B727" s="625"/>
    </row>
    <row r="728">
      <c r="A728" s="625"/>
      <c r="B728" s="625"/>
    </row>
    <row r="729">
      <c r="A729" s="625"/>
      <c r="B729" s="625"/>
    </row>
    <row r="730">
      <c r="A730" s="625"/>
      <c r="B730" s="625"/>
    </row>
    <row r="731">
      <c r="A731" s="625"/>
      <c r="B731" s="625"/>
    </row>
    <row r="732">
      <c r="A732" s="625"/>
      <c r="B732" s="625"/>
    </row>
    <row r="733">
      <c r="A733" s="625"/>
      <c r="B733" s="625"/>
    </row>
    <row r="734">
      <c r="A734" s="625"/>
      <c r="B734" s="625"/>
    </row>
    <row r="735">
      <c r="A735" s="625"/>
      <c r="B735" s="625"/>
    </row>
    <row r="736">
      <c r="A736" s="625"/>
      <c r="B736" s="625"/>
    </row>
    <row r="737">
      <c r="A737" s="625"/>
      <c r="B737" s="625"/>
    </row>
    <row r="738">
      <c r="A738" s="625"/>
      <c r="B738" s="625"/>
    </row>
    <row r="739">
      <c r="A739" s="625"/>
      <c r="B739" s="625"/>
    </row>
    <row r="740">
      <c r="A740" s="625"/>
      <c r="B740" s="625"/>
    </row>
    <row r="741">
      <c r="A741" s="625"/>
      <c r="B741" s="625"/>
    </row>
    <row r="742">
      <c r="A742" s="625"/>
      <c r="B742" s="625"/>
    </row>
    <row r="743">
      <c r="A743" s="625"/>
      <c r="B743" s="625"/>
    </row>
    <row r="744">
      <c r="A744" s="625"/>
      <c r="B744" s="625"/>
    </row>
    <row r="745">
      <c r="A745" s="625"/>
      <c r="B745" s="625"/>
    </row>
    <row r="746">
      <c r="A746" s="625"/>
      <c r="B746" s="625"/>
    </row>
    <row r="747">
      <c r="A747" s="625"/>
      <c r="B747" s="625"/>
    </row>
    <row r="748">
      <c r="A748" s="625"/>
      <c r="B748" s="625"/>
    </row>
    <row r="749">
      <c r="A749" s="625"/>
      <c r="B749" s="625"/>
    </row>
    <row r="750">
      <c r="A750" s="625"/>
      <c r="B750" s="625"/>
    </row>
    <row r="751">
      <c r="A751" s="625"/>
      <c r="B751" s="625"/>
    </row>
    <row r="752">
      <c r="A752" s="625"/>
      <c r="B752" s="625"/>
    </row>
    <row r="753">
      <c r="A753" s="625"/>
      <c r="B753" s="625"/>
    </row>
    <row r="754">
      <c r="A754" s="625"/>
      <c r="B754" s="625"/>
    </row>
    <row r="755">
      <c r="A755" s="625"/>
      <c r="B755" s="625"/>
    </row>
    <row r="756">
      <c r="A756" s="625"/>
      <c r="B756" s="625"/>
    </row>
    <row r="757">
      <c r="A757" s="625"/>
      <c r="B757" s="625"/>
    </row>
    <row r="758">
      <c r="A758" s="625"/>
      <c r="B758" s="625"/>
    </row>
    <row r="759">
      <c r="A759" s="625"/>
      <c r="B759" s="625"/>
    </row>
    <row r="760">
      <c r="A760" s="625"/>
      <c r="B760" s="625"/>
    </row>
    <row r="761">
      <c r="A761" s="625"/>
      <c r="B761" s="625"/>
    </row>
    <row r="762">
      <c r="A762" s="625"/>
      <c r="B762" s="625"/>
    </row>
    <row r="763">
      <c r="A763" s="625"/>
      <c r="B763" s="625"/>
    </row>
    <row r="764">
      <c r="A764" s="625"/>
      <c r="B764" s="625"/>
    </row>
    <row r="765">
      <c r="A765" s="625"/>
      <c r="B765" s="625"/>
    </row>
    <row r="766">
      <c r="A766" s="625"/>
      <c r="B766" s="625"/>
    </row>
    <row r="767">
      <c r="A767" s="625"/>
      <c r="B767" s="625"/>
    </row>
    <row r="768">
      <c r="A768" s="625"/>
      <c r="B768" s="625"/>
    </row>
    <row r="769">
      <c r="A769" s="625"/>
      <c r="B769" s="625"/>
    </row>
    <row r="770">
      <c r="A770" s="625"/>
      <c r="B770" s="625"/>
    </row>
    <row r="771">
      <c r="A771" s="625"/>
      <c r="B771" s="625"/>
    </row>
    <row r="772">
      <c r="A772" s="625"/>
      <c r="B772" s="625"/>
    </row>
    <row r="773">
      <c r="A773" s="625"/>
      <c r="B773" s="625"/>
    </row>
    <row r="774">
      <c r="A774" s="625"/>
      <c r="B774" s="625"/>
    </row>
    <row r="775">
      <c r="A775" s="625"/>
      <c r="B775" s="625"/>
    </row>
    <row r="776">
      <c r="A776" s="625"/>
      <c r="B776" s="625"/>
    </row>
    <row r="777">
      <c r="A777" s="625"/>
      <c r="B777" s="625"/>
    </row>
    <row r="778">
      <c r="A778" s="625"/>
      <c r="B778" s="625"/>
    </row>
    <row r="779">
      <c r="A779" s="625"/>
      <c r="B779" s="625"/>
    </row>
    <row r="780">
      <c r="A780" s="625"/>
      <c r="B780" s="625"/>
    </row>
    <row r="781">
      <c r="A781" s="625"/>
      <c r="B781" s="625"/>
    </row>
    <row r="782">
      <c r="A782" s="625"/>
      <c r="B782" s="625"/>
    </row>
    <row r="783">
      <c r="A783" s="625"/>
      <c r="B783" s="625"/>
    </row>
    <row r="784">
      <c r="A784" s="625"/>
      <c r="B784" s="625"/>
    </row>
    <row r="785">
      <c r="A785" s="625"/>
      <c r="B785" s="625"/>
    </row>
    <row r="786">
      <c r="A786" s="625"/>
      <c r="B786" s="625"/>
    </row>
    <row r="787">
      <c r="A787" s="625"/>
      <c r="B787" s="625"/>
    </row>
    <row r="788">
      <c r="A788" s="625"/>
      <c r="B788" s="625"/>
    </row>
    <row r="789">
      <c r="A789" s="625"/>
      <c r="B789" s="625"/>
    </row>
    <row r="790">
      <c r="A790" s="625"/>
      <c r="B790" s="625"/>
    </row>
    <row r="791">
      <c r="A791" s="625"/>
      <c r="B791" s="625"/>
    </row>
    <row r="792">
      <c r="A792" s="625"/>
      <c r="B792" s="625"/>
    </row>
    <row r="793">
      <c r="A793" s="625"/>
      <c r="B793" s="625"/>
    </row>
    <row r="794">
      <c r="A794" s="625"/>
      <c r="B794" s="625"/>
    </row>
    <row r="795">
      <c r="A795" s="625"/>
      <c r="B795" s="625"/>
    </row>
    <row r="796">
      <c r="A796" s="625"/>
      <c r="B796" s="625"/>
    </row>
    <row r="797">
      <c r="A797" s="625"/>
      <c r="B797" s="625"/>
    </row>
    <row r="798">
      <c r="A798" s="625"/>
      <c r="B798" s="625"/>
    </row>
    <row r="799">
      <c r="A799" s="625"/>
      <c r="B799" s="625"/>
    </row>
    <row r="800">
      <c r="A800" s="625"/>
      <c r="B800" s="625"/>
    </row>
    <row r="801">
      <c r="A801" s="625"/>
      <c r="B801" s="625"/>
    </row>
    <row r="802">
      <c r="A802" s="625"/>
      <c r="B802" s="625"/>
    </row>
    <row r="803">
      <c r="A803" s="625"/>
      <c r="B803" s="625"/>
    </row>
    <row r="804">
      <c r="A804" s="625"/>
      <c r="B804" s="625"/>
    </row>
    <row r="805">
      <c r="A805" s="625"/>
      <c r="B805" s="625"/>
    </row>
    <row r="806">
      <c r="A806" s="625"/>
      <c r="B806" s="625"/>
    </row>
    <row r="807">
      <c r="A807" s="625"/>
      <c r="B807" s="625"/>
    </row>
    <row r="808">
      <c r="A808" s="625"/>
      <c r="B808" s="625"/>
    </row>
    <row r="809">
      <c r="A809" s="625"/>
      <c r="B809" s="625"/>
    </row>
    <row r="810">
      <c r="A810" s="625"/>
      <c r="B810" s="625"/>
    </row>
    <row r="811">
      <c r="A811" s="625"/>
      <c r="B811" s="625"/>
    </row>
    <row r="812">
      <c r="A812" s="625"/>
      <c r="B812" s="625"/>
    </row>
    <row r="813">
      <c r="A813" s="625"/>
      <c r="B813" s="625"/>
    </row>
    <row r="814">
      <c r="A814" s="625"/>
      <c r="B814" s="625"/>
    </row>
    <row r="815">
      <c r="A815" s="625"/>
      <c r="B815" s="625"/>
    </row>
    <row r="816">
      <c r="A816" s="625"/>
      <c r="B816" s="625"/>
    </row>
    <row r="817">
      <c r="A817" s="625"/>
      <c r="B817" s="625"/>
    </row>
    <row r="818">
      <c r="A818" s="625"/>
      <c r="B818" s="625"/>
    </row>
    <row r="819">
      <c r="A819" s="625"/>
      <c r="B819" s="625"/>
    </row>
    <row r="820">
      <c r="A820" s="625"/>
      <c r="B820" s="625"/>
    </row>
    <row r="821">
      <c r="A821" s="625"/>
      <c r="B821" s="625"/>
    </row>
    <row r="822">
      <c r="A822" s="625"/>
      <c r="B822" s="625"/>
    </row>
    <row r="823">
      <c r="A823" s="625"/>
      <c r="B823" s="625"/>
    </row>
    <row r="824">
      <c r="A824" s="625"/>
      <c r="B824" s="625"/>
    </row>
    <row r="825">
      <c r="A825" s="625"/>
      <c r="B825" s="625"/>
    </row>
    <row r="826">
      <c r="A826" s="625"/>
      <c r="B826" s="625"/>
    </row>
    <row r="827">
      <c r="A827" s="625"/>
      <c r="B827" s="625"/>
    </row>
    <row r="828">
      <c r="A828" s="625"/>
      <c r="B828" s="625"/>
    </row>
    <row r="829">
      <c r="A829" s="625"/>
      <c r="B829" s="625"/>
    </row>
    <row r="830">
      <c r="A830" s="625"/>
      <c r="B830" s="625"/>
    </row>
    <row r="831">
      <c r="A831" s="625"/>
      <c r="B831" s="625"/>
    </row>
    <row r="832">
      <c r="A832" s="625"/>
      <c r="B832" s="625"/>
    </row>
    <row r="833">
      <c r="A833" s="625"/>
      <c r="B833" s="625"/>
    </row>
    <row r="834">
      <c r="A834" s="625"/>
      <c r="B834" s="625"/>
    </row>
    <row r="835">
      <c r="A835" s="625"/>
      <c r="B835" s="625"/>
    </row>
    <row r="836">
      <c r="A836" s="625"/>
      <c r="B836" s="625"/>
    </row>
    <row r="837">
      <c r="A837" s="625"/>
      <c r="B837" s="625"/>
    </row>
    <row r="838">
      <c r="A838" s="625"/>
      <c r="B838" s="625"/>
    </row>
    <row r="839">
      <c r="A839" s="625"/>
      <c r="B839" s="625"/>
    </row>
    <row r="840">
      <c r="A840" s="625"/>
      <c r="B840" s="625"/>
    </row>
    <row r="841">
      <c r="A841" s="625"/>
      <c r="B841" s="625"/>
    </row>
    <row r="842">
      <c r="A842" s="625"/>
      <c r="B842" s="625"/>
    </row>
    <row r="843">
      <c r="A843" s="625"/>
      <c r="B843" s="625"/>
    </row>
    <row r="844">
      <c r="A844" s="625"/>
      <c r="B844" s="625"/>
    </row>
    <row r="845">
      <c r="A845" s="625"/>
      <c r="B845" s="625"/>
    </row>
    <row r="846">
      <c r="A846" s="625"/>
      <c r="B846" s="625"/>
    </row>
    <row r="847">
      <c r="A847" s="625"/>
      <c r="B847" s="625"/>
    </row>
    <row r="848">
      <c r="A848" s="625"/>
      <c r="B848" s="625"/>
    </row>
    <row r="849">
      <c r="A849" s="625"/>
      <c r="B849" s="625"/>
    </row>
    <row r="850">
      <c r="A850" s="625"/>
      <c r="B850" s="625"/>
    </row>
    <row r="851">
      <c r="A851" s="625"/>
      <c r="B851" s="625"/>
    </row>
    <row r="852">
      <c r="A852" s="625"/>
      <c r="B852" s="625"/>
    </row>
    <row r="853">
      <c r="A853" s="625"/>
      <c r="B853" s="625"/>
    </row>
    <row r="854">
      <c r="A854" s="625"/>
      <c r="B854" s="625"/>
    </row>
    <row r="855">
      <c r="A855" s="625"/>
      <c r="B855" s="625"/>
    </row>
    <row r="856">
      <c r="A856" s="625"/>
      <c r="B856" s="625"/>
    </row>
    <row r="857">
      <c r="A857" s="625"/>
      <c r="B857" s="625"/>
    </row>
    <row r="858">
      <c r="A858" s="625"/>
      <c r="B858" s="625"/>
    </row>
    <row r="859">
      <c r="A859" s="625"/>
      <c r="B859" s="625"/>
    </row>
    <row r="860">
      <c r="A860" s="625"/>
      <c r="B860" s="625"/>
    </row>
    <row r="861">
      <c r="A861" s="625"/>
      <c r="B861" s="625"/>
    </row>
    <row r="862">
      <c r="A862" s="625"/>
      <c r="B862" s="625"/>
    </row>
    <row r="863">
      <c r="A863" s="625"/>
      <c r="B863" s="625"/>
    </row>
    <row r="864">
      <c r="A864" s="625"/>
      <c r="B864" s="625"/>
    </row>
    <row r="865">
      <c r="A865" s="625"/>
      <c r="B865" s="625"/>
    </row>
    <row r="866">
      <c r="A866" s="625"/>
      <c r="B866" s="625"/>
    </row>
    <row r="867">
      <c r="A867" s="625"/>
      <c r="B867" s="625"/>
    </row>
    <row r="868">
      <c r="A868" s="625"/>
      <c r="B868" s="625"/>
    </row>
    <row r="869">
      <c r="A869" s="625"/>
      <c r="B869" s="625"/>
    </row>
    <row r="870">
      <c r="A870" s="625"/>
      <c r="B870" s="625"/>
    </row>
    <row r="871">
      <c r="A871" s="625"/>
      <c r="B871" s="625"/>
    </row>
    <row r="872">
      <c r="A872" s="625"/>
      <c r="B872" s="625"/>
    </row>
    <row r="873">
      <c r="A873" s="625"/>
      <c r="B873" s="625"/>
    </row>
    <row r="874">
      <c r="A874" s="625"/>
      <c r="B874" s="625"/>
    </row>
    <row r="875">
      <c r="A875" s="625"/>
      <c r="B875" s="625"/>
    </row>
    <row r="876">
      <c r="A876" s="625"/>
      <c r="B876" s="625"/>
    </row>
    <row r="877">
      <c r="A877" s="625"/>
      <c r="B877" s="625"/>
    </row>
    <row r="878">
      <c r="A878" s="625"/>
      <c r="B878" s="625"/>
    </row>
    <row r="879">
      <c r="A879" s="625"/>
      <c r="B879" s="625"/>
    </row>
    <row r="880">
      <c r="A880" s="625"/>
      <c r="B880" s="625"/>
    </row>
    <row r="881">
      <c r="A881" s="625"/>
      <c r="B881" s="625"/>
    </row>
    <row r="882">
      <c r="A882" s="625"/>
      <c r="B882" s="625"/>
    </row>
    <row r="883">
      <c r="A883" s="625"/>
      <c r="B883" s="625"/>
    </row>
    <row r="884">
      <c r="A884" s="625"/>
      <c r="B884" s="625"/>
    </row>
    <row r="885">
      <c r="A885" s="625"/>
      <c r="B885" s="625"/>
    </row>
    <row r="886">
      <c r="A886" s="625"/>
      <c r="B886" s="625"/>
    </row>
    <row r="887">
      <c r="A887" s="625"/>
      <c r="B887" s="625"/>
    </row>
    <row r="888">
      <c r="A888" s="625"/>
      <c r="B888" s="625"/>
    </row>
    <row r="889">
      <c r="A889" s="625"/>
      <c r="B889" s="625"/>
    </row>
    <row r="890">
      <c r="A890" s="625"/>
      <c r="B890" s="625"/>
    </row>
    <row r="891">
      <c r="A891" s="625"/>
      <c r="B891" s="625"/>
    </row>
    <row r="892">
      <c r="A892" s="625"/>
      <c r="B892" s="625"/>
    </row>
    <row r="893">
      <c r="A893" s="625"/>
      <c r="B893" s="625"/>
    </row>
    <row r="894">
      <c r="A894" s="625"/>
      <c r="B894" s="625"/>
    </row>
    <row r="895">
      <c r="A895" s="625"/>
      <c r="B895" s="625"/>
    </row>
    <row r="896">
      <c r="A896" s="625"/>
      <c r="B896" s="625"/>
    </row>
    <row r="897">
      <c r="A897" s="625"/>
      <c r="B897" s="625"/>
    </row>
    <row r="898">
      <c r="A898" s="625"/>
      <c r="B898" s="625"/>
    </row>
    <row r="899">
      <c r="A899" s="625"/>
      <c r="B899" s="625"/>
    </row>
    <row r="900">
      <c r="A900" s="625"/>
      <c r="B900" s="625"/>
    </row>
    <row r="901">
      <c r="A901" s="625"/>
      <c r="B901" s="625"/>
    </row>
    <row r="902">
      <c r="A902" s="625"/>
      <c r="B902" s="625"/>
    </row>
    <row r="903">
      <c r="A903" s="625"/>
      <c r="B903" s="625"/>
    </row>
    <row r="904">
      <c r="A904" s="625"/>
      <c r="B904" s="625"/>
    </row>
    <row r="905">
      <c r="A905" s="625"/>
      <c r="B905" s="625"/>
    </row>
    <row r="906">
      <c r="A906" s="625"/>
      <c r="B906" s="625"/>
    </row>
    <row r="907">
      <c r="A907" s="625"/>
      <c r="B907" s="625"/>
    </row>
    <row r="908">
      <c r="A908" s="625"/>
      <c r="B908" s="625"/>
    </row>
    <row r="909">
      <c r="A909" s="625"/>
      <c r="B909" s="625"/>
    </row>
    <row r="910">
      <c r="A910" s="625"/>
      <c r="B910" s="625"/>
    </row>
    <row r="911">
      <c r="A911" s="625"/>
      <c r="B911" s="625"/>
    </row>
    <row r="912">
      <c r="A912" s="625"/>
      <c r="B912" s="625"/>
    </row>
    <row r="913">
      <c r="A913" s="625"/>
      <c r="B913" s="625"/>
    </row>
    <row r="914">
      <c r="A914" s="625"/>
      <c r="B914" s="625"/>
    </row>
    <row r="915">
      <c r="A915" s="625"/>
      <c r="B915" s="625"/>
    </row>
    <row r="916">
      <c r="A916" s="625"/>
      <c r="B916" s="625"/>
    </row>
    <row r="917">
      <c r="A917" s="625"/>
      <c r="B917" s="625"/>
    </row>
    <row r="918">
      <c r="A918" s="625"/>
      <c r="B918" s="625"/>
    </row>
    <row r="919">
      <c r="A919" s="625"/>
      <c r="B919" s="625"/>
    </row>
    <row r="920">
      <c r="A920" s="625"/>
      <c r="B920" s="625"/>
    </row>
    <row r="921">
      <c r="A921" s="625"/>
      <c r="B921" s="625"/>
    </row>
    <row r="922">
      <c r="A922" s="625"/>
      <c r="B922" s="625"/>
    </row>
    <row r="923">
      <c r="A923" s="625"/>
      <c r="B923" s="625"/>
    </row>
    <row r="924">
      <c r="A924" s="625"/>
      <c r="B924" s="625"/>
    </row>
    <row r="925">
      <c r="A925" s="625"/>
      <c r="B925" s="625"/>
    </row>
    <row r="926">
      <c r="A926" s="625"/>
      <c r="B926" s="625"/>
    </row>
    <row r="927">
      <c r="A927" s="625"/>
      <c r="B927" s="625"/>
    </row>
    <row r="928">
      <c r="A928" s="625"/>
      <c r="B928" s="625"/>
    </row>
    <row r="929">
      <c r="A929" s="625"/>
      <c r="B929" s="625"/>
    </row>
    <row r="930">
      <c r="A930" s="625"/>
      <c r="B930" s="625"/>
    </row>
    <row r="931">
      <c r="A931" s="625"/>
      <c r="B931" s="625"/>
    </row>
    <row r="932">
      <c r="A932" s="625"/>
      <c r="B932" s="625"/>
    </row>
    <row r="933">
      <c r="A933" s="625"/>
      <c r="B933" s="625"/>
    </row>
    <row r="934">
      <c r="A934" s="625"/>
      <c r="B934" s="625"/>
    </row>
    <row r="935">
      <c r="A935" s="625"/>
      <c r="B935" s="625"/>
    </row>
    <row r="936">
      <c r="A936" s="625"/>
      <c r="B936" s="625"/>
    </row>
    <row r="937">
      <c r="A937" s="625"/>
      <c r="B937" s="625"/>
    </row>
    <row r="938">
      <c r="A938" s="625"/>
      <c r="B938" s="625"/>
    </row>
    <row r="939">
      <c r="A939" s="625"/>
      <c r="B939" s="625"/>
    </row>
    <row r="940">
      <c r="A940" s="625"/>
      <c r="B940" s="625"/>
    </row>
    <row r="941">
      <c r="A941" s="625"/>
      <c r="B941" s="625"/>
    </row>
    <row r="942">
      <c r="A942" s="625"/>
      <c r="B942" s="625"/>
    </row>
    <row r="943">
      <c r="A943" s="625"/>
      <c r="B943" s="625"/>
    </row>
    <row r="944">
      <c r="A944" s="625"/>
      <c r="B944" s="625"/>
    </row>
    <row r="945">
      <c r="A945" s="625"/>
      <c r="B945" s="625"/>
    </row>
    <row r="946">
      <c r="A946" s="625"/>
      <c r="B946" s="625"/>
    </row>
    <row r="947">
      <c r="A947" s="625"/>
      <c r="B947" s="625"/>
    </row>
    <row r="948">
      <c r="A948" s="625"/>
      <c r="B948" s="625"/>
    </row>
    <row r="949">
      <c r="A949" s="625"/>
      <c r="B949" s="625"/>
    </row>
    <row r="950">
      <c r="A950" s="625"/>
      <c r="B950" s="625"/>
    </row>
    <row r="951">
      <c r="A951" s="625"/>
      <c r="B951" s="625"/>
    </row>
    <row r="952">
      <c r="A952" s="625"/>
      <c r="B952" s="625"/>
    </row>
    <row r="953">
      <c r="A953" s="625"/>
      <c r="B953" s="625"/>
    </row>
    <row r="954">
      <c r="A954" s="625"/>
      <c r="B954" s="625"/>
    </row>
    <row r="955">
      <c r="A955" s="625"/>
      <c r="B955" s="625"/>
    </row>
    <row r="956">
      <c r="A956" s="625"/>
      <c r="B956" s="625"/>
    </row>
    <row r="957">
      <c r="A957" s="625"/>
      <c r="B957" s="625"/>
    </row>
    <row r="958">
      <c r="A958" s="625"/>
      <c r="B958" s="625"/>
    </row>
    <row r="959">
      <c r="A959" s="625"/>
      <c r="B959" s="625"/>
    </row>
    <row r="960">
      <c r="A960" s="625"/>
      <c r="B960" s="625"/>
    </row>
    <row r="961">
      <c r="A961" s="625"/>
      <c r="B961" s="625"/>
    </row>
    <row r="962">
      <c r="A962" s="625"/>
      <c r="B962" s="625"/>
    </row>
    <row r="963">
      <c r="A963" s="625"/>
      <c r="B963" s="625"/>
    </row>
    <row r="964">
      <c r="A964" s="625"/>
      <c r="B964" s="625"/>
    </row>
    <row r="965">
      <c r="A965" s="625"/>
      <c r="B965" s="625"/>
    </row>
    <row r="966">
      <c r="A966" s="625"/>
      <c r="B966" s="625"/>
    </row>
    <row r="967">
      <c r="A967" s="625"/>
      <c r="B967" s="625"/>
    </row>
    <row r="968">
      <c r="A968" s="625"/>
      <c r="B968" s="625"/>
    </row>
    <row r="969">
      <c r="A969" s="625"/>
      <c r="B969" s="625"/>
    </row>
    <row r="970">
      <c r="A970" s="625"/>
      <c r="B970" s="625"/>
    </row>
    <row r="971">
      <c r="A971" s="625"/>
      <c r="B971" s="625"/>
    </row>
    <row r="972">
      <c r="A972" s="625"/>
      <c r="B972" s="625"/>
    </row>
    <row r="973">
      <c r="A973" s="625"/>
      <c r="B973" s="625"/>
    </row>
    <row r="974">
      <c r="A974" s="625"/>
      <c r="B974" s="625"/>
    </row>
    <row r="975">
      <c r="A975" s="625"/>
      <c r="B975" s="625"/>
    </row>
    <row r="976">
      <c r="A976" s="625"/>
      <c r="B976" s="625"/>
    </row>
    <row r="977">
      <c r="A977" s="625"/>
      <c r="B977" s="625"/>
    </row>
    <row r="978">
      <c r="A978" s="625"/>
      <c r="B978" s="625"/>
    </row>
    <row r="979">
      <c r="A979" s="625"/>
      <c r="B979" s="625"/>
    </row>
    <row r="980">
      <c r="A980" s="625"/>
      <c r="B980" s="625"/>
    </row>
    <row r="981">
      <c r="A981" s="625"/>
      <c r="B981" s="625"/>
    </row>
    <row r="982">
      <c r="A982" s="625"/>
      <c r="B982" s="625"/>
    </row>
    <row r="983">
      <c r="A983" s="625"/>
      <c r="B983" s="625"/>
    </row>
    <row r="984">
      <c r="A984" s="625"/>
      <c r="B984" s="625"/>
    </row>
    <row r="985">
      <c r="A985" s="625"/>
      <c r="B985" s="625"/>
    </row>
    <row r="986">
      <c r="A986" s="625"/>
      <c r="B986" s="625"/>
    </row>
    <row r="987">
      <c r="A987" s="625"/>
      <c r="B987" s="625"/>
    </row>
    <row r="988">
      <c r="A988" s="625"/>
      <c r="B988" s="625"/>
    </row>
    <row r="989">
      <c r="A989" s="625"/>
      <c r="B989" s="625"/>
    </row>
    <row r="990">
      <c r="A990" s="625"/>
      <c r="B990" s="625"/>
    </row>
    <row r="991">
      <c r="A991" s="625"/>
      <c r="B991" s="625"/>
    </row>
    <row r="992">
      <c r="A992" s="625"/>
      <c r="B992" s="625"/>
    </row>
    <row r="993">
      <c r="A993" s="625"/>
      <c r="B993" s="625"/>
    </row>
    <row r="994">
      <c r="A994" s="625"/>
      <c r="B994" s="625"/>
    </row>
    <row r="995">
      <c r="A995" s="625"/>
      <c r="B995" s="625"/>
    </row>
    <row r="996">
      <c r="A996" s="625"/>
      <c r="B996" s="625"/>
    </row>
    <row r="997">
      <c r="A997" s="625"/>
      <c r="B997" s="625"/>
    </row>
    <row r="998">
      <c r="A998" s="625"/>
      <c r="B998" s="625"/>
    </row>
    <row r="999">
      <c r="A999" s="625"/>
      <c r="B999" s="625"/>
    </row>
    <row r="1000">
      <c r="A1000" s="625"/>
      <c r="B1000" s="625"/>
    </row>
    <row r="1001">
      <c r="A1001" s="625"/>
      <c r="B1001" s="625"/>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3" width="36.38"/>
    <col customWidth="1" min="4" max="4" width="18.13"/>
    <col customWidth="1" min="6" max="6" width="16.75"/>
    <col customWidth="1" min="8" max="8" width="26.38"/>
    <col customWidth="1" min="10" max="10" width="17.0"/>
  </cols>
  <sheetData>
    <row r="1">
      <c r="A1" s="346" t="s">
        <v>1823</v>
      </c>
      <c r="B1" s="346" t="s">
        <v>1980</v>
      </c>
      <c r="C1" s="346" t="s">
        <v>1981</v>
      </c>
      <c r="D1" s="346" t="s">
        <v>1982</v>
      </c>
      <c r="E1" s="346" t="s">
        <v>1983</v>
      </c>
      <c r="F1" s="625"/>
      <c r="G1" s="643" t="s">
        <v>1984</v>
      </c>
      <c r="H1" s="643" t="s">
        <v>1985</v>
      </c>
      <c r="I1" s="625"/>
      <c r="J1" s="346" t="s">
        <v>1986</v>
      </c>
      <c r="K1" s="625"/>
      <c r="L1" s="625"/>
      <c r="M1" s="625"/>
      <c r="N1" s="625"/>
      <c r="O1" s="625"/>
      <c r="P1" s="625"/>
      <c r="Q1" s="625"/>
      <c r="R1" s="625"/>
      <c r="S1" s="625"/>
      <c r="T1" s="625"/>
      <c r="U1" s="625"/>
      <c r="V1" s="625"/>
      <c r="W1" s="625"/>
      <c r="X1" s="625"/>
      <c r="Y1" s="625"/>
      <c r="Z1" s="625"/>
    </row>
    <row r="2">
      <c r="A2" s="346" t="s">
        <v>1987</v>
      </c>
      <c r="B2" s="346" t="s">
        <v>1988</v>
      </c>
      <c r="C2" s="346" t="s">
        <v>1989</v>
      </c>
      <c r="D2" s="346" t="s">
        <v>1990</v>
      </c>
      <c r="E2" s="346" t="s">
        <v>1991</v>
      </c>
      <c r="F2" s="625"/>
      <c r="G2" s="624">
        <v>1.0</v>
      </c>
      <c r="H2" s="79" t="s">
        <v>1992</v>
      </c>
      <c r="I2" s="625"/>
      <c r="J2" s="346" t="s">
        <v>1993</v>
      </c>
      <c r="K2" s="625"/>
      <c r="L2" s="625"/>
      <c r="M2" s="625"/>
      <c r="N2" s="625"/>
      <c r="O2" s="625"/>
      <c r="P2" s="625"/>
      <c r="Q2" s="625"/>
      <c r="R2" s="625"/>
      <c r="S2" s="625"/>
      <c r="T2" s="625"/>
      <c r="U2" s="625"/>
      <c r="V2" s="625"/>
      <c r="W2" s="625"/>
      <c r="X2" s="625"/>
      <c r="Y2" s="625"/>
      <c r="Z2" s="625"/>
    </row>
    <row r="3">
      <c r="A3" s="346" t="s">
        <v>1994</v>
      </c>
      <c r="B3" s="346" t="s">
        <v>1995</v>
      </c>
      <c r="C3" s="346" t="s">
        <v>1996</v>
      </c>
      <c r="D3" s="625"/>
      <c r="E3" s="625"/>
      <c r="F3" s="625"/>
      <c r="G3" s="624">
        <v>2.0</v>
      </c>
      <c r="H3" s="346" t="s">
        <v>1997</v>
      </c>
      <c r="I3" s="625"/>
      <c r="J3" s="346" t="s">
        <v>1998</v>
      </c>
      <c r="K3" s="625"/>
      <c r="L3" s="625"/>
      <c r="M3" s="625"/>
      <c r="N3" s="625"/>
      <c r="O3" s="625"/>
      <c r="P3" s="625"/>
      <c r="Q3" s="625"/>
      <c r="R3" s="625"/>
      <c r="S3" s="625"/>
      <c r="T3" s="625"/>
      <c r="U3" s="625"/>
      <c r="V3" s="625"/>
      <c r="W3" s="625"/>
      <c r="X3" s="625"/>
      <c r="Y3" s="625"/>
      <c r="Z3" s="625"/>
    </row>
    <row r="4">
      <c r="A4" s="346" t="s">
        <v>1999</v>
      </c>
      <c r="B4" s="346" t="s">
        <v>2000</v>
      </c>
      <c r="C4" s="346" t="s">
        <v>2001</v>
      </c>
      <c r="D4" s="625"/>
      <c r="E4" s="625"/>
      <c r="F4" s="625"/>
      <c r="G4" s="624">
        <v>3.0</v>
      </c>
      <c r="H4" s="346" t="s">
        <v>2002</v>
      </c>
      <c r="I4" s="625"/>
      <c r="J4" s="625"/>
      <c r="K4" s="346" t="s">
        <v>2003</v>
      </c>
      <c r="L4" s="625"/>
      <c r="M4" s="625"/>
      <c r="N4" s="625"/>
      <c r="O4" s="625"/>
      <c r="P4" s="625"/>
      <c r="Q4" s="625"/>
      <c r="R4" s="625"/>
      <c r="S4" s="625"/>
      <c r="T4" s="625"/>
      <c r="U4" s="625"/>
      <c r="V4" s="625"/>
      <c r="W4" s="625"/>
      <c r="X4" s="625"/>
      <c r="Y4" s="625"/>
      <c r="Z4" s="625"/>
    </row>
    <row r="5">
      <c r="A5" s="346" t="s">
        <v>1945</v>
      </c>
      <c r="B5" s="346" t="s">
        <v>2004</v>
      </c>
      <c r="C5" s="346" t="s">
        <v>2005</v>
      </c>
      <c r="D5" s="346" t="s">
        <v>2006</v>
      </c>
      <c r="E5" s="625"/>
      <c r="F5" s="625"/>
      <c r="G5" s="624">
        <v>4.0</v>
      </c>
      <c r="H5" s="346" t="s">
        <v>2007</v>
      </c>
      <c r="I5" s="625"/>
      <c r="J5" s="346" t="s">
        <v>2008</v>
      </c>
      <c r="K5" s="625"/>
      <c r="L5" s="625"/>
      <c r="M5" s="625"/>
      <c r="N5" s="625"/>
      <c r="O5" s="625"/>
      <c r="P5" s="625"/>
      <c r="Q5" s="625"/>
      <c r="R5" s="625"/>
      <c r="S5" s="625"/>
      <c r="T5" s="625"/>
      <c r="U5" s="625"/>
      <c r="V5" s="625"/>
      <c r="W5" s="625"/>
      <c r="X5" s="625"/>
      <c r="Y5" s="625"/>
      <c r="Z5" s="625"/>
    </row>
    <row r="6">
      <c r="A6" s="346" t="s">
        <v>1992</v>
      </c>
      <c r="B6" s="346" t="s">
        <v>2009</v>
      </c>
      <c r="C6" s="346" t="s">
        <v>2010</v>
      </c>
      <c r="D6" s="625"/>
      <c r="E6" s="625"/>
      <c r="F6" s="625"/>
      <c r="G6" s="624">
        <v>5.0</v>
      </c>
      <c r="H6" s="346" t="s">
        <v>2011</v>
      </c>
      <c r="I6" s="346" t="s">
        <v>2012</v>
      </c>
      <c r="J6" s="346" t="s">
        <v>2013</v>
      </c>
      <c r="K6" s="625"/>
      <c r="L6" s="625"/>
      <c r="M6" s="625"/>
      <c r="N6" s="625"/>
      <c r="O6" s="625"/>
      <c r="P6" s="625"/>
      <c r="Q6" s="625"/>
      <c r="R6" s="625"/>
      <c r="S6" s="625"/>
      <c r="T6" s="625"/>
      <c r="U6" s="625"/>
      <c r="V6" s="625"/>
      <c r="W6" s="625"/>
      <c r="X6" s="625"/>
      <c r="Y6" s="625"/>
      <c r="Z6" s="625"/>
    </row>
    <row r="7">
      <c r="A7" s="346" t="s">
        <v>2014</v>
      </c>
      <c r="B7" s="346" t="s">
        <v>2015</v>
      </c>
      <c r="C7" s="346" t="s">
        <v>2016</v>
      </c>
      <c r="D7" s="625"/>
      <c r="E7" s="625"/>
      <c r="F7" s="625"/>
      <c r="G7" s="624">
        <v>6.0</v>
      </c>
      <c r="H7" s="346" t="s">
        <v>2017</v>
      </c>
      <c r="I7" s="625"/>
      <c r="J7" s="625"/>
      <c r="K7" s="625"/>
      <c r="L7" s="625"/>
      <c r="M7" s="625"/>
      <c r="N7" s="625"/>
      <c r="O7" s="625"/>
      <c r="P7" s="625"/>
      <c r="Q7" s="625"/>
      <c r="R7" s="625"/>
      <c r="S7" s="625"/>
      <c r="T7" s="625"/>
      <c r="U7" s="625"/>
      <c r="V7" s="625"/>
      <c r="W7" s="625"/>
      <c r="X7" s="625"/>
      <c r="Y7" s="625"/>
      <c r="Z7" s="625"/>
    </row>
    <row r="8">
      <c r="A8" s="346" t="s">
        <v>2018</v>
      </c>
      <c r="B8" s="346" t="s">
        <v>2019</v>
      </c>
      <c r="C8" s="346" t="s">
        <v>2020</v>
      </c>
      <c r="D8" s="625"/>
      <c r="E8" s="625"/>
      <c r="F8" s="625"/>
      <c r="G8" s="624">
        <v>7.0</v>
      </c>
      <c r="H8" s="346" t="s">
        <v>2021</v>
      </c>
      <c r="I8" s="625"/>
      <c r="J8" s="346" t="s">
        <v>2022</v>
      </c>
      <c r="K8" s="625"/>
      <c r="L8" s="625"/>
      <c r="M8" s="625"/>
      <c r="N8" s="625"/>
      <c r="O8" s="625"/>
      <c r="P8" s="625"/>
      <c r="Q8" s="625"/>
      <c r="R8" s="625"/>
      <c r="S8" s="625"/>
      <c r="T8" s="625"/>
      <c r="U8" s="625"/>
      <c r="V8" s="625"/>
      <c r="W8" s="625"/>
      <c r="X8" s="625"/>
      <c r="Y8" s="625"/>
      <c r="Z8" s="625"/>
    </row>
    <row r="9">
      <c r="A9" s="346" t="s">
        <v>2023</v>
      </c>
      <c r="B9" s="346" t="s">
        <v>2024</v>
      </c>
      <c r="C9" s="346" t="s">
        <v>2025</v>
      </c>
      <c r="D9" s="346" t="s">
        <v>2026</v>
      </c>
      <c r="E9" s="625"/>
      <c r="F9" s="625"/>
      <c r="G9" s="624">
        <v>8.0</v>
      </c>
      <c r="H9" s="346" t="s">
        <v>2027</v>
      </c>
      <c r="I9" s="625"/>
      <c r="J9" s="346" t="s">
        <v>2028</v>
      </c>
      <c r="K9" s="346" t="s">
        <v>2029</v>
      </c>
      <c r="L9" s="346" t="s">
        <v>2030</v>
      </c>
      <c r="M9" s="346" t="s">
        <v>2031</v>
      </c>
      <c r="N9" s="346" t="s">
        <v>2032</v>
      </c>
      <c r="O9" s="625"/>
      <c r="P9" s="625"/>
      <c r="Q9" s="625"/>
      <c r="R9" s="625"/>
      <c r="S9" s="625"/>
      <c r="T9" s="625"/>
      <c r="U9" s="625"/>
      <c r="V9" s="625"/>
      <c r="W9" s="625"/>
      <c r="X9" s="625"/>
      <c r="Y9" s="625"/>
      <c r="Z9" s="625"/>
    </row>
    <row r="10">
      <c r="A10" s="346" t="s">
        <v>2033</v>
      </c>
      <c r="B10" s="625"/>
      <c r="C10" s="346" t="s">
        <v>2034</v>
      </c>
      <c r="D10" s="625"/>
      <c r="E10" s="625"/>
      <c r="F10" s="625"/>
      <c r="G10" s="625"/>
      <c r="H10" s="625"/>
      <c r="I10" s="625"/>
      <c r="J10" s="625"/>
      <c r="K10" s="625"/>
      <c r="L10" s="625"/>
      <c r="M10" s="625"/>
      <c r="N10" s="625"/>
      <c r="O10" s="625"/>
      <c r="P10" s="625"/>
      <c r="Q10" s="625"/>
      <c r="R10" s="625"/>
      <c r="S10" s="625"/>
      <c r="T10" s="625"/>
      <c r="U10" s="625"/>
      <c r="V10" s="625"/>
      <c r="W10" s="625"/>
      <c r="X10" s="625"/>
      <c r="Y10" s="625"/>
      <c r="Z10" s="625"/>
    </row>
    <row r="11">
      <c r="A11" s="346" t="s">
        <v>2035</v>
      </c>
      <c r="B11" s="346" t="s">
        <v>2036</v>
      </c>
      <c r="C11" s="625"/>
      <c r="D11" s="625"/>
      <c r="E11" s="625"/>
      <c r="F11" s="625"/>
      <c r="G11" s="625"/>
      <c r="H11" s="625"/>
      <c r="I11" s="625"/>
      <c r="J11" s="625"/>
      <c r="K11" s="625"/>
      <c r="L11" s="625"/>
      <c r="M11" s="625"/>
      <c r="N11" s="625"/>
      <c r="O11" s="625"/>
      <c r="P11" s="625"/>
      <c r="Q11" s="625"/>
      <c r="R11" s="625"/>
      <c r="S11" s="625"/>
      <c r="T11" s="625"/>
      <c r="U11" s="625"/>
      <c r="V11" s="625"/>
      <c r="W11" s="625"/>
      <c r="X11" s="625"/>
      <c r="Y11" s="625"/>
      <c r="Z11" s="625"/>
    </row>
    <row r="12">
      <c r="A12" s="346" t="s">
        <v>2037</v>
      </c>
      <c r="B12" s="346" t="s">
        <v>2038</v>
      </c>
      <c r="C12" s="625"/>
      <c r="D12" s="625"/>
      <c r="E12" s="625"/>
      <c r="F12" s="625"/>
      <c r="G12" s="625"/>
      <c r="H12" s="625"/>
      <c r="I12" s="625"/>
      <c r="J12" s="625"/>
      <c r="K12" s="625"/>
      <c r="L12" s="625"/>
      <c r="M12" s="625"/>
      <c r="N12" s="625"/>
      <c r="O12" s="625"/>
      <c r="P12" s="625"/>
      <c r="Q12" s="625"/>
      <c r="R12" s="625"/>
      <c r="S12" s="625"/>
      <c r="T12" s="625"/>
      <c r="U12" s="625"/>
      <c r="V12" s="625"/>
      <c r="W12" s="625"/>
      <c r="X12" s="625"/>
      <c r="Y12" s="625"/>
      <c r="Z12" s="625"/>
    </row>
    <row r="13">
      <c r="A13" s="625"/>
      <c r="B13" s="625"/>
      <c r="C13" s="625"/>
      <c r="D13" s="625"/>
      <c r="E13" s="625"/>
      <c r="F13" s="625"/>
      <c r="G13" s="625"/>
      <c r="H13" s="625"/>
      <c r="I13" s="625"/>
      <c r="J13" s="625"/>
      <c r="K13" s="625"/>
      <c r="L13" s="625"/>
      <c r="M13" s="625"/>
      <c r="N13" s="625"/>
      <c r="O13" s="625"/>
      <c r="P13" s="625"/>
      <c r="Q13" s="625"/>
      <c r="R13" s="625"/>
      <c r="S13" s="625"/>
      <c r="T13" s="625"/>
      <c r="U13" s="625"/>
      <c r="V13" s="625"/>
      <c r="W13" s="625"/>
      <c r="X13" s="625"/>
      <c r="Y13" s="625"/>
      <c r="Z13" s="625"/>
    </row>
    <row r="14">
      <c r="A14" s="625"/>
      <c r="B14" s="625"/>
      <c r="C14" s="625"/>
      <c r="D14" s="625"/>
      <c r="E14" s="625"/>
      <c r="F14" s="625"/>
      <c r="G14" s="625"/>
      <c r="H14" s="625"/>
      <c r="I14" s="625"/>
      <c r="J14" s="625"/>
      <c r="K14" s="625"/>
      <c r="L14" s="625"/>
      <c r="M14" s="625"/>
      <c r="N14" s="625"/>
      <c r="O14" s="625"/>
      <c r="P14" s="625"/>
      <c r="Q14" s="625"/>
      <c r="R14" s="625"/>
      <c r="S14" s="625"/>
      <c r="T14" s="625"/>
      <c r="U14" s="625"/>
      <c r="V14" s="625"/>
      <c r="W14" s="625"/>
      <c r="X14" s="625"/>
      <c r="Y14" s="625"/>
      <c r="Z14" s="625"/>
    </row>
    <row r="15">
      <c r="A15" s="625"/>
      <c r="B15" s="625"/>
      <c r="C15" s="625"/>
      <c r="D15" s="625"/>
      <c r="E15" s="625"/>
      <c r="F15" s="625"/>
      <c r="G15" s="625"/>
      <c r="H15" s="625"/>
      <c r="I15" s="625"/>
      <c r="J15" s="625"/>
      <c r="K15" s="625"/>
      <c r="L15" s="625"/>
      <c r="M15" s="625"/>
      <c r="N15" s="625"/>
      <c r="O15" s="625"/>
      <c r="P15" s="625"/>
      <c r="Q15" s="625"/>
      <c r="R15" s="625"/>
      <c r="S15" s="625"/>
      <c r="T15" s="625"/>
      <c r="U15" s="625"/>
      <c r="V15" s="625"/>
      <c r="W15" s="625"/>
      <c r="X15" s="625"/>
      <c r="Y15" s="625"/>
      <c r="Z15" s="625"/>
    </row>
    <row r="16">
      <c r="A16" s="625"/>
      <c r="B16" s="625"/>
      <c r="C16" s="625"/>
      <c r="D16" s="625"/>
      <c r="E16" s="625"/>
      <c r="F16" s="625"/>
      <c r="G16" s="625"/>
      <c r="H16" s="625"/>
      <c r="I16" s="625"/>
      <c r="J16" s="625"/>
      <c r="K16" s="625"/>
      <c r="L16" s="625"/>
      <c r="M16" s="625"/>
      <c r="N16" s="625"/>
      <c r="O16" s="625"/>
      <c r="P16" s="625"/>
      <c r="Q16" s="625"/>
      <c r="R16" s="625"/>
      <c r="S16" s="625"/>
      <c r="T16" s="625"/>
      <c r="U16" s="625"/>
      <c r="V16" s="625"/>
      <c r="W16" s="625"/>
      <c r="X16" s="625"/>
      <c r="Y16" s="625"/>
      <c r="Z16" s="625"/>
    </row>
    <row r="17">
      <c r="A17" s="625"/>
      <c r="B17" s="625"/>
      <c r="C17" s="625"/>
      <c r="D17" s="625"/>
      <c r="E17" s="625"/>
      <c r="F17" s="625"/>
      <c r="G17" s="625"/>
      <c r="H17" s="625"/>
      <c r="I17" s="625"/>
      <c r="J17" s="625"/>
      <c r="K17" s="625"/>
      <c r="L17" s="625"/>
      <c r="M17" s="625"/>
      <c r="N17" s="625"/>
      <c r="O17" s="625"/>
      <c r="P17" s="625"/>
      <c r="Q17" s="625"/>
      <c r="R17" s="625"/>
      <c r="S17" s="625"/>
      <c r="T17" s="625"/>
      <c r="U17" s="625"/>
      <c r="V17" s="625"/>
      <c r="W17" s="625"/>
      <c r="X17" s="625"/>
      <c r="Y17" s="625"/>
      <c r="Z17" s="625"/>
    </row>
    <row r="18">
      <c r="A18" s="625"/>
      <c r="B18" s="625"/>
      <c r="C18" s="625"/>
      <c r="D18" s="625"/>
      <c r="E18" s="625"/>
      <c r="F18" s="625"/>
      <c r="G18" s="625"/>
      <c r="H18" s="625"/>
      <c r="I18" s="625"/>
      <c r="J18" s="625"/>
      <c r="K18" s="625"/>
      <c r="L18" s="625"/>
      <c r="M18" s="625"/>
      <c r="N18" s="625"/>
      <c r="O18" s="625"/>
      <c r="P18" s="625"/>
      <c r="Q18" s="625"/>
      <c r="R18" s="625"/>
      <c r="S18" s="625"/>
      <c r="T18" s="625"/>
      <c r="U18" s="625"/>
      <c r="V18" s="625"/>
      <c r="W18" s="625"/>
      <c r="X18" s="625"/>
      <c r="Y18" s="625"/>
      <c r="Z18" s="625"/>
    </row>
    <row r="19">
      <c r="A19" s="625"/>
      <c r="B19" s="625"/>
      <c r="C19" s="625"/>
      <c r="D19" s="625"/>
      <c r="E19" s="625"/>
      <c r="F19" s="625"/>
      <c r="G19" s="625"/>
      <c r="H19" s="625"/>
      <c r="I19" s="625"/>
      <c r="J19" s="625"/>
      <c r="K19" s="625"/>
      <c r="L19" s="625"/>
      <c r="M19" s="625"/>
      <c r="N19" s="625"/>
      <c r="O19" s="625"/>
      <c r="P19" s="625"/>
      <c r="Q19" s="625"/>
      <c r="R19" s="625"/>
      <c r="S19" s="625"/>
      <c r="T19" s="625"/>
      <c r="U19" s="625"/>
      <c r="V19" s="625"/>
      <c r="W19" s="625"/>
      <c r="X19" s="625"/>
      <c r="Y19" s="625"/>
      <c r="Z19" s="625"/>
    </row>
    <row r="20">
      <c r="A20" s="625"/>
      <c r="B20" s="625"/>
      <c r="C20" s="625"/>
      <c r="D20" s="625"/>
      <c r="E20" s="625"/>
      <c r="F20" s="625"/>
      <c r="G20" s="625"/>
      <c r="H20" s="625"/>
      <c r="I20" s="625"/>
      <c r="J20" s="625"/>
      <c r="K20" s="625"/>
      <c r="L20" s="625"/>
      <c r="M20" s="625"/>
      <c r="N20" s="625"/>
      <c r="O20" s="625"/>
      <c r="P20" s="625"/>
      <c r="Q20" s="625"/>
      <c r="R20" s="625"/>
      <c r="S20" s="625"/>
      <c r="T20" s="625"/>
      <c r="U20" s="625"/>
      <c r="V20" s="625"/>
      <c r="W20" s="625"/>
      <c r="X20" s="625"/>
      <c r="Y20" s="625"/>
      <c r="Z20" s="625"/>
    </row>
    <row r="21">
      <c r="A21" s="625"/>
      <c r="B21" s="625"/>
      <c r="C21" s="625"/>
      <c r="D21" s="625"/>
      <c r="E21" s="625"/>
      <c r="F21" s="625"/>
      <c r="G21" s="625"/>
      <c r="H21" s="625"/>
      <c r="I21" s="625"/>
      <c r="J21" s="625"/>
      <c r="K21" s="625"/>
      <c r="L21" s="625"/>
      <c r="M21" s="625"/>
      <c r="N21" s="625"/>
      <c r="O21" s="625"/>
      <c r="P21" s="625"/>
      <c r="Q21" s="625"/>
      <c r="R21" s="625"/>
      <c r="S21" s="625"/>
      <c r="T21" s="625"/>
      <c r="U21" s="625"/>
      <c r="V21" s="625"/>
      <c r="W21" s="625"/>
      <c r="X21" s="625"/>
      <c r="Y21" s="625"/>
      <c r="Z21" s="625"/>
    </row>
    <row r="22">
      <c r="A22" s="625"/>
      <c r="B22" s="625"/>
      <c r="C22" s="625"/>
      <c r="D22" s="625"/>
      <c r="E22" s="625"/>
      <c r="F22" s="625"/>
      <c r="G22" s="625"/>
      <c r="H22" s="625"/>
      <c r="I22" s="625"/>
      <c r="J22" s="625"/>
      <c r="K22" s="625"/>
      <c r="L22" s="625"/>
      <c r="M22" s="625"/>
      <c r="N22" s="625"/>
      <c r="O22" s="625"/>
      <c r="P22" s="625"/>
      <c r="Q22" s="625"/>
      <c r="R22" s="625"/>
      <c r="S22" s="625"/>
      <c r="T22" s="625"/>
      <c r="U22" s="625"/>
      <c r="V22" s="625"/>
      <c r="W22" s="625"/>
      <c r="X22" s="625"/>
      <c r="Y22" s="625"/>
      <c r="Z22" s="625"/>
    </row>
    <row r="23">
      <c r="A23" s="625"/>
      <c r="B23" s="625"/>
      <c r="C23" s="625"/>
      <c r="D23" s="625"/>
      <c r="E23" s="625"/>
      <c r="F23" s="625"/>
      <c r="G23" s="625"/>
      <c r="H23" s="625"/>
      <c r="I23" s="625"/>
      <c r="J23" s="625"/>
      <c r="K23" s="625"/>
      <c r="L23" s="625"/>
      <c r="M23" s="625"/>
      <c r="N23" s="625"/>
      <c r="O23" s="625"/>
      <c r="P23" s="625"/>
      <c r="Q23" s="625"/>
      <c r="R23" s="625"/>
      <c r="S23" s="625"/>
      <c r="T23" s="625"/>
      <c r="U23" s="625"/>
      <c r="V23" s="625"/>
      <c r="W23" s="625"/>
      <c r="X23" s="625"/>
      <c r="Y23" s="625"/>
      <c r="Z23" s="625"/>
    </row>
    <row r="24">
      <c r="A24" s="625"/>
      <c r="B24" s="625"/>
      <c r="C24" s="625"/>
      <c r="D24" s="625"/>
      <c r="E24" s="625"/>
      <c r="F24" s="625"/>
      <c r="G24" s="625"/>
      <c r="H24" s="625"/>
      <c r="I24" s="625"/>
      <c r="J24" s="625"/>
      <c r="K24" s="625"/>
      <c r="L24" s="625"/>
      <c r="M24" s="625"/>
      <c r="N24" s="625"/>
      <c r="O24" s="625"/>
      <c r="P24" s="625"/>
      <c r="Q24" s="625"/>
      <c r="R24" s="625"/>
      <c r="S24" s="625"/>
      <c r="T24" s="625"/>
      <c r="U24" s="625"/>
      <c r="V24" s="625"/>
      <c r="W24" s="625"/>
      <c r="X24" s="625"/>
      <c r="Y24" s="625"/>
      <c r="Z24" s="625"/>
    </row>
    <row r="25">
      <c r="A25" s="625"/>
      <c r="B25" s="625"/>
      <c r="C25" s="625"/>
      <c r="D25" s="625"/>
      <c r="E25" s="625"/>
      <c r="F25" s="625"/>
      <c r="G25" s="625"/>
      <c r="H25" s="625"/>
      <c r="I25" s="625"/>
      <c r="J25" s="625"/>
      <c r="K25" s="625"/>
      <c r="L25" s="625"/>
      <c r="M25" s="625"/>
      <c r="N25" s="625"/>
      <c r="O25" s="625"/>
      <c r="P25" s="625"/>
      <c r="Q25" s="625"/>
      <c r="R25" s="625"/>
      <c r="S25" s="625"/>
      <c r="T25" s="625"/>
      <c r="U25" s="625"/>
      <c r="V25" s="625"/>
      <c r="W25" s="625"/>
      <c r="X25" s="625"/>
      <c r="Y25" s="625"/>
      <c r="Z25" s="625"/>
    </row>
    <row r="26">
      <c r="A26" s="625"/>
      <c r="B26" s="625"/>
      <c r="C26" s="625"/>
      <c r="D26" s="625"/>
      <c r="E26" s="625"/>
      <c r="F26" s="625"/>
      <c r="G26" s="625"/>
      <c r="H26" s="625"/>
      <c r="I26" s="625"/>
      <c r="J26" s="625"/>
      <c r="K26" s="625"/>
      <c r="L26" s="625"/>
      <c r="M26" s="625"/>
      <c r="N26" s="625"/>
      <c r="O26" s="625"/>
      <c r="P26" s="625"/>
      <c r="Q26" s="625"/>
      <c r="R26" s="625"/>
      <c r="S26" s="625"/>
      <c r="T26" s="625"/>
      <c r="U26" s="625"/>
      <c r="V26" s="625"/>
      <c r="W26" s="625"/>
      <c r="X26" s="625"/>
      <c r="Y26" s="625"/>
      <c r="Z26" s="625"/>
    </row>
    <row r="27">
      <c r="A27" s="625"/>
      <c r="B27" s="625"/>
      <c r="C27" s="625"/>
      <c r="D27" s="625"/>
      <c r="E27" s="625"/>
      <c r="F27" s="625"/>
      <c r="G27" s="625"/>
      <c r="H27" s="625"/>
      <c r="I27" s="625"/>
      <c r="J27" s="625"/>
      <c r="K27" s="625"/>
      <c r="L27" s="625"/>
      <c r="M27" s="625"/>
      <c r="N27" s="625"/>
      <c r="O27" s="625"/>
      <c r="P27" s="625"/>
      <c r="Q27" s="625"/>
      <c r="R27" s="625"/>
      <c r="S27" s="625"/>
      <c r="T27" s="625"/>
      <c r="U27" s="625"/>
      <c r="V27" s="625"/>
      <c r="W27" s="625"/>
      <c r="X27" s="625"/>
      <c r="Y27" s="625"/>
      <c r="Z27" s="625"/>
    </row>
    <row r="28">
      <c r="A28" s="625"/>
      <c r="B28" s="625"/>
      <c r="C28" s="625"/>
      <c r="D28" s="625"/>
      <c r="E28" s="625"/>
      <c r="F28" s="625"/>
      <c r="G28" s="625"/>
      <c r="H28" s="625"/>
      <c r="I28" s="625"/>
      <c r="J28" s="625"/>
      <c r="K28" s="625"/>
      <c r="L28" s="625"/>
      <c r="M28" s="625"/>
      <c r="N28" s="625"/>
      <c r="O28" s="625"/>
      <c r="P28" s="625"/>
      <c r="Q28" s="625"/>
      <c r="R28" s="625"/>
      <c r="S28" s="625"/>
      <c r="T28" s="625"/>
      <c r="U28" s="625"/>
      <c r="V28" s="625"/>
      <c r="W28" s="625"/>
      <c r="X28" s="625"/>
      <c r="Y28" s="625"/>
      <c r="Z28" s="625"/>
    </row>
    <row r="29">
      <c r="A29" s="625"/>
      <c r="B29" s="625"/>
      <c r="C29" s="625"/>
      <c r="D29" s="625"/>
      <c r="E29" s="625"/>
      <c r="F29" s="625"/>
      <c r="G29" s="625"/>
      <c r="H29" s="625"/>
      <c r="I29" s="625"/>
      <c r="J29" s="625"/>
      <c r="K29" s="625"/>
      <c r="L29" s="625"/>
      <c r="M29" s="625"/>
      <c r="N29" s="625"/>
      <c r="O29" s="625"/>
      <c r="P29" s="625"/>
      <c r="Q29" s="625"/>
      <c r="R29" s="625"/>
      <c r="S29" s="625"/>
      <c r="T29" s="625"/>
      <c r="U29" s="625"/>
      <c r="V29" s="625"/>
      <c r="W29" s="625"/>
      <c r="X29" s="625"/>
      <c r="Y29" s="625"/>
      <c r="Z29" s="625"/>
    </row>
    <row r="30">
      <c r="A30" s="625"/>
      <c r="B30" s="625"/>
      <c r="C30" s="625"/>
      <c r="D30" s="625"/>
      <c r="E30" s="625"/>
      <c r="F30" s="625"/>
      <c r="G30" s="625"/>
      <c r="H30" s="625"/>
      <c r="I30" s="625"/>
      <c r="J30" s="625"/>
      <c r="K30" s="625"/>
      <c r="L30" s="625"/>
      <c r="M30" s="625"/>
      <c r="N30" s="625"/>
      <c r="O30" s="625"/>
      <c r="P30" s="625"/>
      <c r="Q30" s="625"/>
      <c r="R30" s="625"/>
      <c r="S30" s="625"/>
      <c r="T30" s="625"/>
      <c r="U30" s="625"/>
      <c r="V30" s="625"/>
      <c r="W30" s="625"/>
      <c r="X30" s="625"/>
      <c r="Y30" s="625"/>
      <c r="Z30" s="625"/>
    </row>
    <row r="31">
      <c r="A31" s="625"/>
      <c r="B31" s="625"/>
      <c r="C31" s="625"/>
      <c r="D31" s="625"/>
      <c r="E31" s="625"/>
      <c r="F31" s="625"/>
      <c r="G31" s="625"/>
      <c r="H31" s="625"/>
      <c r="I31" s="625"/>
      <c r="J31" s="625"/>
      <c r="K31" s="625"/>
      <c r="L31" s="625"/>
      <c r="M31" s="625"/>
      <c r="N31" s="625"/>
      <c r="O31" s="625"/>
      <c r="P31" s="625"/>
      <c r="Q31" s="625"/>
      <c r="R31" s="625"/>
      <c r="S31" s="625"/>
      <c r="T31" s="625"/>
      <c r="U31" s="625"/>
      <c r="V31" s="625"/>
      <c r="W31" s="625"/>
      <c r="X31" s="625"/>
      <c r="Y31" s="625"/>
      <c r="Z31" s="625"/>
    </row>
    <row r="32">
      <c r="A32" s="625"/>
      <c r="B32" s="625"/>
      <c r="C32" s="625"/>
      <c r="D32" s="625"/>
      <c r="E32" s="625"/>
      <c r="F32" s="625"/>
      <c r="G32" s="625"/>
      <c r="H32" s="625"/>
      <c r="I32" s="625"/>
      <c r="J32" s="625"/>
      <c r="K32" s="625"/>
      <c r="L32" s="625"/>
      <c r="M32" s="625"/>
      <c r="N32" s="625"/>
      <c r="O32" s="625"/>
      <c r="P32" s="625"/>
      <c r="Q32" s="625"/>
      <c r="R32" s="625"/>
      <c r="S32" s="625"/>
      <c r="T32" s="625"/>
      <c r="U32" s="625"/>
      <c r="V32" s="625"/>
      <c r="W32" s="625"/>
      <c r="X32" s="625"/>
      <c r="Y32" s="625"/>
      <c r="Z32" s="625"/>
    </row>
    <row r="33">
      <c r="A33" s="625"/>
      <c r="B33" s="625"/>
      <c r="C33" s="625"/>
      <c r="D33" s="625"/>
      <c r="E33" s="625"/>
      <c r="F33" s="625"/>
      <c r="G33" s="625"/>
      <c r="H33" s="625"/>
      <c r="I33" s="625"/>
      <c r="J33" s="625"/>
      <c r="K33" s="625"/>
      <c r="L33" s="625"/>
      <c r="M33" s="625"/>
      <c r="N33" s="625"/>
      <c r="O33" s="625"/>
      <c r="P33" s="625"/>
      <c r="Q33" s="625"/>
      <c r="R33" s="625"/>
      <c r="S33" s="625"/>
      <c r="T33" s="625"/>
      <c r="U33" s="625"/>
      <c r="V33" s="625"/>
      <c r="W33" s="625"/>
      <c r="X33" s="625"/>
      <c r="Y33" s="625"/>
      <c r="Z33" s="625"/>
    </row>
    <row r="34">
      <c r="A34" s="625"/>
      <c r="B34" s="625"/>
      <c r="C34" s="625"/>
      <c r="D34" s="625"/>
      <c r="E34" s="625"/>
      <c r="F34" s="625"/>
      <c r="G34" s="625"/>
      <c r="H34" s="625"/>
      <c r="I34" s="625"/>
      <c r="J34" s="625"/>
      <c r="K34" s="625"/>
      <c r="L34" s="625"/>
      <c r="M34" s="625"/>
      <c r="N34" s="625"/>
      <c r="O34" s="625"/>
      <c r="P34" s="625"/>
      <c r="Q34" s="625"/>
      <c r="R34" s="625"/>
      <c r="S34" s="625"/>
      <c r="T34" s="625"/>
      <c r="U34" s="625"/>
      <c r="V34" s="625"/>
      <c r="W34" s="625"/>
      <c r="X34" s="625"/>
      <c r="Y34" s="625"/>
      <c r="Z34" s="625"/>
    </row>
    <row r="35">
      <c r="A35" s="625"/>
      <c r="B35" s="625"/>
      <c r="C35" s="625"/>
      <c r="D35" s="625"/>
      <c r="E35" s="625"/>
      <c r="F35" s="625"/>
      <c r="G35" s="625"/>
      <c r="H35" s="625"/>
      <c r="I35" s="625"/>
      <c r="J35" s="625"/>
      <c r="K35" s="625"/>
      <c r="L35" s="625"/>
      <c r="M35" s="625"/>
      <c r="N35" s="625"/>
      <c r="O35" s="625"/>
      <c r="P35" s="625"/>
      <c r="Q35" s="625"/>
      <c r="R35" s="625"/>
      <c r="S35" s="625"/>
      <c r="T35" s="625"/>
      <c r="U35" s="625"/>
      <c r="V35" s="625"/>
      <c r="W35" s="625"/>
      <c r="X35" s="625"/>
      <c r="Y35" s="625"/>
      <c r="Z35" s="625"/>
    </row>
    <row r="36">
      <c r="A36" s="625"/>
      <c r="B36" s="625"/>
      <c r="C36" s="625"/>
      <c r="D36" s="625"/>
      <c r="E36" s="625"/>
      <c r="F36" s="625"/>
      <c r="G36" s="625"/>
      <c r="H36" s="625"/>
      <c r="I36" s="625"/>
      <c r="J36" s="625"/>
      <c r="K36" s="625"/>
      <c r="L36" s="625"/>
      <c r="M36" s="625"/>
      <c r="N36" s="625"/>
      <c r="O36" s="625"/>
      <c r="P36" s="625"/>
      <c r="Q36" s="625"/>
      <c r="R36" s="625"/>
      <c r="S36" s="625"/>
      <c r="T36" s="625"/>
      <c r="U36" s="625"/>
      <c r="V36" s="625"/>
      <c r="W36" s="625"/>
      <c r="X36" s="625"/>
      <c r="Y36" s="625"/>
      <c r="Z36" s="625"/>
    </row>
    <row r="37">
      <c r="A37" s="625"/>
      <c r="B37" s="625"/>
      <c r="C37" s="625"/>
      <c r="D37" s="625"/>
      <c r="E37" s="625"/>
      <c r="F37" s="625"/>
      <c r="G37" s="625"/>
      <c r="H37" s="625"/>
      <c r="I37" s="625"/>
      <c r="J37" s="625"/>
      <c r="K37" s="625"/>
      <c r="L37" s="625"/>
      <c r="M37" s="625"/>
      <c r="N37" s="625"/>
      <c r="O37" s="625"/>
      <c r="P37" s="625"/>
      <c r="Q37" s="625"/>
      <c r="R37" s="625"/>
      <c r="S37" s="625"/>
      <c r="T37" s="625"/>
      <c r="U37" s="625"/>
      <c r="V37" s="625"/>
      <c r="W37" s="625"/>
      <c r="X37" s="625"/>
      <c r="Y37" s="625"/>
      <c r="Z37" s="625"/>
    </row>
    <row r="38">
      <c r="A38" s="625"/>
      <c r="B38" s="625"/>
      <c r="C38" s="625"/>
      <c r="D38" s="625"/>
      <c r="E38" s="625"/>
      <c r="F38" s="625"/>
      <c r="G38" s="625"/>
      <c r="H38" s="625"/>
      <c r="I38" s="625"/>
      <c r="J38" s="625"/>
      <c r="K38" s="625"/>
      <c r="L38" s="625"/>
      <c r="M38" s="625"/>
      <c r="N38" s="625"/>
      <c r="O38" s="625"/>
      <c r="P38" s="625"/>
      <c r="Q38" s="625"/>
      <c r="R38" s="625"/>
      <c r="S38" s="625"/>
      <c r="T38" s="625"/>
      <c r="U38" s="625"/>
      <c r="V38" s="625"/>
      <c r="W38" s="625"/>
      <c r="X38" s="625"/>
      <c r="Y38" s="625"/>
      <c r="Z38" s="625"/>
    </row>
    <row r="39">
      <c r="A39" s="625"/>
      <c r="B39" s="625"/>
      <c r="C39" s="625"/>
      <c r="D39" s="625"/>
      <c r="E39" s="625"/>
      <c r="F39" s="625"/>
      <c r="G39" s="625"/>
      <c r="H39" s="625"/>
      <c r="I39" s="625"/>
      <c r="J39" s="625"/>
      <c r="K39" s="625"/>
      <c r="L39" s="625"/>
      <c r="M39" s="625"/>
      <c r="N39" s="625"/>
      <c r="O39" s="625"/>
      <c r="P39" s="625"/>
      <c r="Q39" s="625"/>
      <c r="R39" s="625"/>
      <c r="S39" s="625"/>
      <c r="T39" s="625"/>
      <c r="U39" s="625"/>
      <c r="V39" s="625"/>
      <c r="W39" s="625"/>
      <c r="X39" s="625"/>
      <c r="Y39" s="625"/>
      <c r="Z39" s="625"/>
    </row>
    <row r="40">
      <c r="A40" s="625"/>
      <c r="B40" s="625"/>
      <c r="C40" s="625"/>
      <c r="D40" s="625"/>
      <c r="E40" s="625"/>
      <c r="F40" s="625"/>
      <c r="G40" s="625"/>
      <c r="H40" s="625"/>
      <c r="I40" s="625"/>
      <c r="J40" s="625"/>
      <c r="K40" s="625"/>
      <c r="L40" s="625"/>
      <c r="M40" s="625"/>
      <c r="N40" s="625"/>
      <c r="O40" s="625"/>
      <c r="P40" s="625"/>
      <c r="Q40" s="625"/>
      <c r="R40" s="625"/>
      <c r="S40" s="625"/>
      <c r="T40" s="625"/>
      <c r="U40" s="625"/>
      <c r="V40" s="625"/>
      <c r="W40" s="625"/>
      <c r="X40" s="625"/>
      <c r="Y40" s="625"/>
      <c r="Z40" s="625"/>
    </row>
    <row r="41">
      <c r="A41" s="625"/>
      <c r="B41" s="625"/>
      <c r="C41" s="625"/>
      <c r="D41" s="625"/>
      <c r="E41" s="625"/>
      <c r="F41" s="625"/>
      <c r="G41" s="625"/>
      <c r="H41" s="625"/>
      <c r="I41" s="625"/>
      <c r="J41" s="625"/>
      <c r="K41" s="625"/>
      <c r="L41" s="625"/>
      <c r="M41" s="625"/>
      <c r="N41" s="625"/>
      <c r="O41" s="625"/>
      <c r="P41" s="625"/>
      <c r="Q41" s="625"/>
      <c r="R41" s="625"/>
      <c r="S41" s="625"/>
      <c r="T41" s="625"/>
      <c r="U41" s="625"/>
      <c r="V41" s="625"/>
      <c r="W41" s="625"/>
      <c r="X41" s="625"/>
      <c r="Y41" s="625"/>
      <c r="Z41" s="625"/>
    </row>
    <row r="42">
      <c r="A42" s="625"/>
      <c r="B42" s="625"/>
      <c r="C42" s="625"/>
      <c r="D42" s="625"/>
      <c r="E42" s="625"/>
      <c r="F42" s="625"/>
      <c r="G42" s="625"/>
      <c r="H42" s="625"/>
      <c r="I42" s="625"/>
      <c r="J42" s="625"/>
      <c r="K42" s="625"/>
      <c r="L42" s="625"/>
      <c r="M42" s="625"/>
      <c r="N42" s="625"/>
      <c r="O42" s="625"/>
      <c r="P42" s="625"/>
      <c r="Q42" s="625"/>
      <c r="R42" s="625"/>
      <c r="S42" s="625"/>
      <c r="T42" s="625"/>
      <c r="U42" s="625"/>
      <c r="V42" s="625"/>
      <c r="W42" s="625"/>
      <c r="X42" s="625"/>
      <c r="Y42" s="625"/>
      <c r="Z42" s="625"/>
    </row>
    <row r="43">
      <c r="A43" s="625"/>
      <c r="B43" s="625"/>
      <c r="C43" s="625"/>
      <c r="D43" s="625"/>
      <c r="E43" s="625"/>
      <c r="F43" s="625"/>
      <c r="G43" s="625"/>
      <c r="H43" s="625"/>
      <c r="I43" s="625"/>
      <c r="J43" s="625"/>
      <c r="K43" s="625"/>
      <c r="L43" s="625"/>
      <c r="M43" s="625"/>
      <c r="N43" s="625"/>
      <c r="O43" s="625"/>
      <c r="P43" s="625"/>
      <c r="Q43" s="625"/>
      <c r="R43" s="625"/>
      <c r="S43" s="625"/>
      <c r="T43" s="625"/>
      <c r="U43" s="625"/>
      <c r="V43" s="625"/>
      <c r="W43" s="625"/>
      <c r="X43" s="625"/>
      <c r="Y43" s="625"/>
      <c r="Z43" s="625"/>
    </row>
    <row r="44">
      <c r="A44" s="625"/>
      <c r="B44" s="625"/>
      <c r="C44" s="625"/>
      <c r="D44" s="625"/>
      <c r="E44" s="625"/>
      <c r="F44" s="625"/>
      <c r="G44" s="625"/>
      <c r="H44" s="625"/>
      <c r="I44" s="625"/>
      <c r="J44" s="625"/>
      <c r="K44" s="625"/>
      <c r="L44" s="625"/>
      <c r="M44" s="625"/>
      <c r="N44" s="625"/>
      <c r="O44" s="625"/>
      <c r="P44" s="625"/>
      <c r="Q44" s="625"/>
      <c r="R44" s="625"/>
      <c r="S44" s="625"/>
      <c r="T44" s="625"/>
      <c r="U44" s="625"/>
      <c r="V44" s="625"/>
      <c r="W44" s="625"/>
      <c r="X44" s="625"/>
      <c r="Y44" s="625"/>
      <c r="Z44" s="625"/>
    </row>
    <row r="45">
      <c r="A45" s="625"/>
      <c r="B45" s="625"/>
      <c r="C45" s="625"/>
      <c r="D45" s="625"/>
      <c r="E45" s="625"/>
      <c r="F45" s="625"/>
      <c r="G45" s="625"/>
      <c r="H45" s="625"/>
      <c r="I45" s="625"/>
      <c r="J45" s="625"/>
      <c r="K45" s="625"/>
      <c r="L45" s="625"/>
      <c r="M45" s="625"/>
      <c r="N45" s="625"/>
      <c r="O45" s="625"/>
      <c r="P45" s="625"/>
      <c r="Q45" s="625"/>
      <c r="R45" s="625"/>
      <c r="S45" s="625"/>
      <c r="T45" s="625"/>
      <c r="U45" s="625"/>
      <c r="V45" s="625"/>
      <c r="W45" s="625"/>
      <c r="X45" s="625"/>
      <c r="Y45" s="625"/>
      <c r="Z45" s="625"/>
    </row>
    <row r="46">
      <c r="A46" s="625"/>
      <c r="B46" s="625"/>
      <c r="C46" s="625"/>
      <c r="D46" s="625"/>
      <c r="E46" s="625"/>
      <c r="F46" s="625"/>
      <c r="G46" s="625"/>
      <c r="H46" s="625"/>
      <c r="I46" s="625"/>
      <c r="J46" s="625"/>
      <c r="K46" s="625"/>
      <c r="L46" s="625"/>
      <c r="M46" s="625"/>
      <c r="N46" s="625"/>
      <c r="O46" s="625"/>
      <c r="P46" s="625"/>
      <c r="Q46" s="625"/>
      <c r="R46" s="625"/>
      <c r="S46" s="625"/>
      <c r="T46" s="625"/>
      <c r="U46" s="625"/>
      <c r="V46" s="625"/>
      <c r="W46" s="625"/>
      <c r="X46" s="625"/>
      <c r="Y46" s="625"/>
      <c r="Z46" s="625"/>
    </row>
    <row r="47">
      <c r="A47" s="625"/>
      <c r="B47" s="625"/>
      <c r="C47" s="625"/>
      <c r="D47" s="625"/>
      <c r="E47" s="625"/>
      <c r="F47" s="625"/>
      <c r="G47" s="625"/>
      <c r="H47" s="625"/>
      <c r="I47" s="625"/>
      <c r="J47" s="625"/>
      <c r="K47" s="625"/>
      <c r="L47" s="625"/>
      <c r="M47" s="625"/>
      <c r="N47" s="625"/>
      <c r="O47" s="625"/>
      <c r="P47" s="625"/>
      <c r="Q47" s="625"/>
      <c r="R47" s="625"/>
      <c r="S47" s="625"/>
      <c r="T47" s="625"/>
      <c r="U47" s="625"/>
      <c r="V47" s="625"/>
      <c r="W47" s="625"/>
      <c r="X47" s="625"/>
      <c r="Y47" s="625"/>
      <c r="Z47" s="625"/>
    </row>
    <row r="48">
      <c r="A48" s="625"/>
      <c r="B48" s="625"/>
      <c r="C48" s="625"/>
      <c r="D48" s="625"/>
      <c r="E48" s="625"/>
      <c r="F48" s="625"/>
      <c r="G48" s="625"/>
      <c r="H48" s="625"/>
      <c r="I48" s="625"/>
      <c r="J48" s="625"/>
      <c r="K48" s="625"/>
      <c r="L48" s="625"/>
      <c r="M48" s="625"/>
      <c r="N48" s="625"/>
      <c r="O48" s="625"/>
      <c r="P48" s="625"/>
      <c r="Q48" s="625"/>
      <c r="R48" s="625"/>
      <c r="S48" s="625"/>
      <c r="T48" s="625"/>
      <c r="U48" s="625"/>
      <c r="V48" s="625"/>
      <c r="W48" s="625"/>
      <c r="X48" s="625"/>
      <c r="Y48" s="625"/>
      <c r="Z48" s="625"/>
    </row>
    <row r="49">
      <c r="A49" s="625"/>
      <c r="B49" s="625"/>
      <c r="C49" s="625"/>
      <c r="D49" s="625"/>
      <c r="E49" s="625"/>
      <c r="F49" s="625"/>
      <c r="G49" s="625"/>
      <c r="H49" s="625"/>
      <c r="I49" s="625"/>
      <c r="J49" s="625"/>
      <c r="K49" s="625"/>
      <c r="L49" s="625"/>
      <c r="M49" s="625"/>
      <c r="N49" s="625"/>
      <c r="O49" s="625"/>
      <c r="P49" s="625"/>
      <c r="Q49" s="625"/>
      <c r="R49" s="625"/>
      <c r="S49" s="625"/>
      <c r="T49" s="625"/>
      <c r="U49" s="625"/>
      <c r="V49" s="625"/>
      <c r="W49" s="625"/>
      <c r="X49" s="625"/>
      <c r="Y49" s="625"/>
      <c r="Z49" s="625"/>
    </row>
    <row r="50">
      <c r="A50" s="625"/>
      <c r="B50" s="625"/>
      <c r="C50" s="625"/>
      <c r="D50" s="625"/>
      <c r="E50" s="625"/>
      <c r="F50" s="625"/>
      <c r="G50" s="625"/>
      <c r="H50" s="625"/>
      <c r="I50" s="625"/>
      <c r="J50" s="625"/>
      <c r="K50" s="625"/>
      <c r="L50" s="625"/>
      <c r="M50" s="625"/>
      <c r="N50" s="625"/>
      <c r="O50" s="625"/>
      <c r="P50" s="625"/>
      <c r="Q50" s="625"/>
      <c r="R50" s="625"/>
      <c r="S50" s="625"/>
      <c r="T50" s="625"/>
      <c r="U50" s="625"/>
      <c r="V50" s="625"/>
      <c r="W50" s="625"/>
      <c r="X50" s="625"/>
      <c r="Y50" s="625"/>
      <c r="Z50" s="625"/>
    </row>
    <row r="51">
      <c r="A51" s="625"/>
      <c r="B51" s="625"/>
      <c r="C51" s="625"/>
      <c r="D51" s="625"/>
      <c r="E51" s="625"/>
      <c r="F51" s="625"/>
      <c r="G51" s="625"/>
      <c r="H51" s="625"/>
      <c r="I51" s="625"/>
      <c r="J51" s="625"/>
      <c r="K51" s="625"/>
      <c r="L51" s="625"/>
      <c r="M51" s="625"/>
      <c r="N51" s="625"/>
      <c r="O51" s="625"/>
      <c r="P51" s="625"/>
      <c r="Q51" s="625"/>
      <c r="R51" s="625"/>
      <c r="S51" s="625"/>
      <c r="T51" s="625"/>
      <c r="U51" s="625"/>
      <c r="V51" s="625"/>
      <c r="W51" s="625"/>
      <c r="X51" s="625"/>
      <c r="Y51" s="625"/>
      <c r="Z51" s="625"/>
    </row>
    <row r="52">
      <c r="A52" s="625"/>
      <c r="B52" s="625"/>
      <c r="C52" s="625"/>
      <c r="D52" s="625"/>
      <c r="E52" s="625"/>
      <c r="F52" s="625"/>
      <c r="G52" s="625"/>
      <c r="H52" s="625"/>
      <c r="I52" s="625"/>
      <c r="J52" s="625"/>
      <c r="K52" s="625"/>
      <c r="L52" s="625"/>
      <c r="M52" s="625"/>
      <c r="N52" s="625"/>
      <c r="O52" s="625"/>
      <c r="P52" s="625"/>
      <c r="Q52" s="625"/>
      <c r="R52" s="625"/>
      <c r="S52" s="625"/>
      <c r="T52" s="625"/>
      <c r="U52" s="625"/>
      <c r="V52" s="625"/>
      <c r="W52" s="625"/>
      <c r="X52" s="625"/>
      <c r="Y52" s="625"/>
      <c r="Z52" s="625"/>
    </row>
    <row r="53">
      <c r="A53" s="625"/>
      <c r="B53" s="625"/>
      <c r="C53" s="625"/>
      <c r="D53" s="625"/>
      <c r="E53" s="625"/>
      <c r="F53" s="625"/>
      <c r="G53" s="625"/>
      <c r="H53" s="625"/>
      <c r="I53" s="625"/>
      <c r="J53" s="625"/>
      <c r="K53" s="625"/>
      <c r="L53" s="625"/>
      <c r="M53" s="625"/>
      <c r="N53" s="625"/>
      <c r="O53" s="625"/>
      <c r="P53" s="625"/>
      <c r="Q53" s="625"/>
      <c r="R53" s="625"/>
      <c r="S53" s="625"/>
      <c r="T53" s="625"/>
      <c r="U53" s="625"/>
      <c r="V53" s="625"/>
      <c r="W53" s="625"/>
      <c r="X53" s="625"/>
      <c r="Y53" s="625"/>
      <c r="Z53" s="625"/>
    </row>
    <row r="54">
      <c r="A54" s="625"/>
      <c r="B54" s="625"/>
      <c r="C54" s="625"/>
      <c r="D54" s="625"/>
      <c r="E54" s="625"/>
      <c r="F54" s="625"/>
      <c r="G54" s="625"/>
      <c r="H54" s="625"/>
      <c r="I54" s="625"/>
      <c r="J54" s="625"/>
      <c r="K54" s="625"/>
      <c r="L54" s="625"/>
      <c r="M54" s="625"/>
      <c r="N54" s="625"/>
      <c r="O54" s="625"/>
      <c r="P54" s="625"/>
      <c r="Q54" s="625"/>
      <c r="R54" s="625"/>
      <c r="S54" s="625"/>
      <c r="T54" s="625"/>
      <c r="U54" s="625"/>
      <c r="V54" s="625"/>
      <c r="W54" s="625"/>
      <c r="X54" s="625"/>
      <c r="Y54" s="625"/>
      <c r="Z54" s="625"/>
    </row>
    <row r="55">
      <c r="A55" s="625"/>
      <c r="B55" s="625"/>
      <c r="C55" s="625"/>
      <c r="D55" s="625"/>
      <c r="E55" s="625"/>
      <c r="F55" s="625"/>
      <c r="G55" s="625"/>
      <c r="H55" s="625"/>
      <c r="I55" s="625"/>
      <c r="J55" s="625"/>
      <c r="K55" s="625"/>
      <c r="L55" s="625"/>
      <c r="M55" s="625"/>
      <c r="N55" s="625"/>
      <c r="O55" s="625"/>
      <c r="P55" s="625"/>
      <c r="Q55" s="625"/>
      <c r="R55" s="625"/>
      <c r="S55" s="625"/>
      <c r="T55" s="625"/>
      <c r="U55" s="625"/>
      <c r="V55" s="625"/>
      <c r="W55" s="625"/>
      <c r="X55" s="625"/>
      <c r="Y55" s="625"/>
      <c r="Z55" s="625"/>
    </row>
    <row r="56">
      <c r="A56" s="625"/>
      <c r="B56" s="625"/>
      <c r="C56" s="625"/>
      <c r="D56" s="625"/>
      <c r="E56" s="625"/>
      <c r="F56" s="625"/>
      <c r="G56" s="625"/>
      <c r="H56" s="625"/>
      <c r="I56" s="625"/>
      <c r="J56" s="625"/>
      <c r="K56" s="625"/>
      <c r="L56" s="625"/>
      <c r="M56" s="625"/>
      <c r="N56" s="625"/>
      <c r="O56" s="625"/>
      <c r="P56" s="625"/>
      <c r="Q56" s="625"/>
      <c r="R56" s="625"/>
      <c r="S56" s="625"/>
      <c r="T56" s="625"/>
      <c r="U56" s="625"/>
      <c r="V56" s="625"/>
      <c r="W56" s="625"/>
      <c r="X56" s="625"/>
      <c r="Y56" s="625"/>
      <c r="Z56" s="625"/>
    </row>
    <row r="57">
      <c r="A57" s="625"/>
      <c r="B57" s="625"/>
      <c r="C57" s="625"/>
      <c r="D57" s="625"/>
      <c r="E57" s="625"/>
      <c r="F57" s="625"/>
      <c r="G57" s="625"/>
      <c r="H57" s="625"/>
      <c r="I57" s="625"/>
      <c r="J57" s="625"/>
      <c r="K57" s="625"/>
      <c r="L57" s="625"/>
      <c r="M57" s="625"/>
      <c r="N57" s="625"/>
      <c r="O57" s="625"/>
      <c r="P57" s="625"/>
      <c r="Q57" s="625"/>
      <c r="R57" s="625"/>
      <c r="S57" s="625"/>
      <c r="T57" s="625"/>
      <c r="U57" s="625"/>
      <c r="V57" s="625"/>
      <c r="W57" s="625"/>
      <c r="X57" s="625"/>
      <c r="Y57" s="625"/>
      <c r="Z57" s="625"/>
    </row>
    <row r="58">
      <c r="A58" s="625"/>
      <c r="B58" s="625"/>
      <c r="C58" s="625"/>
      <c r="D58" s="625"/>
      <c r="E58" s="625"/>
      <c r="F58" s="625"/>
      <c r="G58" s="625"/>
      <c r="H58" s="625"/>
      <c r="I58" s="625"/>
      <c r="J58" s="625"/>
      <c r="K58" s="625"/>
      <c r="L58" s="625"/>
      <c r="M58" s="625"/>
      <c r="N58" s="625"/>
      <c r="O58" s="625"/>
      <c r="P58" s="625"/>
      <c r="Q58" s="625"/>
      <c r="R58" s="625"/>
      <c r="S58" s="625"/>
      <c r="T58" s="625"/>
      <c r="U58" s="625"/>
      <c r="V58" s="625"/>
      <c r="W58" s="625"/>
      <c r="X58" s="625"/>
      <c r="Y58" s="625"/>
      <c r="Z58" s="625"/>
    </row>
    <row r="59">
      <c r="A59" s="625"/>
      <c r="B59" s="625"/>
      <c r="C59" s="625"/>
      <c r="D59" s="625"/>
      <c r="E59" s="625"/>
      <c r="F59" s="625"/>
      <c r="G59" s="625"/>
      <c r="H59" s="625"/>
      <c r="I59" s="625"/>
      <c r="J59" s="625"/>
      <c r="K59" s="625"/>
      <c r="L59" s="625"/>
      <c r="M59" s="625"/>
      <c r="N59" s="625"/>
      <c r="O59" s="625"/>
      <c r="P59" s="625"/>
      <c r="Q59" s="625"/>
      <c r="R59" s="625"/>
      <c r="S59" s="625"/>
      <c r="T59" s="625"/>
      <c r="U59" s="625"/>
      <c r="V59" s="625"/>
      <c r="W59" s="625"/>
      <c r="X59" s="625"/>
      <c r="Y59" s="625"/>
      <c r="Z59" s="625"/>
    </row>
    <row r="60">
      <c r="A60" s="625"/>
      <c r="B60" s="625"/>
      <c r="C60" s="625"/>
      <c r="D60" s="625"/>
      <c r="E60" s="625"/>
      <c r="F60" s="625"/>
      <c r="G60" s="625"/>
      <c r="H60" s="625"/>
      <c r="I60" s="625"/>
      <c r="J60" s="625"/>
      <c r="K60" s="625"/>
      <c r="L60" s="625"/>
      <c r="M60" s="625"/>
      <c r="N60" s="625"/>
      <c r="O60" s="625"/>
      <c r="P60" s="625"/>
      <c r="Q60" s="625"/>
      <c r="R60" s="625"/>
      <c r="S60" s="625"/>
      <c r="T60" s="625"/>
      <c r="U60" s="625"/>
      <c r="V60" s="625"/>
      <c r="W60" s="625"/>
      <c r="X60" s="625"/>
      <c r="Y60" s="625"/>
      <c r="Z60" s="625"/>
    </row>
    <row r="61">
      <c r="A61" s="625"/>
      <c r="B61" s="625"/>
      <c r="C61" s="625"/>
      <c r="D61" s="625"/>
      <c r="E61" s="625"/>
      <c r="F61" s="625"/>
      <c r="G61" s="625"/>
      <c r="H61" s="625"/>
      <c r="I61" s="625"/>
      <c r="J61" s="625"/>
      <c r="K61" s="625"/>
      <c r="L61" s="625"/>
      <c r="M61" s="625"/>
      <c r="N61" s="625"/>
      <c r="O61" s="625"/>
      <c r="P61" s="625"/>
      <c r="Q61" s="625"/>
      <c r="R61" s="625"/>
      <c r="S61" s="625"/>
      <c r="T61" s="625"/>
      <c r="U61" s="625"/>
      <c r="V61" s="625"/>
      <c r="W61" s="625"/>
      <c r="X61" s="625"/>
      <c r="Y61" s="625"/>
      <c r="Z61" s="625"/>
    </row>
    <row r="62">
      <c r="A62" s="625"/>
      <c r="B62" s="625"/>
      <c r="C62" s="625"/>
      <c r="D62" s="625"/>
      <c r="E62" s="625"/>
      <c r="F62" s="625"/>
      <c r="G62" s="625"/>
      <c r="H62" s="625"/>
      <c r="I62" s="625"/>
      <c r="J62" s="625"/>
      <c r="K62" s="625"/>
      <c r="L62" s="625"/>
      <c r="M62" s="625"/>
      <c r="N62" s="625"/>
      <c r="O62" s="625"/>
      <c r="P62" s="625"/>
      <c r="Q62" s="625"/>
      <c r="R62" s="625"/>
      <c r="S62" s="625"/>
      <c r="T62" s="625"/>
      <c r="U62" s="625"/>
      <c r="V62" s="625"/>
      <c r="W62" s="625"/>
      <c r="X62" s="625"/>
      <c r="Y62" s="625"/>
      <c r="Z62" s="625"/>
    </row>
    <row r="63">
      <c r="A63" s="625"/>
      <c r="B63" s="625"/>
      <c r="C63" s="625"/>
      <c r="D63" s="625"/>
      <c r="E63" s="625"/>
      <c r="F63" s="625"/>
      <c r="G63" s="625"/>
      <c r="H63" s="625"/>
      <c r="I63" s="625"/>
      <c r="J63" s="625"/>
      <c r="K63" s="625"/>
      <c r="L63" s="625"/>
      <c r="M63" s="625"/>
      <c r="N63" s="625"/>
      <c r="O63" s="625"/>
      <c r="P63" s="625"/>
      <c r="Q63" s="625"/>
      <c r="R63" s="625"/>
      <c r="S63" s="625"/>
      <c r="T63" s="625"/>
      <c r="U63" s="625"/>
      <c r="V63" s="625"/>
      <c r="W63" s="625"/>
      <c r="X63" s="625"/>
      <c r="Y63" s="625"/>
      <c r="Z63" s="625"/>
    </row>
    <row r="64">
      <c r="A64" s="625"/>
      <c r="B64" s="625"/>
      <c r="C64" s="625"/>
      <c r="D64" s="625"/>
      <c r="E64" s="625"/>
      <c r="F64" s="625"/>
      <c r="G64" s="625"/>
      <c r="H64" s="625"/>
      <c r="I64" s="625"/>
      <c r="J64" s="625"/>
      <c r="K64" s="625"/>
      <c r="L64" s="625"/>
      <c r="M64" s="625"/>
      <c r="N64" s="625"/>
      <c r="O64" s="625"/>
      <c r="P64" s="625"/>
      <c r="Q64" s="625"/>
      <c r="R64" s="625"/>
      <c r="S64" s="625"/>
      <c r="T64" s="625"/>
      <c r="U64" s="625"/>
      <c r="V64" s="625"/>
      <c r="W64" s="625"/>
      <c r="X64" s="625"/>
      <c r="Y64" s="625"/>
      <c r="Z64" s="625"/>
    </row>
    <row r="65">
      <c r="A65" s="625"/>
      <c r="B65" s="625"/>
      <c r="C65" s="625"/>
      <c r="D65" s="625"/>
      <c r="E65" s="625"/>
      <c r="F65" s="625"/>
      <c r="G65" s="625"/>
      <c r="H65" s="625"/>
      <c r="I65" s="625"/>
      <c r="J65" s="625"/>
      <c r="K65" s="625"/>
      <c r="L65" s="625"/>
      <c r="M65" s="625"/>
      <c r="N65" s="625"/>
      <c r="O65" s="625"/>
      <c r="P65" s="625"/>
      <c r="Q65" s="625"/>
      <c r="R65" s="625"/>
      <c r="S65" s="625"/>
      <c r="T65" s="625"/>
      <c r="U65" s="625"/>
      <c r="V65" s="625"/>
      <c r="W65" s="625"/>
      <c r="X65" s="625"/>
      <c r="Y65" s="625"/>
      <c r="Z65" s="625"/>
    </row>
    <row r="66">
      <c r="A66" s="625"/>
      <c r="B66" s="625"/>
      <c r="C66" s="625"/>
      <c r="D66" s="625"/>
      <c r="E66" s="625"/>
      <c r="F66" s="625"/>
      <c r="G66" s="625"/>
      <c r="H66" s="625"/>
      <c r="I66" s="625"/>
      <c r="J66" s="625"/>
      <c r="K66" s="625"/>
      <c r="L66" s="625"/>
      <c r="M66" s="625"/>
      <c r="N66" s="625"/>
      <c r="O66" s="625"/>
      <c r="P66" s="625"/>
      <c r="Q66" s="625"/>
      <c r="R66" s="625"/>
      <c r="S66" s="625"/>
      <c r="T66" s="625"/>
      <c r="U66" s="625"/>
      <c r="V66" s="625"/>
      <c r="W66" s="625"/>
      <c r="X66" s="625"/>
      <c r="Y66" s="625"/>
      <c r="Z66" s="625"/>
    </row>
    <row r="67">
      <c r="A67" s="625"/>
      <c r="B67" s="625"/>
      <c r="C67" s="625"/>
      <c r="D67" s="625"/>
      <c r="E67" s="625"/>
      <c r="F67" s="625"/>
      <c r="G67" s="625"/>
      <c r="H67" s="625"/>
      <c r="I67" s="625"/>
      <c r="J67" s="625"/>
      <c r="K67" s="625"/>
      <c r="L67" s="625"/>
      <c r="M67" s="625"/>
      <c r="N67" s="625"/>
      <c r="O67" s="625"/>
      <c r="P67" s="625"/>
      <c r="Q67" s="625"/>
      <c r="R67" s="625"/>
      <c r="S67" s="625"/>
      <c r="T67" s="625"/>
      <c r="U67" s="625"/>
      <c r="V67" s="625"/>
      <c r="W67" s="625"/>
      <c r="X67" s="625"/>
      <c r="Y67" s="625"/>
      <c r="Z67" s="625"/>
    </row>
    <row r="68">
      <c r="A68" s="625"/>
      <c r="B68" s="625"/>
      <c r="C68" s="625"/>
      <c r="D68" s="625"/>
      <c r="E68" s="625"/>
      <c r="F68" s="625"/>
      <c r="G68" s="625"/>
      <c r="H68" s="625"/>
      <c r="I68" s="625"/>
      <c r="J68" s="625"/>
      <c r="K68" s="625"/>
      <c r="L68" s="625"/>
      <c r="M68" s="625"/>
      <c r="N68" s="625"/>
      <c r="O68" s="625"/>
      <c r="P68" s="625"/>
      <c r="Q68" s="625"/>
      <c r="R68" s="625"/>
      <c r="S68" s="625"/>
      <c r="T68" s="625"/>
      <c r="U68" s="625"/>
      <c r="V68" s="625"/>
      <c r="W68" s="625"/>
      <c r="X68" s="625"/>
      <c r="Y68" s="625"/>
      <c r="Z68" s="625"/>
    </row>
    <row r="69">
      <c r="A69" s="625"/>
      <c r="B69" s="625"/>
      <c r="C69" s="625"/>
      <c r="D69" s="625"/>
      <c r="E69" s="625"/>
      <c r="F69" s="625"/>
      <c r="G69" s="625"/>
      <c r="H69" s="625"/>
      <c r="I69" s="625"/>
      <c r="J69" s="625"/>
      <c r="K69" s="625"/>
      <c r="L69" s="625"/>
      <c r="M69" s="625"/>
      <c r="N69" s="625"/>
      <c r="O69" s="625"/>
      <c r="P69" s="625"/>
      <c r="Q69" s="625"/>
      <c r="R69" s="625"/>
      <c r="S69" s="625"/>
      <c r="T69" s="625"/>
      <c r="U69" s="625"/>
      <c r="V69" s="625"/>
      <c r="W69" s="625"/>
      <c r="X69" s="625"/>
      <c r="Y69" s="625"/>
      <c r="Z69" s="625"/>
    </row>
    <row r="70">
      <c r="A70" s="625"/>
      <c r="B70" s="625"/>
      <c r="C70" s="625"/>
      <c r="D70" s="625"/>
      <c r="E70" s="625"/>
      <c r="F70" s="625"/>
      <c r="G70" s="625"/>
      <c r="H70" s="625"/>
      <c r="I70" s="625"/>
      <c r="J70" s="625"/>
      <c r="K70" s="625"/>
      <c r="L70" s="625"/>
      <c r="M70" s="625"/>
      <c r="N70" s="625"/>
      <c r="O70" s="625"/>
      <c r="P70" s="625"/>
      <c r="Q70" s="625"/>
      <c r="R70" s="625"/>
      <c r="S70" s="625"/>
      <c r="T70" s="625"/>
      <c r="U70" s="625"/>
      <c r="V70" s="625"/>
      <c r="W70" s="625"/>
      <c r="X70" s="625"/>
      <c r="Y70" s="625"/>
      <c r="Z70" s="625"/>
    </row>
    <row r="71">
      <c r="A71" s="625"/>
      <c r="B71" s="625"/>
      <c r="C71" s="625"/>
      <c r="D71" s="625"/>
      <c r="E71" s="625"/>
      <c r="F71" s="625"/>
      <c r="G71" s="625"/>
      <c r="H71" s="625"/>
      <c r="I71" s="625"/>
      <c r="J71" s="625"/>
      <c r="K71" s="625"/>
      <c r="L71" s="625"/>
      <c r="M71" s="625"/>
      <c r="N71" s="625"/>
      <c r="O71" s="625"/>
      <c r="P71" s="625"/>
      <c r="Q71" s="625"/>
      <c r="R71" s="625"/>
      <c r="S71" s="625"/>
      <c r="T71" s="625"/>
      <c r="U71" s="625"/>
      <c r="V71" s="625"/>
      <c r="W71" s="625"/>
      <c r="X71" s="625"/>
      <c r="Y71" s="625"/>
      <c r="Z71" s="625"/>
    </row>
    <row r="72">
      <c r="A72" s="625"/>
      <c r="B72" s="625"/>
      <c r="C72" s="625"/>
      <c r="D72" s="625"/>
      <c r="E72" s="625"/>
      <c r="F72" s="625"/>
      <c r="G72" s="625"/>
      <c r="H72" s="625"/>
      <c r="I72" s="625"/>
      <c r="J72" s="625"/>
      <c r="K72" s="625"/>
      <c r="L72" s="625"/>
      <c r="M72" s="625"/>
      <c r="N72" s="625"/>
      <c r="O72" s="625"/>
      <c r="P72" s="625"/>
      <c r="Q72" s="625"/>
      <c r="R72" s="625"/>
      <c r="S72" s="625"/>
      <c r="T72" s="625"/>
      <c r="U72" s="625"/>
      <c r="V72" s="625"/>
      <c r="W72" s="625"/>
      <c r="X72" s="625"/>
      <c r="Y72" s="625"/>
      <c r="Z72" s="625"/>
    </row>
    <row r="73">
      <c r="A73" s="625"/>
      <c r="B73" s="625"/>
      <c r="C73" s="625"/>
      <c r="D73" s="625"/>
      <c r="E73" s="625"/>
      <c r="F73" s="625"/>
      <c r="G73" s="625"/>
      <c r="H73" s="625"/>
      <c r="I73" s="625"/>
      <c r="J73" s="625"/>
      <c r="K73" s="625"/>
      <c r="L73" s="625"/>
      <c r="M73" s="625"/>
      <c r="N73" s="625"/>
      <c r="O73" s="625"/>
      <c r="P73" s="625"/>
      <c r="Q73" s="625"/>
      <c r="R73" s="625"/>
      <c r="S73" s="625"/>
      <c r="T73" s="625"/>
      <c r="U73" s="625"/>
      <c r="V73" s="625"/>
      <c r="W73" s="625"/>
      <c r="X73" s="625"/>
      <c r="Y73" s="625"/>
      <c r="Z73" s="625"/>
    </row>
    <row r="74">
      <c r="A74" s="625"/>
      <c r="B74" s="625"/>
      <c r="C74" s="625"/>
      <c r="D74" s="625"/>
      <c r="E74" s="625"/>
      <c r="F74" s="625"/>
      <c r="G74" s="625"/>
      <c r="H74" s="625"/>
      <c r="I74" s="625"/>
      <c r="J74" s="625"/>
      <c r="K74" s="625"/>
      <c r="L74" s="625"/>
      <c r="M74" s="625"/>
      <c r="N74" s="625"/>
      <c r="O74" s="625"/>
      <c r="P74" s="625"/>
      <c r="Q74" s="625"/>
      <c r="R74" s="625"/>
      <c r="S74" s="625"/>
      <c r="T74" s="625"/>
      <c r="U74" s="625"/>
      <c r="V74" s="625"/>
      <c r="W74" s="625"/>
      <c r="X74" s="625"/>
      <c r="Y74" s="625"/>
      <c r="Z74" s="625"/>
    </row>
    <row r="75">
      <c r="A75" s="625"/>
      <c r="B75" s="625"/>
      <c r="C75" s="625"/>
      <c r="D75" s="625"/>
      <c r="E75" s="625"/>
      <c r="F75" s="625"/>
      <c r="G75" s="625"/>
      <c r="H75" s="625"/>
      <c r="I75" s="625"/>
      <c r="J75" s="625"/>
      <c r="K75" s="625"/>
      <c r="L75" s="625"/>
      <c r="M75" s="625"/>
      <c r="N75" s="625"/>
      <c r="O75" s="625"/>
      <c r="P75" s="625"/>
      <c r="Q75" s="625"/>
      <c r="R75" s="625"/>
      <c r="S75" s="625"/>
      <c r="T75" s="625"/>
      <c r="U75" s="625"/>
      <c r="V75" s="625"/>
      <c r="W75" s="625"/>
      <c r="X75" s="625"/>
      <c r="Y75" s="625"/>
      <c r="Z75" s="625"/>
    </row>
    <row r="76">
      <c r="A76" s="625"/>
      <c r="B76" s="625"/>
      <c r="C76" s="625"/>
      <c r="D76" s="625"/>
      <c r="E76" s="625"/>
      <c r="F76" s="625"/>
      <c r="G76" s="625"/>
      <c r="H76" s="625"/>
      <c r="I76" s="625"/>
      <c r="J76" s="625"/>
      <c r="K76" s="625"/>
      <c r="L76" s="625"/>
      <c r="M76" s="625"/>
      <c r="N76" s="625"/>
      <c r="O76" s="625"/>
      <c r="P76" s="625"/>
      <c r="Q76" s="625"/>
      <c r="R76" s="625"/>
      <c r="S76" s="625"/>
      <c r="T76" s="625"/>
      <c r="U76" s="625"/>
      <c r="V76" s="625"/>
      <c r="W76" s="625"/>
      <c r="X76" s="625"/>
      <c r="Y76" s="625"/>
      <c r="Z76" s="625"/>
    </row>
    <row r="77">
      <c r="A77" s="625"/>
      <c r="B77" s="625"/>
      <c r="C77" s="625"/>
      <c r="D77" s="625"/>
      <c r="E77" s="625"/>
      <c r="F77" s="625"/>
      <c r="G77" s="625"/>
      <c r="H77" s="625"/>
      <c r="I77" s="625"/>
      <c r="J77" s="625"/>
      <c r="K77" s="625"/>
      <c r="L77" s="625"/>
      <c r="M77" s="625"/>
      <c r="N77" s="625"/>
      <c r="O77" s="625"/>
      <c r="P77" s="625"/>
      <c r="Q77" s="625"/>
      <c r="R77" s="625"/>
      <c r="S77" s="625"/>
      <c r="T77" s="625"/>
      <c r="U77" s="625"/>
      <c r="V77" s="625"/>
      <c r="W77" s="625"/>
      <c r="X77" s="625"/>
      <c r="Y77" s="625"/>
      <c r="Z77" s="625"/>
    </row>
    <row r="78">
      <c r="A78" s="625"/>
      <c r="B78" s="625"/>
      <c r="C78" s="625"/>
      <c r="D78" s="625"/>
      <c r="E78" s="625"/>
      <c r="F78" s="625"/>
      <c r="G78" s="625"/>
      <c r="H78" s="625"/>
      <c r="I78" s="625"/>
      <c r="J78" s="625"/>
      <c r="K78" s="625"/>
      <c r="L78" s="625"/>
      <c r="M78" s="625"/>
      <c r="N78" s="625"/>
      <c r="O78" s="625"/>
      <c r="P78" s="625"/>
      <c r="Q78" s="625"/>
      <c r="R78" s="625"/>
      <c r="S78" s="625"/>
      <c r="T78" s="625"/>
      <c r="U78" s="625"/>
      <c r="V78" s="625"/>
      <c r="W78" s="625"/>
      <c r="X78" s="625"/>
      <c r="Y78" s="625"/>
      <c r="Z78" s="625"/>
    </row>
    <row r="79">
      <c r="A79" s="625"/>
      <c r="B79" s="625"/>
      <c r="C79" s="625"/>
      <c r="D79" s="625"/>
      <c r="E79" s="625"/>
      <c r="F79" s="625"/>
      <c r="G79" s="625"/>
      <c r="H79" s="625"/>
      <c r="I79" s="625"/>
      <c r="J79" s="625"/>
      <c r="K79" s="625"/>
      <c r="L79" s="625"/>
      <c r="M79" s="625"/>
      <c r="N79" s="625"/>
      <c r="O79" s="625"/>
      <c r="P79" s="625"/>
      <c r="Q79" s="625"/>
      <c r="R79" s="625"/>
      <c r="S79" s="625"/>
      <c r="T79" s="625"/>
      <c r="U79" s="625"/>
      <c r="V79" s="625"/>
      <c r="W79" s="625"/>
      <c r="X79" s="625"/>
      <c r="Y79" s="625"/>
      <c r="Z79" s="625"/>
    </row>
    <row r="80">
      <c r="A80" s="625"/>
      <c r="B80" s="625"/>
      <c r="C80" s="625"/>
      <c r="D80" s="625"/>
      <c r="E80" s="625"/>
      <c r="F80" s="625"/>
      <c r="G80" s="625"/>
      <c r="H80" s="625"/>
      <c r="I80" s="625"/>
      <c r="J80" s="625"/>
      <c r="K80" s="625"/>
      <c r="L80" s="625"/>
      <c r="M80" s="625"/>
      <c r="N80" s="625"/>
      <c r="O80" s="625"/>
      <c r="P80" s="625"/>
      <c r="Q80" s="625"/>
      <c r="R80" s="625"/>
      <c r="S80" s="625"/>
      <c r="T80" s="625"/>
      <c r="U80" s="625"/>
      <c r="V80" s="625"/>
      <c r="W80" s="625"/>
      <c r="X80" s="625"/>
      <c r="Y80" s="625"/>
      <c r="Z80" s="625"/>
    </row>
    <row r="81">
      <c r="A81" s="625"/>
      <c r="B81" s="625"/>
      <c r="C81" s="625"/>
      <c r="D81" s="625"/>
      <c r="E81" s="625"/>
      <c r="F81" s="625"/>
      <c r="G81" s="625"/>
      <c r="H81" s="625"/>
      <c r="I81" s="625"/>
      <c r="J81" s="625"/>
      <c r="K81" s="625"/>
      <c r="L81" s="625"/>
      <c r="M81" s="625"/>
      <c r="N81" s="625"/>
      <c r="O81" s="625"/>
      <c r="P81" s="625"/>
      <c r="Q81" s="625"/>
      <c r="R81" s="625"/>
      <c r="S81" s="625"/>
      <c r="T81" s="625"/>
      <c r="U81" s="625"/>
      <c r="V81" s="625"/>
      <c r="W81" s="625"/>
      <c r="X81" s="625"/>
      <c r="Y81" s="625"/>
      <c r="Z81" s="625"/>
    </row>
    <row r="82">
      <c r="A82" s="625"/>
      <c r="B82" s="625"/>
      <c r="C82" s="625"/>
      <c r="D82" s="625"/>
      <c r="E82" s="625"/>
      <c r="F82" s="625"/>
      <c r="G82" s="625"/>
      <c r="H82" s="625"/>
      <c r="I82" s="625"/>
      <c r="J82" s="625"/>
      <c r="K82" s="625"/>
      <c r="L82" s="625"/>
      <c r="M82" s="625"/>
      <c r="N82" s="625"/>
      <c r="O82" s="625"/>
      <c r="P82" s="625"/>
      <c r="Q82" s="625"/>
      <c r="R82" s="625"/>
      <c r="S82" s="625"/>
      <c r="T82" s="625"/>
      <c r="U82" s="625"/>
      <c r="V82" s="625"/>
      <c r="W82" s="625"/>
      <c r="X82" s="625"/>
      <c r="Y82" s="625"/>
      <c r="Z82" s="625"/>
    </row>
    <row r="83">
      <c r="A83" s="625"/>
      <c r="B83" s="625"/>
      <c r="C83" s="625"/>
      <c r="D83" s="625"/>
      <c r="E83" s="625"/>
      <c r="F83" s="625"/>
      <c r="G83" s="625"/>
      <c r="H83" s="625"/>
      <c r="I83" s="625"/>
      <c r="J83" s="625"/>
      <c r="K83" s="625"/>
      <c r="L83" s="625"/>
      <c r="M83" s="625"/>
      <c r="N83" s="625"/>
      <c r="O83" s="625"/>
      <c r="P83" s="625"/>
      <c r="Q83" s="625"/>
      <c r="R83" s="625"/>
      <c r="S83" s="625"/>
      <c r="T83" s="625"/>
      <c r="U83" s="625"/>
      <c r="V83" s="625"/>
      <c r="W83" s="625"/>
      <c r="X83" s="625"/>
      <c r="Y83" s="625"/>
      <c r="Z83" s="625"/>
    </row>
    <row r="84">
      <c r="A84" s="625"/>
      <c r="B84" s="625"/>
      <c r="C84" s="625"/>
      <c r="D84" s="625"/>
      <c r="E84" s="625"/>
      <c r="F84" s="625"/>
      <c r="G84" s="625"/>
      <c r="H84" s="625"/>
      <c r="I84" s="625"/>
      <c r="J84" s="625"/>
      <c r="K84" s="625"/>
      <c r="L84" s="625"/>
      <c r="M84" s="625"/>
      <c r="N84" s="625"/>
      <c r="O84" s="625"/>
      <c r="P84" s="625"/>
      <c r="Q84" s="625"/>
      <c r="R84" s="625"/>
      <c r="S84" s="625"/>
      <c r="T84" s="625"/>
      <c r="U84" s="625"/>
      <c r="V84" s="625"/>
      <c r="W84" s="625"/>
      <c r="X84" s="625"/>
      <c r="Y84" s="625"/>
      <c r="Z84" s="625"/>
    </row>
    <row r="85">
      <c r="A85" s="625"/>
      <c r="B85" s="625"/>
      <c r="C85" s="625"/>
      <c r="D85" s="625"/>
      <c r="E85" s="625"/>
      <c r="F85" s="625"/>
      <c r="G85" s="625"/>
      <c r="H85" s="625"/>
      <c r="I85" s="625"/>
      <c r="J85" s="625"/>
      <c r="K85" s="625"/>
      <c r="L85" s="625"/>
      <c r="M85" s="625"/>
      <c r="N85" s="625"/>
      <c r="O85" s="625"/>
      <c r="P85" s="625"/>
      <c r="Q85" s="625"/>
      <c r="R85" s="625"/>
      <c r="S85" s="625"/>
      <c r="T85" s="625"/>
      <c r="U85" s="625"/>
      <c r="V85" s="625"/>
      <c r="W85" s="625"/>
      <c r="X85" s="625"/>
      <c r="Y85" s="625"/>
      <c r="Z85" s="625"/>
    </row>
    <row r="86">
      <c r="A86" s="625"/>
      <c r="B86" s="625"/>
      <c r="C86" s="625"/>
      <c r="D86" s="625"/>
      <c r="E86" s="625"/>
      <c r="F86" s="625"/>
      <c r="G86" s="625"/>
      <c r="H86" s="625"/>
      <c r="I86" s="625"/>
      <c r="J86" s="625"/>
      <c r="K86" s="625"/>
      <c r="L86" s="625"/>
      <c r="M86" s="625"/>
      <c r="N86" s="625"/>
      <c r="O86" s="625"/>
      <c r="P86" s="625"/>
      <c r="Q86" s="625"/>
      <c r="R86" s="625"/>
      <c r="S86" s="625"/>
      <c r="T86" s="625"/>
      <c r="U86" s="625"/>
      <c r="V86" s="625"/>
      <c r="W86" s="625"/>
      <c r="X86" s="625"/>
      <c r="Y86" s="625"/>
      <c r="Z86" s="625"/>
    </row>
    <row r="87">
      <c r="A87" s="625"/>
      <c r="B87" s="625"/>
      <c r="C87" s="625"/>
      <c r="D87" s="625"/>
      <c r="E87" s="625"/>
      <c r="F87" s="625"/>
      <c r="G87" s="625"/>
      <c r="H87" s="625"/>
      <c r="I87" s="625"/>
      <c r="J87" s="625"/>
      <c r="K87" s="625"/>
      <c r="L87" s="625"/>
      <c r="M87" s="625"/>
      <c r="N87" s="625"/>
      <c r="O87" s="625"/>
      <c r="P87" s="625"/>
      <c r="Q87" s="625"/>
      <c r="R87" s="625"/>
      <c r="S87" s="625"/>
      <c r="T87" s="625"/>
      <c r="U87" s="625"/>
      <c r="V87" s="625"/>
      <c r="W87" s="625"/>
      <c r="X87" s="625"/>
      <c r="Y87" s="625"/>
      <c r="Z87" s="625"/>
    </row>
    <row r="88">
      <c r="A88" s="625"/>
      <c r="B88" s="625"/>
      <c r="C88" s="625"/>
      <c r="D88" s="625"/>
      <c r="E88" s="625"/>
      <c r="F88" s="625"/>
      <c r="G88" s="625"/>
      <c r="H88" s="625"/>
      <c r="I88" s="625"/>
      <c r="J88" s="625"/>
      <c r="K88" s="625"/>
      <c r="L88" s="625"/>
      <c r="M88" s="625"/>
      <c r="N88" s="625"/>
      <c r="O88" s="625"/>
      <c r="P88" s="625"/>
      <c r="Q88" s="625"/>
      <c r="R88" s="625"/>
      <c r="S88" s="625"/>
      <c r="T88" s="625"/>
      <c r="U88" s="625"/>
      <c r="V88" s="625"/>
      <c r="W88" s="625"/>
      <c r="X88" s="625"/>
      <c r="Y88" s="625"/>
      <c r="Z88" s="625"/>
    </row>
    <row r="89">
      <c r="A89" s="625"/>
      <c r="B89" s="625"/>
      <c r="C89" s="625"/>
      <c r="D89" s="625"/>
      <c r="E89" s="625"/>
      <c r="F89" s="625"/>
      <c r="G89" s="625"/>
      <c r="H89" s="625"/>
      <c r="I89" s="625"/>
      <c r="J89" s="625"/>
      <c r="K89" s="625"/>
      <c r="L89" s="625"/>
      <c r="M89" s="625"/>
      <c r="N89" s="625"/>
      <c r="O89" s="625"/>
      <c r="P89" s="625"/>
      <c r="Q89" s="625"/>
      <c r="R89" s="625"/>
      <c r="S89" s="625"/>
      <c r="T89" s="625"/>
      <c r="U89" s="625"/>
      <c r="V89" s="625"/>
      <c r="W89" s="625"/>
      <c r="X89" s="625"/>
      <c r="Y89" s="625"/>
      <c r="Z89" s="625"/>
    </row>
    <row r="90">
      <c r="A90" s="625"/>
      <c r="B90" s="625"/>
      <c r="C90" s="625"/>
      <c r="D90" s="625"/>
      <c r="E90" s="625"/>
      <c r="F90" s="625"/>
      <c r="G90" s="625"/>
      <c r="H90" s="625"/>
      <c r="I90" s="625"/>
      <c r="J90" s="625"/>
      <c r="K90" s="625"/>
      <c r="L90" s="625"/>
      <c r="M90" s="625"/>
      <c r="N90" s="625"/>
      <c r="O90" s="625"/>
      <c r="P90" s="625"/>
      <c r="Q90" s="625"/>
      <c r="R90" s="625"/>
      <c r="S90" s="625"/>
      <c r="T90" s="625"/>
      <c r="U90" s="625"/>
      <c r="V90" s="625"/>
      <c r="W90" s="625"/>
      <c r="X90" s="625"/>
      <c r="Y90" s="625"/>
      <c r="Z90" s="625"/>
    </row>
    <row r="91">
      <c r="A91" s="625"/>
      <c r="B91" s="625"/>
      <c r="C91" s="625"/>
      <c r="D91" s="625"/>
      <c r="E91" s="625"/>
      <c r="F91" s="625"/>
      <c r="G91" s="625"/>
      <c r="H91" s="625"/>
      <c r="I91" s="625"/>
      <c r="J91" s="625"/>
      <c r="K91" s="625"/>
      <c r="L91" s="625"/>
      <c r="M91" s="625"/>
      <c r="N91" s="625"/>
      <c r="O91" s="625"/>
      <c r="P91" s="625"/>
      <c r="Q91" s="625"/>
      <c r="R91" s="625"/>
      <c r="S91" s="625"/>
      <c r="T91" s="625"/>
      <c r="U91" s="625"/>
      <c r="V91" s="625"/>
      <c r="W91" s="625"/>
      <c r="X91" s="625"/>
      <c r="Y91" s="625"/>
      <c r="Z91" s="625"/>
    </row>
    <row r="92">
      <c r="A92" s="625"/>
      <c r="B92" s="625"/>
      <c r="C92" s="625"/>
      <c r="D92" s="625"/>
      <c r="E92" s="625"/>
      <c r="F92" s="625"/>
      <c r="G92" s="625"/>
      <c r="H92" s="625"/>
      <c r="I92" s="625"/>
      <c r="J92" s="625"/>
      <c r="K92" s="625"/>
      <c r="L92" s="625"/>
      <c r="M92" s="625"/>
      <c r="N92" s="625"/>
      <c r="O92" s="625"/>
      <c r="P92" s="625"/>
      <c r="Q92" s="625"/>
      <c r="R92" s="625"/>
      <c r="S92" s="625"/>
      <c r="T92" s="625"/>
      <c r="U92" s="625"/>
      <c r="V92" s="625"/>
      <c r="W92" s="625"/>
      <c r="X92" s="625"/>
      <c r="Y92" s="625"/>
      <c r="Z92" s="625"/>
    </row>
    <row r="93">
      <c r="A93" s="625"/>
      <c r="B93" s="625"/>
      <c r="C93" s="625"/>
      <c r="D93" s="625"/>
      <c r="E93" s="625"/>
      <c r="F93" s="625"/>
      <c r="G93" s="625"/>
      <c r="H93" s="625"/>
      <c r="I93" s="625"/>
      <c r="J93" s="625"/>
      <c r="K93" s="625"/>
      <c r="L93" s="625"/>
      <c r="M93" s="625"/>
      <c r="N93" s="625"/>
      <c r="O93" s="625"/>
      <c r="P93" s="625"/>
      <c r="Q93" s="625"/>
      <c r="R93" s="625"/>
      <c r="S93" s="625"/>
      <c r="T93" s="625"/>
      <c r="U93" s="625"/>
      <c r="V93" s="625"/>
      <c r="W93" s="625"/>
      <c r="X93" s="625"/>
      <c r="Y93" s="625"/>
      <c r="Z93" s="625"/>
    </row>
    <row r="94">
      <c r="A94" s="625"/>
      <c r="B94" s="625"/>
      <c r="C94" s="625"/>
      <c r="D94" s="625"/>
      <c r="E94" s="625"/>
      <c r="F94" s="625"/>
      <c r="G94" s="625"/>
      <c r="H94" s="625"/>
      <c r="I94" s="625"/>
      <c r="J94" s="625"/>
      <c r="K94" s="625"/>
      <c r="L94" s="625"/>
      <c r="M94" s="625"/>
      <c r="N94" s="625"/>
      <c r="O94" s="625"/>
      <c r="P94" s="625"/>
      <c r="Q94" s="625"/>
      <c r="R94" s="625"/>
      <c r="S94" s="625"/>
      <c r="T94" s="625"/>
      <c r="U94" s="625"/>
      <c r="V94" s="625"/>
      <c r="W94" s="625"/>
      <c r="X94" s="625"/>
      <c r="Y94" s="625"/>
      <c r="Z94" s="625"/>
    </row>
    <row r="95">
      <c r="A95" s="625"/>
      <c r="B95" s="625"/>
      <c r="C95" s="625"/>
      <c r="D95" s="625"/>
      <c r="E95" s="625"/>
      <c r="F95" s="625"/>
      <c r="G95" s="625"/>
      <c r="H95" s="625"/>
      <c r="I95" s="625"/>
      <c r="J95" s="625"/>
      <c r="K95" s="625"/>
      <c r="L95" s="625"/>
      <c r="M95" s="625"/>
      <c r="N95" s="625"/>
      <c r="O95" s="625"/>
      <c r="P95" s="625"/>
      <c r="Q95" s="625"/>
      <c r="R95" s="625"/>
      <c r="S95" s="625"/>
      <c r="T95" s="625"/>
      <c r="U95" s="625"/>
      <c r="V95" s="625"/>
      <c r="W95" s="625"/>
      <c r="X95" s="625"/>
      <c r="Y95" s="625"/>
      <c r="Z95" s="625"/>
    </row>
    <row r="96">
      <c r="A96" s="625"/>
      <c r="B96" s="625"/>
      <c r="C96" s="625"/>
      <c r="D96" s="625"/>
      <c r="E96" s="625"/>
      <c r="F96" s="625"/>
      <c r="G96" s="625"/>
      <c r="H96" s="625"/>
      <c r="I96" s="625"/>
      <c r="J96" s="625"/>
      <c r="K96" s="625"/>
      <c r="L96" s="625"/>
      <c r="M96" s="625"/>
      <c r="N96" s="625"/>
      <c r="O96" s="625"/>
      <c r="P96" s="625"/>
      <c r="Q96" s="625"/>
      <c r="R96" s="625"/>
      <c r="S96" s="625"/>
      <c r="T96" s="625"/>
      <c r="U96" s="625"/>
      <c r="V96" s="625"/>
      <c r="W96" s="625"/>
      <c r="X96" s="625"/>
      <c r="Y96" s="625"/>
      <c r="Z96" s="625"/>
    </row>
    <row r="97">
      <c r="A97" s="625"/>
      <c r="B97" s="625"/>
      <c r="C97" s="625"/>
      <c r="D97" s="625"/>
      <c r="E97" s="625"/>
      <c r="F97" s="625"/>
      <c r="G97" s="625"/>
      <c r="H97" s="625"/>
      <c r="I97" s="625"/>
      <c r="J97" s="625"/>
      <c r="K97" s="625"/>
      <c r="L97" s="625"/>
      <c r="M97" s="625"/>
      <c r="N97" s="625"/>
      <c r="O97" s="625"/>
      <c r="P97" s="625"/>
      <c r="Q97" s="625"/>
      <c r="R97" s="625"/>
      <c r="S97" s="625"/>
      <c r="T97" s="625"/>
      <c r="U97" s="625"/>
      <c r="V97" s="625"/>
      <c r="W97" s="625"/>
      <c r="X97" s="625"/>
      <c r="Y97" s="625"/>
      <c r="Z97" s="625"/>
    </row>
    <row r="98">
      <c r="A98" s="625"/>
      <c r="B98" s="625"/>
      <c r="C98" s="625"/>
      <c r="D98" s="625"/>
      <c r="E98" s="625"/>
      <c r="F98" s="625"/>
      <c r="G98" s="625"/>
      <c r="H98" s="625"/>
      <c r="I98" s="625"/>
      <c r="J98" s="625"/>
      <c r="K98" s="625"/>
      <c r="L98" s="625"/>
      <c r="M98" s="625"/>
      <c r="N98" s="625"/>
      <c r="O98" s="625"/>
      <c r="P98" s="625"/>
      <c r="Q98" s="625"/>
      <c r="R98" s="625"/>
      <c r="S98" s="625"/>
      <c r="T98" s="625"/>
      <c r="U98" s="625"/>
      <c r="V98" s="625"/>
      <c r="W98" s="625"/>
      <c r="X98" s="625"/>
      <c r="Y98" s="625"/>
      <c r="Z98" s="625"/>
    </row>
    <row r="99">
      <c r="A99" s="625"/>
      <c r="B99" s="625"/>
      <c r="C99" s="625"/>
      <c r="D99" s="625"/>
      <c r="E99" s="625"/>
      <c r="F99" s="625"/>
      <c r="G99" s="625"/>
      <c r="H99" s="625"/>
      <c r="I99" s="625"/>
      <c r="J99" s="625"/>
      <c r="K99" s="625"/>
      <c r="L99" s="625"/>
      <c r="M99" s="625"/>
      <c r="N99" s="625"/>
      <c r="O99" s="625"/>
      <c r="P99" s="625"/>
      <c r="Q99" s="625"/>
      <c r="R99" s="625"/>
      <c r="S99" s="625"/>
      <c r="T99" s="625"/>
      <c r="U99" s="625"/>
      <c r="V99" s="625"/>
      <c r="W99" s="625"/>
      <c r="X99" s="625"/>
      <c r="Y99" s="625"/>
      <c r="Z99" s="625"/>
    </row>
    <row r="100">
      <c r="A100" s="625"/>
      <c r="B100" s="625"/>
      <c r="C100" s="625"/>
      <c r="D100" s="625"/>
      <c r="E100" s="625"/>
      <c r="F100" s="625"/>
      <c r="G100" s="625"/>
      <c r="H100" s="625"/>
      <c r="I100" s="625"/>
      <c r="J100" s="625"/>
      <c r="K100" s="625"/>
      <c r="L100" s="625"/>
      <c r="M100" s="625"/>
      <c r="N100" s="625"/>
      <c r="O100" s="625"/>
      <c r="P100" s="625"/>
      <c r="Q100" s="625"/>
      <c r="R100" s="625"/>
      <c r="S100" s="625"/>
      <c r="T100" s="625"/>
      <c r="U100" s="625"/>
      <c r="V100" s="625"/>
      <c r="W100" s="625"/>
      <c r="X100" s="625"/>
      <c r="Y100" s="625"/>
      <c r="Z100" s="625"/>
    </row>
    <row r="101">
      <c r="A101" s="625"/>
      <c r="B101" s="625"/>
      <c r="C101" s="625"/>
      <c r="D101" s="625"/>
      <c r="E101" s="625"/>
      <c r="F101" s="625"/>
      <c r="G101" s="625"/>
      <c r="H101" s="625"/>
      <c r="I101" s="625"/>
      <c r="J101" s="625"/>
      <c r="K101" s="625"/>
      <c r="L101" s="625"/>
      <c r="M101" s="625"/>
      <c r="N101" s="625"/>
      <c r="O101" s="625"/>
      <c r="P101" s="625"/>
      <c r="Q101" s="625"/>
      <c r="R101" s="625"/>
      <c r="S101" s="625"/>
      <c r="T101" s="625"/>
      <c r="U101" s="625"/>
      <c r="V101" s="625"/>
      <c r="W101" s="625"/>
      <c r="X101" s="625"/>
      <c r="Y101" s="625"/>
      <c r="Z101" s="625"/>
    </row>
    <row r="102">
      <c r="A102" s="625"/>
      <c r="B102" s="625"/>
      <c r="C102" s="625"/>
      <c r="D102" s="625"/>
      <c r="E102" s="625"/>
      <c r="F102" s="625"/>
      <c r="G102" s="625"/>
      <c r="H102" s="625"/>
      <c r="I102" s="625"/>
      <c r="J102" s="625"/>
      <c r="K102" s="625"/>
      <c r="L102" s="625"/>
      <c r="M102" s="625"/>
      <c r="N102" s="625"/>
      <c r="O102" s="625"/>
      <c r="P102" s="625"/>
      <c r="Q102" s="625"/>
      <c r="R102" s="625"/>
      <c r="S102" s="625"/>
      <c r="T102" s="625"/>
      <c r="U102" s="625"/>
      <c r="V102" s="625"/>
      <c r="W102" s="625"/>
      <c r="X102" s="625"/>
      <c r="Y102" s="625"/>
      <c r="Z102" s="625"/>
    </row>
    <row r="103">
      <c r="A103" s="625"/>
      <c r="B103" s="625"/>
      <c r="C103" s="625"/>
      <c r="D103" s="625"/>
      <c r="E103" s="625"/>
      <c r="F103" s="625"/>
      <c r="G103" s="625"/>
      <c r="H103" s="625"/>
      <c r="I103" s="625"/>
      <c r="J103" s="625"/>
      <c r="K103" s="625"/>
      <c r="L103" s="625"/>
      <c r="M103" s="625"/>
      <c r="N103" s="625"/>
      <c r="O103" s="625"/>
      <c r="P103" s="625"/>
      <c r="Q103" s="625"/>
      <c r="R103" s="625"/>
      <c r="S103" s="625"/>
      <c r="T103" s="625"/>
      <c r="U103" s="625"/>
      <c r="V103" s="625"/>
      <c r="W103" s="625"/>
      <c r="X103" s="625"/>
      <c r="Y103" s="625"/>
      <c r="Z103" s="625"/>
    </row>
    <row r="104">
      <c r="A104" s="625"/>
      <c r="B104" s="625"/>
      <c r="C104" s="625"/>
      <c r="D104" s="625"/>
      <c r="E104" s="625"/>
      <c r="F104" s="625"/>
      <c r="G104" s="625"/>
      <c r="H104" s="625"/>
      <c r="I104" s="625"/>
      <c r="J104" s="625"/>
      <c r="K104" s="625"/>
      <c r="L104" s="625"/>
      <c r="M104" s="625"/>
      <c r="N104" s="625"/>
      <c r="O104" s="625"/>
      <c r="P104" s="625"/>
      <c r="Q104" s="625"/>
      <c r="R104" s="625"/>
      <c r="S104" s="625"/>
      <c r="T104" s="625"/>
      <c r="U104" s="625"/>
      <c r="V104" s="625"/>
      <c r="W104" s="625"/>
      <c r="X104" s="625"/>
      <c r="Y104" s="625"/>
      <c r="Z104" s="625"/>
    </row>
    <row r="105">
      <c r="A105" s="625"/>
      <c r="B105" s="625"/>
      <c r="C105" s="625"/>
      <c r="D105" s="625"/>
      <c r="E105" s="625"/>
      <c r="F105" s="625"/>
      <c r="G105" s="625"/>
      <c r="H105" s="625"/>
      <c r="I105" s="625"/>
      <c r="J105" s="625"/>
      <c r="K105" s="625"/>
      <c r="L105" s="625"/>
      <c r="M105" s="625"/>
      <c r="N105" s="625"/>
      <c r="O105" s="625"/>
      <c r="P105" s="625"/>
      <c r="Q105" s="625"/>
      <c r="R105" s="625"/>
      <c r="S105" s="625"/>
      <c r="T105" s="625"/>
      <c r="U105" s="625"/>
      <c r="V105" s="625"/>
      <c r="W105" s="625"/>
      <c r="X105" s="625"/>
      <c r="Y105" s="625"/>
      <c r="Z105" s="625"/>
    </row>
    <row r="106">
      <c r="A106" s="625"/>
      <c r="B106" s="625"/>
      <c r="C106" s="625"/>
      <c r="D106" s="625"/>
      <c r="E106" s="625"/>
      <c r="F106" s="625"/>
      <c r="G106" s="625"/>
      <c r="H106" s="625"/>
      <c r="I106" s="625"/>
      <c r="J106" s="625"/>
      <c r="K106" s="625"/>
      <c r="L106" s="625"/>
      <c r="M106" s="625"/>
      <c r="N106" s="625"/>
      <c r="O106" s="625"/>
      <c r="P106" s="625"/>
      <c r="Q106" s="625"/>
      <c r="R106" s="625"/>
      <c r="S106" s="625"/>
      <c r="T106" s="625"/>
      <c r="U106" s="625"/>
      <c r="V106" s="625"/>
      <c r="W106" s="625"/>
      <c r="X106" s="625"/>
      <c r="Y106" s="625"/>
      <c r="Z106" s="625"/>
    </row>
    <row r="107">
      <c r="A107" s="625"/>
      <c r="B107" s="625"/>
      <c r="C107" s="625"/>
      <c r="D107" s="625"/>
      <c r="E107" s="625"/>
      <c r="F107" s="625"/>
      <c r="G107" s="625"/>
      <c r="H107" s="625"/>
      <c r="I107" s="625"/>
      <c r="J107" s="625"/>
      <c r="K107" s="625"/>
      <c r="L107" s="625"/>
      <c r="M107" s="625"/>
      <c r="N107" s="625"/>
      <c r="O107" s="625"/>
      <c r="P107" s="625"/>
      <c r="Q107" s="625"/>
      <c r="R107" s="625"/>
      <c r="S107" s="625"/>
      <c r="T107" s="625"/>
      <c r="U107" s="625"/>
      <c r="V107" s="625"/>
      <c r="W107" s="625"/>
      <c r="X107" s="625"/>
      <c r="Y107" s="625"/>
      <c r="Z107" s="625"/>
    </row>
    <row r="108">
      <c r="A108" s="625"/>
      <c r="B108" s="625"/>
      <c r="C108" s="625"/>
      <c r="D108" s="625"/>
      <c r="E108" s="625"/>
      <c r="F108" s="625"/>
      <c r="G108" s="625"/>
      <c r="H108" s="625"/>
      <c r="I108" s="625"/>
      <c r="J108" s="625"/>
      <c r="K108" s="625"/>
      <c r="L108" s="625"/>
      <c r="M108" s="625"/>
      <c r="N108" s="625"/>
      <c r="O108" s="625"/>
      <c r="P108" s="625"/>
      <c r="Q108" s="625"/>
      <c r="R108" s="625"/>
      <c r="S108" s="625"/>
      <c r="T108" s="625"/>
      <c r="U108" s="625"/>
      <c r="V108" s="625"/>
      <c r="W108" s="625"/>
      <c r="X108" s="625"/>
      <c r="Y108" s="625"/>
      <c r="Z108" s="625"/>
    </row>
    <row r="109">
      <c r="A109" s="625"/>
      <c r="B109" s="625"/>
      <c r="C109" s="625"/>
      <c r="D109" s="625"/>
      <c r="E109" s="625"/>
      <c r="F109" s="625"/>
      <c r="G109" s="625"/>
      <c r="H109" s="625"/>
      <c r="I109" s="625"/>
      <c r="J109" s="625"/>
      <c r="K109" s="625"/>
      <c r="L109" s="625"/>
      <c r="M109" s="625"/>
      <c r="N109" s="625"/>
      <c r="O109" s="625"/>
      <c r="P109" s="625"/>
      <c r="Q109" s="625"/>
      <c r="R109" s="625"/>
      <c r="S109" s="625"/>
      <c r="T109" s="625"/>
      <c r="U109" s="625"/>
      <c r="V109" s="625"/>
      <c r="W109" s="625"/>
      <c r="X109" s="625"/>
      <c r="Y109" s="625"/>
      <c r="Z109" s="625"/>
    </row>
    <row r="110">
      <c r="A110" s="625"/>
      <c r="B110" s="625"/>
      <c r="C110" s="625"/>
      <c r="D110" s="625"/>
      <c r="E110" s="625"/>
      <c r="F110" s="625"/>
      <c r="G110" s="625"/>
      <c r="H110" s="625"/>
      <c r="I110" s="625"/>
      <c r="J110" s="625"/>
      <c r="K110" s="625"/>
      <c r="L110" s="625"/>
      <c r="M110" s="625"/>
      <c r="N110" s="625"/>
      <c r="O110" s="625"/>
      <c r="P110" s="625"/>
      <c r="Q110" s="625"/>
      <c r="R110" s="625"/>
      <c r="S110" s="625"/>
      <c r="T110" s="625"/>
      <c r="U110" s="625"/>
      <c r="V110" s="625"/>
      <c r="W110" s="625"/>
      <c r="X110" s="625"/>
      <c r="Y110" s="625"/>
      <c r="Z110" s="625"/>
    </row>
    <row r="111">
      <c r="A111" s="625"/>
      <c r="B111" s="625"/>
      <c r="C111" s="625"/>
      <c r="D111" s="625"/>
      <c r="E111" s="625"/>
      <c r="F111" s="625"/>
      <c r="G111" s="625"/>
      <c r="H111" s="625"/>
      <c r="I111" s="625"/>
      <c r="J111" s="625"/>
      <c r="K111" s="625"/>
      <c r="L111" s="625"/>
      <c r="M111" s="625"/>
      <c r="N111" s="625"/>
      <c r="O111" s="625"/>
      <c r="P111" s="625"/>
      <c r="Q111" s="625"/>
      <c r="R111" s="625"/>
      <c r="S111" s="625"/>
      <c r="T111" s="625"/>
      <c r="U111" s="625"/>
      <c r="V111" s="625"/>
      <c r="W111" s="625"/>
      <c r="X111" s="625"/>
      <c r="Y111" s="625"/>
      <c r="Z111" s="625"/>
    </row>
    <row r="112">
      <c r="A112" s="625"/>
      <c r="B112" s="625"/>
      <c r="C112" s="625"/>
      <c r="D112" s="625"/>
      <c r="E112" s="625"/>
      <c r="F112" s="625"/>
      <c r="G112" s="625"/>
      <c r="H112" s="625"/>
      <c r="I112" s="625"/>
      <c r="J112" s="625"/>
      <c r="K112" s="625"/>
      <c r="L112" s="625"/>
      <c r="M112" s="625"/>
      <c r="N112" s="625"/>
      <c r="O112" s="625"/>
      <c r="P112" s="625"/>
      <c r="Q112" s="625"/>
      <c r="R112" s="625"/>
      <c r="S112" s="625"/>
      <c r="T112" s="625"/>
      <c r="U112" s="625"/>
      <c r="V112" s="625"/>
      <c r="W112" s="625"/>
      <c r="X112" s="625"/>
      <c r="Y112" s="625"/>
      <c r="Z112" s="625"/>
    </row>
    <row r="113">
      <c r="A113" s="625"/>
      <c r="B113" s="625"/>
      <c r="C113" s="625"/>
      <c r="D113" s="625"/>
      <c r="E113" s="625"/>
      <c r="F113" s="625"/>
      <c r="G113" s="625"/>
      <c r="H113" s="625"/>
      <c r="I113" s="625"/>
      <c r="J113" s="625"/>
      <c r="K113" s="625"/>
      <c r="L113" s="625"/>
      <c r="M113" s="625"/>
      <c r="N113" s="625"/>
      <c r="O113" s="625"/>
      <c r="P113" s="625"/>
      <c r="Q113" s="625"/>
      <c r="R113" s="625"/>
      <c r="S113" s="625"/>
      <c r="T113" s="625"/>
      <c r="U113" s="625"/>
      <c r="V113" s="625"/>
      <c r="W113" s="625"/>
      <c r="X113" s="625"/>
      <c r="Y113" s="625"/>
      <c r="Z113" s="625"/>
    </row>
    <row r="114">
      <c r="A114" s="625"/>
      <c r="B114" s="625"/>
      <c r="C114" s="625"/>
      <c r="D114" s="625"/>
      <c r="E114" s="625"/>
      <c r="F114" s="625"/>
      <c r="G114" s="625"/>
      <c r="H114" s="625"/>
      <c r="I114" s="625"/>
      <c r="J114" s="625"/>
      <c r="K114" s="625"/>
      <c r="L114" s="625"/>
      <c r="M114" s="625"/>
      <c r="N114" s="625"/>
      <c r="O114" s="625"/>
      <c r="P114" s="625"/>
      <c r="Q114" s="625"/>
      <c r="R114" s="625"/>
      <c r="S114" s="625"/>
      <c r="T114" s="625"/>
      <c r="U114" s="625"/>
      <c r="V114" s="625"/>
      <c r="W114" s="625"/>
      <c r="X114" s="625"/>
      <c r="Y114" s="625"/>
      <c r="Z114" s="625"/>
    </row>
    <row r="115">
      <c r="A115" s="625"/>
      <c r="B115" s="625"/>
      <c r="C115" s="625"/>
      <c r="D115" s="625"/>
      <c r="E115" s="625"/>
      <c r="F115" s="625"/>
      <c r="G115" s="625"/>
      <c r="H115" s="625"/>
      <c r="I115" s="625"/>
      <c r="J115" s="625"/>
      <c r="K115" s="625"/>
      <c r="L115" s="625"/>
      <c r="M115" s="625"/>
      <c r="N115" s="625"/>
      <c r="O115" s="625"/>
      <c r="P115" s="625"/>
      <c r="Q115" s="625"/>
      <c r="R115" s="625"/>
      <c r="S115" s="625"/>
      <c r="T115" s="625"/>
      <c r="U115" s="625"/>
      <c r="V115" s="625"/>
      <c r="W115" s="625"/>
      <c r="X115" s="625"/>
      <c r="Y115" s="625"/>
      <c r="Z115" s="625"/>
    </row>
    <row r="116">
      <c r="A116" s="625"/>
      <c r="B116" s="625"/>
      <c r="C116" s="625"/>
      <c r="D116" s="625"/>
      <c r="E116" s="625"/>
      <c r="F116" s="625"/>
      <c r="G116" s="625"/>
      <c r="H116" s="625"/>
      <c r="I116" s="625"/>
      <c r="J116" s="625"/>
      <c r="K116" s="625"/>
      <c r="L116" s="625"/>
      <c r="M116" s="625"/>
      <c r="N116" s="625"/>
      <c r="O116" s="625"/>
      <c r="P116" s="625"/>
      <c r="Q116" s="625"/>
      <c r="R116" s="625"/>
      <c r="S116" s="625"/>
      <c r="T116" s="625"/>
      <c r="U116" s="625"/>
      <c r="V116" s="625"/>
      <c r="W116" s="625"/>
      <c r="X116" s="625"/>
      <c r="Y116" s="625"/>
      <c r="Z116" s="625"/>
    </row>
    <row r="117">
      <c r="A117" s="625"/>
      <c r="B117" s="625"/>
      <c r="C117" s="625"/>
      <c r="D117" s="625"/>
      <c r="E117" s="625"/>
      <c r="F117" s="625"/>
      <c r="G117" s="625"/>
      <c r="H117" s="625"/>
      <c r="I117" s="625"/>
      <c r="J117" s="625"/>
      <c r="K117" s="625"/>
      <c r="L117" s="625"/>
      <c r="M117" s="625"/>
      <c r="N117" s="625"/>
      <c r="O117" s="625"/>
      <c r="P117" s="625"/>
      <c r="Q117" s="625"/>
      <c r="R117" s="625"/>
      <c r="S117" s="625"/>
      <c r="T117" s="625"/>
      <c r="U117" s="625"/>
      <c r="V117" s="625"/>
      <c r="W117" s="625"/>
      <c r="X117" s="625"/>
      <c r="Y117" s="625"/>
      <c r="Z117" s="625"/>
    </row>
    <row r="118">
      <c r="A118" s="625"/>
      <c r="B118" s="625"/>
      <c r="C118" s="625"/>
      <c r="D118" s="625"/>
      <c r="E118" s="625"/>
      <c r="F118" s="625"/>
      <c r="G118" s="625"/>
      <c r="H118" s="625"/>
      <c r="I118" s="625"/>
      <c r="J118" s="625"/>
      <c r="K118" s="625"/>
      <c r="L118" s="625"/>
      <c r="M118" s="625"/>
      <c r="N118" s="625"/>
      <c r="O118" s="625"/>
      <c r="P118" s="625"/>
      <c r="Q118" s="625"/>
      <c r="R118" s="625"/>
      <c r="S118" s="625"/>
      <c r="T118" s="625"/>
      <c r="U118" s="625"/>
      <c r="V118" s="625"/>
      <c r="W118" s="625"/>
      <c r="X118" s="625"/>
      <c r="Y118" s="625"/>
      <c r="Z118" s="625"/>
    </row>
    <row r="119">
      <c r="A119" s="625"/>
      <c r="B119" s="625"/>
      <c r="C119" s="625"/>
      <c r="D119" s="625"/>
      <c r="E119" s="625"/>
      <c r="F119" s="625"/>
      <c r="G119" s="625"/>
      <c r="H119" s="625"/>
      <c r="I119" s="625"/>
      <c r="J119" s="625"/>
      <c r="K119" s="625"/>
      <c r="L119" s="625"/>
      <c r="M119" s="625"/>
      <c r="N119" s="625"/>
      <c r="O119" s="625"/>
      <c r="P119" s="625"/>
      <c r="Q119" s="625"/>
      <c r="R119" s="625"/>
      <c r="S119" s="625"/>
      <c r="T119" s="625"/>
      <c r="U119" s="625"/>
      <c r="V119" s="625"/>
      <c r="W119" s="625"/>
      <c r="X119" s="625"/>
      <c r="Y119" s="625"/>
      <c r="Z119" s="625"/>
    </row>
    <row r="120">
      <c r="A120" s="625"/>
      <c r="B120" s="625"/>
      <c r="C120" s="625"/>
      <c r="D120" s="625"/>
      <c r="E120" s="625"/>
      <c r="F120" s="625"/>
      <c r="G120" s="625"/>
      <c r="H120" s="625"/>
      <c r="I120" s="625"/>
      <c r="J120" s="625"/>
      <c r="K120" s="625"/>
      <c r="L120" s="625"/>
      <c r="M120" s="625"/>
      <c r="N120" s="625"/>
      <c r="O120" s="625"/>
      <c r="P120" s="625"/>
      <c r="Q120" s="625"/>
      <c r="R120" s="625"/>
      <c r="S120" s="625"/>
      <c r="T120" s="625"/>
      <c r="U120" s="625"/>
      <c r="V120" s="625"/>
      <c r="W120" s="625"/>
      <c r="X120" s="625"/>
      <c r="Y120" s="625"/>
      <c r="Z120" s="625"/>
    </row>
    <row r="121">
      <c r="A121" s="625"/>
      <c r="B121" s="625"/>
      <c r="C121" s="625"/>
      <c r="D121" s="625"/>
      <c r="E121" s="625"/>
      <c r="F121" s="625"/>
      <c r="G121" s="625"/>
      <c r="H121" s="625"/>
      <c r="I121" s="625"/>
      <c r="J121" s="625"/>
      <c r="K121" s="625"/>
      <c r="L121" s="625"/>
      <c r="M121" s="625"/>
      <c r="N121" s="625"/>
      <c r="O121" s="625"/>
      <c r="P121" s="625"/>
      <c r="Q121" s="625"/>
      <c r="R121" s="625"/>
      <c r="S121" s="625"/>
      <c r="T121" s="625"/>
      <c r="U121" s="625"/>
      <c r="V121" s="625"/>
      <c r="W121" s="625"/>
      <c r="X121" s="625"/>
      <c r="Y121" s="625"/>
      <c r="Z121" s="625"/>
    </row>
    <row r="122">
      <c r="A122" s="625"/>
      <c r="B122" s="625"/>
      <c r="C122" s="625"/>
      <c r="D122" s="625"/>
      <c r="E122" s="625"/>
      <c r="F122" s="625"/>
      <c r="G122" s="625"/>
      <c r="H122" s="625"/>
      <c r="I122" s="625"/>
      <c r="J122" s="625"/>
      <c r="K122" s="625"/>
      <c r="L122" s="625"/>
      <c r="M122" s="625"/>
      <c r="N122" s="625"/>
      <c r="O122" s="625"/>
      <c r="P122" s="625"/>
      <c r="Q122" s="625"/>
      <c r="R122" s="625"/>
      <c r="S122" s="625"/>
      <c r="T122" s="625"/>
      <c r="U122" s="625"/>
      <c r="V122" s="625"/>
      <c r="W122" s="625"/>
      <c r="X122" s="625"/>
      <c r="Y122" s="625"/>
      <c r="Z122" s="625"/>
    </row>
    <row r="123">
      <c r="A123" s="625"/>
      <c r="B123" s="625"/>
      <c r="C123" s="625"/>
      <c r="D123" s="625"/>
      <c r="E123" s="625"/>
      <c r="F123" s="625"/>
      <c r="G123" s="625"/>
      <c r="H123" s="625"/>
      <c r="I123" s="625"/>
      <c r="J123" s="625"/>
      <c r="K123" s="625"/>
      <c r="L123" s="625"/>
      <c r="M123" s="625"/>
      <c r="N123" s="625"/>
      <c r="O123" s="625"/>
      <c r="P123" s="625"/>
      <c r="Q123" s="625"/>
      <c r="R123" s="625"/>
      <c r="S123" s="625"/>
      <c r="T123" s="625"/>
      <c r="U123" s="625"/>
      <c r="V123" s="625"/>
      <c r="W123" s="625"/>
      <c r="X123" s="625"/>
      <c r="Y123" s="625"/>
      <c r="Z123" s="625"/>
    </row>
    <row r="124">
      <c r="A124" s="625"/>
      <c r="B124" s="625"/>
      <c r="C124" s="625"/>
      <c r="D124" s="625"/>
      <c r="E124" s="625"/>
      <c r="F124" s="625"/>
      <c r="G124" s="625"/>
      <c r="H124" s="625"/>
      <c r="I124" s="625"/>
      <c r="J124" s="625"/>
      <c r="K124" s="625"/>
      <c r="L124" s="625"/>
      <c r="M124" s="625"/>
      <c r="N124" s="625"/>
      <c r="O124" s="625"/>
      <c r="P124" s="625"/>
      <c r="Q124" s="625"/>
      <c r="R124" s="625"/>
      <c r="S124" s="625"/>
      <c r="T124" s="625"/>
      <c r="U124" s="625"/>
      <c r="V124" s="625"/>
      <c r="W124" s="625"/>
      <c r="X124" s="625"/>
      <c r="Y124" s="625"/>
      <c r="Z124" s="625"/>
    </row>
    <row r="125">
      <c r="A125" s="625"/>
      <c r="B125" s="625"/>
      <c r="C125" s="625"/>
      <c r="D125" s="625"/>
      <c r="E125" s="625"/>
      <c r="F125" s="625"/>
      <c r="G125" s="625"/>
      <c r="H125" s="625"/>
      <c r="I125" s="625"/>
      <c r="J125" s="625"/>
      <c r="K125" s="625"/>
      <c r="L125" s="625"/>
      <c r="M125" s="625"/>
      <c r="N125" s="625"/>
      <c r="O125" s="625"/>
      <c r="P125" s="625"/>
      <c r="Q125" s="625"/>
      <c r="R125" s="625"/>
      <c r="S125" s="625"/>
      <c r="T125" s="625"/>
      <c r="U125" s="625"/>
      <c r="V125" s="625"/>
      <c r="W125" s="625"/>
      <c r="X125" s="625"/>
      <c r="Y125" s="625"/>
      <c r="Z125" s="625"/>
    </row>
    <row r="126">
      <c r="A126" s="625"/>
      <c r="B126" s="625"/>
      <c r="C126" s="625"/>
      <c r="D126" s="625"/>
      <c r="E126" s="625"/>
      <c r="F126" s="625"/>
      <c r="G126" s="625"/>
      <c r="H126" s="625"/>
      <c r="I126" s="625"/>
      <c r="J126" s="625"/>
      <c r="K126" s="625"/>
      <c r="L126" s="625"/>
      <c r="M126" s="625"/>
      <c r="N126" s="625"/>
      <c r="O126" s="625"/>
      <c r="P126" s="625"/>
      <c r="Q126" s="625"/>
      <c r="R126" s="625"/>
      <c r="S126" s="625"/>
      <c r="T126" s="625"/>
      <c r="U126" s="625"/>
      <c r="V126" s="625"/>
      <c r="W126" s="625"/>
      <c r="X126" s="625"/>
      <c r="Y126" s="625"/>
      <c r="Z126" s="625"/>
    </row>
    <row r="127">
      <c r="A127" s="625"/>
      <c r="B127" s="625"/>
      <c r="C127" s="625"/>
      <c r="D127" s="625"/>
      <c r="E127" s="625"/>
      <c r="F127" s="625"/>
      <c r="G127" s="625"/>
      <c r="H127" s="625"/>
      <c r="I127" s="625"/>
      <c r="J127" s="625"/>
      <c r="K127" s="625"/>
      <c r="L127" s="625"/>
      <c r="M127" s="625"/>
      <c r="N127" s="625"/>
      <c r="O127" s="625"/>
      <c r="P127" s="625"/>
      <c r="Q127" s="625"/>
      <c r="R127" s="625"/>
      <c r="S127" s="625"/>
      <c r="T127" s="625"/>
      <c r="U127" s="625"/>
      <c r="V127" s="625"/>
      <c r="W127" s="625"/>
      <c r="X127" s="625"/>
      <c r="Y127" s="625"/>
      <c r="Z127" s="625"/>
    </row>
    <row r="128">
      <c r="A128" s="625"/>
      <c r="B128" s="625"/>
      <c r="C128" s="625"/>
      <c r="D128" s="625"/>
      <c r="E128" s="625"/>
      <c r="F128" s="625"/>
      <c r="G128" s="625"/>
      <c r="H128" s="625"/>
      <c r="I128" s="625"/>
      <c r="J128" s="625"/>
      <c r="K128" s="625"/>
      <c r="L128" s="625"/>
      <c r="M128" s="625"/>
      <c r="N128" s="625"/>
      <c r="O128" s="625"/>
      <c r="P128" s="625"/>
      <c r="Q128" s="625"/>
      <c r="R128" s="625"/>
      <c r="S128" s="625"/>
      <c r="T128" s="625"/>
      <c r="U128" s="625"/>
      <c r="V128" s="625"/>
      <c r="W128" s="625"/>
      <c r="X128" s="625"/>
      <c r="Y128" s="625"/>
      <c r="Z128" s="625"/>
    </row>
    <row r="129">
      <c r="A129" s="625"/>
      <c r="B129" s="625"/>
      <c r="C129" s="625"/>
      <c r="D129" s="625"/>
      <c r="E129" s="625"/>
      <c r="F129" s="625"/>
      <c r="G129" s="625"/>
      <c r="H129" s="625"/>
      <c r="I129" s="625"/>
      <c r="J129" s="625"/>
      <c r="K129" s="625"/>
      <c r="L129" s="625"/>
      <c r="M129" s="625"/>
      <c r="N129" s="625"/>
      <c r="O129" s="625"/>
      <c r="P129" s="625"/>
      <c r="Q129" s="625"/>
      <c r="R129" s="625"/>
      <c r="S129" s="625"/>
      <c r="T129" s="625"/>
      <c r="U129" s="625"/>
      <c r="V129" s="625"/>
      <c r="W129" s="625"/>
      <c r="X129" s="625"/>
      <c r="Y129" s="625"/>
      <c r="Z129" s="625"/>
    </row>
    <row r="130">
      <c r="A130" s="625"/>
      <c r="B130" s="625"/>
      <c r="C130" s="625"/>
      <c r="D130" s="625"/>
      <c r="E130" s="625"/>
      <c r="F130" s="625"/>
      <c r="G130" s="625"/>
      <c r="H130" s="625"/>
      <c r="I130" s="625"/>
      <c r="J130" s="625"/>
      <c r="K130" s="625"/>
      <c r="L130" s="625"/>
      <c r="M130" s="625"/>
      <c r="N130" s="625"/>
      <c r="O130" s="625"/>
      <c r="P130" s="625"/>
      <c r="Q130" s="625"/>
      <c r="R130" s="625"/>
      <c r="S130" s="625"/>
      <c r="T130" s="625"/>
      <c r="U130" s="625"/>
      <c r="V130" s="625"/>
      <c r="W130" s="625"/>
      <c r="X130" s="625"/>
      <c r="Y130" s="625"/>
      <c r="Z130" s="625"/>
    </row>
    <row r="131">
      <c r="A131" s="625"/>
      <c r="B131" s="625"/>
      <c r="C131" s="625"/>
      <c r="D131" s="625"/>
      <c r="E131" s="625"/>
      <c r="F131" s="625"/>
      <c r="G131" s="625"/>
      <c r="H131" s="625"/>
      <c r="I131" s="625"/>
      <c r="J131" s="625"/>
      <c r="K131" s="625"/>
      <c r="L131" s="625"/>
      <c r="M131" s="625"/>
      <c r="N131" s="625"/>
      <c r="O131" s="625"/>
      <c r="P131" s="625"/>
      <c r="Q131" s="625"/>
      <c r="R131" s="625"/>
      <c r="S131" s="625"/>
      <c r="T131" s="625"/>
      <c r="U131" s="625"/>
      <c r="V131" s="625"/>
      <c r="W131" s="625"/>
      <c r="X131" s="625"/>
      <c r="Y131" s="625"/>
      <c r="Z131" s="625"/>
    </row>
    <row r="132">
      <c r="A132" s="625"/>
      <c r="B132" s="625"/>
      <c r="C132" s="625"/>
      <c r="D132" s="625"/>
      <c r="E132" s="625"/>
      <c r="F132" s="625"/>
      <c r="G132" s="625"/>
      <c r="H132" s="625"/>
      <c r="I132" s="625"/>
      <c r="J132" s="625"/>
      <c r="K132" s="625"/>
      <c r="L132" s="625"/>
      <c r="M132" s="625"/>
      <c r="N132" s="625"/>
      <c r="O132" s="625"/>
      <c r="P132" s="625"/>
      <c r="Q132" s="625"/>
      <c r="R132" s="625"/>
      <c r="S132" s="625"/>
      <c r="T132" s="625"/>
      <c r="U132" s="625"/>
      <c r="V132" s="625"/>
      <c r="W132" s="625"/>
      <c r="X132" s="625"/>
      <c r="Y132" s="625"/>
      <c r="Z132" s="625"/>
    </row>
    <row r="133">
      <c r="A133" s="625"/>
      <c r="B133" s="625"/>
      <c r="C133" s="625"/>
      <c r="D133" s="625"/>
      <c r="E133" s="625"/>
      <c r="F133" s="625"/>
      <c r="G133" s="625"/>
      <c r="H133" s="625"/>
      <c r="I133" s="625"/>
      <c r="J133" s="625"/>
      <c r="K133" s="625"/>
      <c r="L133" s="625"/>
      <c r="M133" s="625"/>
      <c r="N133" s="625"/>
      <c r="O133" s="625"/>
      <c r="P133" s="625"/>
      <c r="Q133" s="625"/>
      <c r="R133" s="625"/>
      <c r="S133" s="625"/>
      <c r="T133" s="625"/>
      <c r="U133" s="625"/>
      <c r="V133" s="625"/>
      <c r="W133" s="625"/>
      <c r="X133" s="625"/>
      <c r="Y133" s="625"/>
      <c r="Z133" s="625"/>
    </row>
    <row r="134">
      <c r="A134" s="625"/>
      <c r="B134" s="625"/>
      <c r="C134" s="625"/>
      <c r="D134" s="625"/>
      <c r="E134" s="625"/>
      <c r="F134" s="625"/>
      <c r="G134" s="625"/>
      <c r="H134" s="625"/>
      <c r="I134" s="625"/>
      <c r="J134" s="625"/>
      <c r="K134" s="625"/>
      <c r="L134" s="625"/>
      <c r="M134" s="625"/>
      <c r="N134" s="625"/>
      <c r="O134" s="625"/>
      <c r="P134" s="625"/>
      <c r="Q134" s="625"/>
      <c r="R134" s="625"/>
      <c r="S134" s="625"/>
      <c r="T134" s="625"/>
      <c r="U134" s="625"/>
      <c r="V134" s="625"/>
      <c r="W134" s="625"/>
      <c r="X134" s="625"/>
      <c r="Y134" s="625"/>
      <c r="Z134" s="625"/>
    </row>
    <row r="135">
      <c r="A135" s="625"/>
      <c r="B135" s="625"/>
      <c r="C135" s="625"/>
      <c r="D135" s="625"/>
      <c r="E135" s="625"/>
      <c r="F135" s="625"/>
      <c r="G135" s="625"/>
      <c r="H135" s="625"/>
      <c r="I135" s="625"/>
      <c r="J135" s="625"/>
      <c r="K135" s="625"/>
      <c r="L135" s="625"/>
      <c r="M135" s="625"/>
      <c r="N135" s="625"/>
      <c r="O135" s="625"/>
      <c r="P135" s="625"/>
      <c r="Q135" s="625"/>
      <c r="R135" s="625"/>
      <c r="S135" s="625"/>
      <c r="T135" s="625"/>
      <c r="U135" s="625"/>
      <c r="V135" s="625"/>
      <c r="W135" s="625"/>
      <c r="X135" s="625"/>
      <c r="Y135" s="625"/>
      <c r="Z135" s="625"/>
    </row>
    <row r="136">
      <c r="A136" s="625"/>
      <c r="B136" s="625"/>
      <c r="C136" s="625"/>
      <c r="D136" s="625"/>
      <c r="E136" s="625"/>
      <c r="F136" s="625"/>
      <c r="G136" s="625"/>
      <c r="H136" s="625"/>
      <c r="I136" s="625"/>
      <c r="J136" s="625"/>
      <c r="K136" s="625"/>
      <c r="L136" s="625"/>
      <c r="M136" s="625"/>
      <c r="N136" s="625"/>
      <c r="O136" s="625"/>
      <c r="P136" s="625"/>
      <c r="Q136" s="625"/>
      <c r="R136" s="625"/>
      <c r="S136" s="625"/>
      <c r="T136" s="625"/>
      <c r="U136" s="625"/>
      <c r="V136" s="625"/>
      <c r="W136" s="625"/>
      <c r="X136" s="625"/>
      <c r="Y136" s="625"/>
      <c r="Z136" s="625"/>
    </row>
    <row r="137">
      <c r="A137" s="625"/>
      <c r="B137" s="625"/>
      <c r="C137" s="625"/>
      <c r="D137" s="625"/>
      <c r="E137" s="625"/>
      <c r="F137" s="625"/>
      <c r="G137" s="625"/>
      <c r="H137" s="625"/>
      <c r="I137" s="625"/>
      <c r="J137" s="625"/>
      <c r="K137" s="625"/>
      <c r="L137" s="625"/>
      <c r="M137" s="625"/>
      <c r="N137" s="625"/>
      <c r="O137" s="625"/>
      <c r="P137" s="625"/>
      <c r="Q137" s="625"/>
      <c r="R137" s="625"/>
      <c r="S137" s="625"/>
      <c r="T137" s="625"/>
      <c r="U137" s="625"/>
      <c r="V137" s="625"/>
      <c r="W137" s="625"/>
      <c r="X137" s="625"/>
      <c r="Y137" s="625"/>
      <c r="Z137" s="625"/>
    </row>
    <row r="138">
      <c r="A138" s="625"/>
      <c r="B138" s="625"/>
      <c r="C138" s="625"/>
      <c r="D138" s="625"/>
      <c r="E138" s="625"/>
      <c r="F138" s="625"/>
      <c r="G138" s="625"/>
      <c r="H138" s="625"/>
      <c r="I138" s="625"/>
      <c r="J138" s="625"/>
      <c r="K138" s="625"/>
      <c r="L138" s="625"/>
      <c r="M138" s="625"/>
      <c r="N138" s="625"/>
      <c r="O138" s="625"/>
      <c r="P138" s="625"/>
      <c r="Q138" s="625"/>
      <c r="R138" s="625"/>
      <c r="S138" s="625"/>
      <c r="T138" s="625"/>
      <c r="U138" s="625"/>
      <c r="V138" s="625"/>
      <c r="W138" s="625"/>
      <c r="X138" s="625"/>
      <c r="Y138" s="625"/>
      <c r="Z138" s="625"/>
    </row>
    <row r="139">
      <c r="A139" s="625"/>
      <c r="B139" s="625"/>
      <c r="C139" s="625"/>
      <c r="D139" s="625"/>
      <c r="E139" s="625"/>
      <c r="F139" s="625"/>
      <c r="G139" s="625"/>
      <c r="H139" s="625"/>
      <c r="I139" s="625"/>
      <c r="J139" s="625"/>
      <c r="K139" s="625"/>
      <c r="L139" s="625"/>
      <c r="M139" s="625"/>
      <c r="N139" s="625"/>
      <c r="O139" s="625"/>
      <c r="P139" s="625"/>
      <c r="Q139" s="625"/>
      <c r="R139" s="625"/>
      <c r="S139" s="625"/>
      <c r="T139" s="625"/>
      <c r="U139" s="625"/>
      <c r="V139" s="625"/>
      <c r="W139" s="625"/>
      <c r="X139" s="625"/>
      <c r="Y139" s="625"/>
      <c r="Z139" s="625"/>
    </row>
    <row r="140">
      <c r="A140" s="625"/>
      <c r="B140" s="625"/>
      <c r="C140" s="625"/>
      <c r="D140" s="625"/>
      <c r="E140" s="625"/>
      <c r="F140" s="625"/>
      <c r="G140" s="625"/>
      <c r="H140" s="625"/>
      <c r="I140" s="625"/>
      <c r="J140" s="625"/>
      <c r="K140" s="625"/>
      <c r="L140" s="625"/>
      <c r="M140" s="625"/>
      <c r="N140" s="625"/>
      <c r="O140" s="625"/>
      <c r="P140" s="625"/>
      <c r="Q140" s="625"/>
      <c r="R140" s="625"/>
      <c r="S140" s="625"/>
      <c r="T140" s="625"/>
      <c r="U140" s="625"/>
      <c r="V140" s="625"/>
      <c r="W140" s="625"/>
      <c r="X140" s="625"/>
      <c r="Y140" s="625"/>
      <c r="Z140" s="625"/>
    </row>
    <row r="141">
      <c r="A141" s="625"/>
      <c r="B141" s="625"/>
      <c r="C141" s="625"/>
      <c r="D141" s="625"/>
      <c r="E141" s="625"/>
      <c r="F141" s="625"/>
      <c r="G141" s="625"/>
      <c r="H141" s="625"/>
      <c r="I141" s="625"/>
      <c r="J141" s="625"/>
      <c r="K141" s="625"/>
      <c r="L141" s="625"/>
      <c r="M141" s="625"/>
      <c r="N141" s="625"/>
      <c r="O141" s="625"/>
      <c r="P141" s="625"/>
      <c r="Q141" s="625"/>
      <c r="R141" s="625"/>
      <c r="S141" s="625"/>
      <c r="T141" s="625"/>
      <c r="U141" s="625"/>
      <c r="V141" s="625"/>
      <c r="W141" s="625"/>
      <c r="X141" s="625"/>
      <c r="Y141" s="625"/>
      <c r="Z141" s="625"/>
    </row>
    <row r="142">
      <c r="A142" s="625"/>
      <c r="B142" s="625"/>
      <c r="C142" s="625"/>
      <c r="D142" s="625"/>
      <c r="E142" s="625"/>
      <c r="F142" s="625"/>
      <c r="G142" s="625"/>
      <c r="H142" s="625"/>
      <c r="I142" s="625"/>
      <c r="J142" s="625"/>
      <c r="K142" s="625"/>
      <c r="L142" s="625"/>
      <c r="M142" s="625"/>
      <c r="N142" s="625"/>
      <c r="O142" s="625"/>
      <c r="P142" s="625"/>
      <c r="Q142" s="625"/>
      <c r="R142" s="625"/>
      <c r="S142" s="625"/>
      <c r="T142" s="625"/>
      <c r="U142" s="625"/>
      <c r="V142" s="625"/>
      <c r="W142" s="625"/>
      <c r="X142" s="625"/>
      <c r="Y142" s="625"/>
      <c r="Z142" s="625"/>
    </row>
    <row r="143">
      <c r="A143" s="625"/>
      <c r="B143" s="625"/>
      <c r="C143" s="625"/>
      <c r="D143" s="625"/>
      <c r="E143" s="625"/>
      <c r="F143" s="625"/>
      <c r="G143" s="625"/>
      <c r="H143" s="625"/>
      <c r="I143" s="625"/>
      <c r="J143" s="625"/>
      <c r="K143" s="625"/>
      <c r="L143" s="625"/>
      <c r="M143" s="625"/>
      <c r="N143" s="625"/>
      <c r="O143" s="625"/>
      <c r="P143" s="625"/>
      <c r="Q143" s="625"/>
      <c r="R143" s="625"/>
      <c r="S143" s="625"/>
      <c r="T143" s="625"/>
      <c r="U143" s="625"/>
      <c r="V143" s="625"/>
      <c r="W143" s="625"/>
      <c r="X143" s="625"/>
      <c r="Y143" s="625"/>
      <c r="Z143" s="625"/>
    </row>
    <row r="144">
      <c r="A144" s="625"/>
      <c r="B144" s="625"/>
      <c r="C144" s="625"/>
      <c r="D144" s="625"/>
      <c r="E144" s="625"/>
      <c r="F144" s="625"/>
      <c r="G144" s="625"/>
      <c r="H144" s="625"/>
      <c r="I144" s="625"/>
      <c r="J144" s="625"/>
      <c r="K144" s="625"/>
      <c r="L144" s="625"/>
      <c r="M144" s="625"/>
      <c r="N144" s="625"/>
      <c r="O144" s="625"/>
      <c r="P144" s="625"/>
      <c r="Q144" s="625"/>
      <c r="R144" s="625"/>
      <c r="S144" s="625"/>
      <c r="T144" s="625"/>
      <c r="U144" s="625"/>
      <c r="V144" s="625"/>
      <c r="W144" s="625"/>
      <c r="X144" s="625"/>
      <c r="Y144" s="625"/>
      <c r="Z144" s="625"/>
    </row>
    <row r="145">
      <c r="A145" s="625"/>
      <c r="B145" s="625"/>
      <c r="C145" s="625"/>
      <c r="D145" s="625"/>
      <c r="E145" s="625"/>
      <c r="F145" s="625"/>
      <c r="G145" s="625"/>
      <c r="H145" s="625"/>
      <c r="I145" s="625"/>
      <c r="J145" s="625"/>
      <c r="K145" s="625"/>
      <c r="L145" s="625"/>
      <c r="M145" s="625"/>
      <c r="N145" s="625"/>
      <c r="O145" s="625"/>
      <c r="P145" s="625"/>
      <c r="Q145" s="625"/>
      <c r="R145" s="625"/>
      <c r="S145" s="625"/>
      <c r="T145" s="625"/>
      <c r="U145" s="625"/>
      <c r="V145" s="625"/>
      <c r="W145" s="625"/>
      <c r="X145" s="625"/>
      <c r="Y145" s="625"/>
      <c r="Z145" s="625"/>
    </row>
    <row r="146">
      <c r="A146" s="625"/>
      <c r="B146" s="625"/>
      <c r="C146" s="625"/>
      <c r="D146" s="625"/>
      <c r="E146" s="625"/>
      <c r="F146" s="625"/>
      <c r="G146" s="625"/>
      <c r="H146" s="625"/>
      <c r="I146" s="625"/>
      <c r="J146" s="625"/>
      <c r="K146" s="625"/>
      <c r="L146" s="625"/>
      <c r="M146" s="625"/>
      <c r="N146" s="625"/>
      <c r="O146" s="625"/>
      <c r="P146" s="625"/>
      <c r="Q146" s="625"/>
      <c r="R146" s="625"/>
      <c r="S146" s="625"/>
      <c r="T146" s="625"/>
      <c r="U146" s="625"/>
      <c r="V146" s="625"/>
      <c r="W146" s="625"/>
      <c r="X146" s="625"/>
      <c r="Y146" s="625"/>
      <c r="Z146" s="625"/>
    </row>
    <row r="147">
      <c r="A147" s="625"/>
      <c r="B147" s="625"/>
      <c r="C147" s="625"/>
      <c r="D147" s="625"/>
      <c r="E147" s="625"/>
      <c r="F147" s="625"/>
      <c r="G147" s="625"/>
      <c r="H147" s="625"/>
      <c r="I147" s="625"/>
      <c r="J147" s="625"/>
      <c r="K147" s="625"/>
      <c r="L147" s="625"/>
      <c r="M147" s="625"/>
      <c r="N147" s="625"/>
      <c r="O147" s="625"/>
      <c r="P147" s="625"/>
      <c r="Q147" s="625"/>
      <c r="R147" s="625"/>
      <c r="S147" s="625"/>
      <c r="T147" s="625"/>
      <c r="U147" s="625"/>
      <c r="V147" s="625"/>
      <c r="W147" s="625"/>
      <c r="X147" s="625"/>
      <c r="Y147" s="625"/>
      <c r="Z147" s="625"/>
    </row>
    <row r="148">
      <c r="A148" s="625"/>
      <c r="B148" s="625"/>
      <c r="C148" s="625"/>
      <c r="D148" s="625"/>
      <c r="E148" s="625"/>
      <c r="F148" s="625"/>
      <c r="G148" s="625"/>
      <c r="H148" s="625"/>
      <c r="I148" s="625"/>
      <c r="J148" s="625"/>
      <c r="K148" s="625"/>
      <c r="L148" s="625"/>
      <c r="M148" s="625"/>
      <c r="N148" s="625"/>
      <c r="O148" s="625"/>
      <c r="P148" s="625"/>
      <c r="Q148" s="625"/>
      <c r="R148" s="625"/>
      <c r="S148" s="625"/>
      <c r="T148" s="625"/>
      <c r="U148" s="625"/>
      <c r="V148" s="625"/>
      <c r="W148" s="625"/>
      <c r="X148" s="625"/>
      <c r="Y148" s="625"/>
      <c r="Z148" s="625"/>
    </row>
    <row r="149">
      <c r="A149" s="625"/>
      <c r="B149" s="625"/>
      <c r="C149" s="625"/>
      <c r="D149" s="625"/>
      <c r="E149" s="625"/>
      <c r="F149" s="625"/>
      <c r="G149" s="625"/>
      <c r="H149" s="625"/>
      <c r="I149" s="625"/>
      <c r="J149" s="625"/>
      <c r="K149" s="625"/>
      <c r="L149" s="625"/>
      <c r="M149" s="625"/>
      <c r="N149" s="625"/>
      <c r="O149" s="625"/>
      <c r="P149" s="625"/>
      <c r="Q149" s="625"/>
      <c r="R149" s="625"/>
      <c r="S149" s="625"/>
      <c r="T149" s="625"/>
      <c r="U149" s="625"/>
      <c r="V149" s="625"/>
      <c r="W149" s="625"/>
      <c r="X149" s="625"/>
      <c r="Y149" s="625"/>
      <c r="Z149" s="625"/>
    </row>
    <row r="150">
      <c r="A150" s="625"/>
      <c r="B150" s="625"/>
      <c r="C150" s="625"/>
      <c r="D150" s="625"/>
      <c r="E150" s="625"/>
      <c r="F150" s="625"/>
      <c r="G150" s="625"/>
      <c r="H150" s="625"/>
      <c r="I150" s="625"/>
      <c r="J150" s="625"/>
      <c r="K150" s="625"/>
      <c r="L150" s="625"/>
      <c r="M150" s="625"/>
      <c r="N150" s="625"/>
      <c r="O150" s="625"/>
      <c r="P150" s="625"/>
      <c r="Q150" s="625"/>
      <c r="R150" s="625"/>
      <c r="S150" s="625"/>
      <c r="T150" s="625"/>
      <c r="U150" s="625"/>
      <c r="V150" s="625"/>
      <c r="W150" s="625"/>
      <c r="X150" s="625"/>
      <c r="Y150" s="625"/>
      <c r="Z150" s="625"/>
    </row>
    <row r="151">
      <c r="A151" s="625"/>
      <c r="B151" s="625"/>
      <c r="C151" s="625"/>
      <c r="D151" s="625"/>
      <c r="E151" s="625"/>
      <c r="F151" s="625"/>
      <c r="G151" s="625"/>
      <c r="H151" s="625"/>
      <c r="I151" s="625"/>
      <c r="J151" s="625"/>
      <c r="K151" s="625"/>
      <c r="L151" s="625"/>
      <c r="M151" s="625"/>
      <c r="N151" s="625"/>
      <c r="O151" s="625"/>
      <c r="P151" s="625"/>
      <c r="Q151" s="625"/>
      <c r="R151" s="625"/>
      <c r="S151" s="625"/>
      <c r="T151" s="625"/>
      <c r="U151" s="625"/>
      <c r="V151" s="625"/>
      <c r="W151" s="625"/>
      <c r="X151" s="625"/>
      <c r="Y151" s="625"/>
      <c r="Z151" s="625"/>
    </row>
    <row r="152">
      <c r="A152" s="625"/>
      <c r="B152" s="625"/>
      <c r="C152" s="625"/>
      <c r="D152" s="625"/>
      <c r="E152" s="625"/>
      <c r="F152" s="625"/>
      <c r="G152" s="625"/>
      <c r="H152" s="625"/>
      <c r="I152" s="625"/>
      <c r="J152" s="625"/>
      <c r="K152" s="625"/>
      <c r="L152" s="625"/>
      <c r="M152" s="625"/>
      <c r="N152" s="625"/>
      <c r="O152" s="625"/>
      <c r="P152" s="625"/>
      <c r="Q152" s="625"/>
      <c r="R152" s="625"/>
      <c r="S152" s="625"/>
      <c r="T152" s="625"/>
      <c r="U152" s="625"/>
      <c r="V152" s="625"/>
      <c r="W152" s="625"/>
      <c r="X152" s="625"/>
      <c r="Y152" s="625"/>
      <c r="Z152" s="625"/>
    </row>
    <row r="153">
      <c r="A153" s="625"/>
      <c r="B153" s="625"/>
      <c r="C153" s="625"/>
      <c r="D153" s="625"/>
      <c r="E153" s="625"/>
      <c r="F153" s="625"/>
      <c r="G153" s="625"/>
      <c r="H153" s="625"/>
      <c r="I153" s="625"/>
      <c r="J153" s="625"/>
      <c r="K153" s="625"/>
      <c r="L153" s="625"/>
      <c r="M153" s="625"/>
      <c r="N153" s="625"/>
      <c r="O153" s="625"/>
      <c r="P153" s="625"/>
      <c r="Q153" s="625"/>
      <c r="R153" s="625"/>
      <c r="S153" s="625"/>
      <c r="T153" s="625"/>
      <c r="U153" s="625"/>
      <c r="V153" s="625"/>
      <c r="W153" s="625"/>
      <c r="X153" s="625"/>
      <c r="Y153" s="625"/>
      <c r="Z153" s="625"/>
    </row>
    <row r="154">
      <c r="A154" s="625"/>
      <c r="B154" s="625"/>
      <c r="C154" s="625"/>
      <c r="D154" s="625"/>
      <c r="E154" s="625"/>
      <c r="F154" s="625"/>
      <c r="G154" s="625"/>
      <c r="H154" s="625"/>
      <c r="I154" s="625"/>
      <c r="J154" s="625"/>
      <c r="K154" s="625"/>
      <c r="L154" s="625"/>
      <c r="M154" s="625"/>
      <c r="N154" s="625"/>
      <c r="O154" s="625"/>
      <c r="P154" s="625"/>
      <c r="Q154" s="625"/>
      <c r="R154" s="625"/>
      <c r="S154" s="625"/>
      <c r="T154" s="625"/>
      <c r="U154" s="625"/>
      <c r="V154" s="625"/>
      <c r="W154" s="625"/>
      <c r="X154" s="625"/>
      <c r="Y154" s="625"/>
      <c r="Z154" s="625"/>
    </row>
    <row r="155">
      <c r="A155" s="625"/>
      <c r="B155" s="625"/>
      <c r="C155" s="625"/>
      <c r="D155" s="625"/>
      <c r="E155" s="625"/>
      <c r="F155" s="625"/>
      <c r="G155" s="625"/>
      <c r="H155" s="625"/>
      <c r="I155" s="625"/>
      <c r="J155" s="625"/>
      <c r="K155" s="625"/>
      <c r="L155" s="625"/>
      <c r="M155" s="625"/>
      <c r="N155" s="625"/>
      <c r="O155" s="625"/>
      <c r="P155" s="625"/>
      <c r="Q155" s="625"/>
      <c r="R155" s="625"/>
      <c r="S155" s="625"/>
      <c r="T155" s="625"/>
      <c r="U155" s="625"/>
      <c r="V155" s="625"/>
      <c r="W155" s="625"/>
      <c r="X155" s="625"/>
      <c r="Y155" s="625"/>
      <c r="Z155" s="625"/>
    </row>
    <row r="156">
      <c r="A156" s="625"/>
      <c r="B156" s="625"/>
      <c r="C156" s="625"/>
      <c r="D156" s="625"/>
      <c r="E156" s="625"/>
      <c r="F156" s="625"/>
      <c r="G156" s="625"/>
      <c r="H156" s="625"/>
      <c r="I156" s="625"/>
      <c r="J156" s="625"/>
      <c r="K156" s="625"/>
      <c r="L156" s="625"/>
      <c r="M156" s="625"/>
      <c r="N156" s="625"/>
      <c r="O156" s="625"/>
      <c r="P156" s="625"/>
      <c r="Q156" s="625"/>
      <c r="R156" s="625"/>
      <c r="S156" s="625"/>
      <c r="T156" s="625"/>
      <c r="U156" s="625"/>
      <c r="V156" s="625"/>
      <c r="W156" s="625"/>
      <c r="X156" s="625"/>
      <c r="Y156" s="625"/>
      <c r="Z156" s="625"/>
    </row>
    <row r="157">
      <c r="A157" s="625"/>
      <c r="B157" s="625"/>
      <c r="C157" s="625"/>
      <c r="D157" s="625"/>
      <c r="E157" s="625"/>
      <c r="F157" s="625"/>
      <c r="G157" s="625"/>
      <c r="H157" s="625"/>
      <c r="I157" s="625"/>
      <c r="J157" s="625"/>
      <c r="K157" s="625"/>
      <c r="L157" s="625"/>
      <c r="M157" s="625"/>
      <c r="N157" s="625"/>
      <c r="O157" s="625"/>
      <c r="P157" s="625"/>
      <c r="Q157" s="625"/>
      <c r="R157" s="625"/>
      <c r="S157" s="625"/>
      <c r="T157" s="625"/>
      <c r="U157" s="625"/>
      <c r="V157" s="625"/>
      <c r="W157" s="625"/>
      <c r="X157" s="625"/>
      <c r="Y157" s="625"/>
      <c r="Z157" s="625"/>
    </row>
    <row r="158">
      <c r="A158" s="625"/>
      <c r="B158" s="625"/>
      <c r="C158" s="625"/>
      <c r="D158" s="625"/>
      <c r="E158" s="625"/>
      <c r="F158" s="625"/>
      <c r="G158" s="625"/>
      <c r="H158" s="625"/>
      <c r="I158" s="625"/>
      <c r="J158" s="625"/>
      <c r="K158" s="625"/>
      <c r="L158" s="625"/>
      <c r="M158" s="625"/>
      <c r="N158" s="625"/>
      <c r="O158" s="625"/>
      <c r="P158" s="625"/>
      <c r="Q158" s="625"/>
      <c r="R158" s="625"/>
      <c r="S158" s="625"/>
      <c r="T158" s="625"/>
      <c r="U158" s="625"/>
      <c r="V158" s="625"/>
      <c r="W158" s="625"/>
      <c r="X158" s="625"/>
      <c r="Y158" s="625"/>
      <c r="Z158" s="625"/>
    </row>
    <row r="159">
      <c r="A159" s="625"/>
      <c r="B159" s="625"/>
      <c r="C159" s="625"/>
      <c r="D159" s="625"/>
      <c r="E159" s="625"/>
      <c r="F159" s="625"/>
      <c r="G159" s="625"/>
      <c r="H159" s="625"/>
      <c r="I159" s="625"/>
      <c r="J159" s="625"/>
      <c r="K159" s="625"/>
      <c r="L159" s="625"/>
      <c r="M159" s="625"/>
      <c r="N159" s="625"/>
      <c r="O159" s="625"/>
      <c r="P159" s="625"/>
      <c r="Q159" s="625"/>
      <c r="R159" s="625"/>
      <c r="S159" s="625"/>
      <c r="T159" s="625"/>
      <c r="U159" s="625"/>
      <c r="V159" s="625"/>
      <c r="W159" s="625"/>
      <c r="X159" s="625"/>
      <c r="Y159" s="625"/>
      <c r="Z159" s="625"/>
    </row>
    <row r="160">
      <c r="A160" s="625"/>
      <c r="B160" s="625"/>
      <c r="C160" s="625"/>
      <c r="D160" s="625"/>
      <c r="E160" s="625"/>
      <c r="F160" s="625"/>
      <c r="G160" s="625"/>
      <c r="H160" s="625"/>
      <c r="I160" s="625"/>
      <c r="J160" s="625"/>
      <c r="K160" s="625"/>
      <c r="L160" s="625"/>
      <c r="M160" s="625"/>
      <c r="N160" s="625"/>
      <c r="O160" s="625"/>
      <c r="P160" s="625"/>
      <c r="Q160" s="625"/>
      <c r="R160" s="625"/>
      <c r="S160" s="625"/>
      <c r="T160" s="625"/>
      <c r="U160" s="625"/>
      <c r="V160" s="625"/>
      <c r="W160" s="625"/>
      <c r="X160" s="625"/>
      <c r="Y160" s="625"/>
      <c r="Z160" s="625"/>
    </row>
    <row r="161">
      <c r="A161" s="625"/>
      <c r="B161" s="625"/>
      <c r="C161" s="625"/>
      <c r="D161" s="625"/>
      <c r="E161" s="625"/>
      <c r="F161" s="625"/>
      <c r="G161" s="625"/>
      <c r="H161" s="625"/>
      <c r="I161" s="625"/>
      <c r="J161" s="625"/>
      <c r="K161" s="625"/>
      <c r="L161" s="625"/>
      <c r="M161" s="625"/>
      <c r="N161" s="625"/>
      <c r="O161" s="625"/>
      <c r="P161" s="625"/>
      <c r="Q161" s="625"/>
      <c r="R161" s="625"/>
      <c r="S161" s="625"/>
      <c r="T161" s="625"/>
      <c r="U161" s="625"/>
      <c r="V161" s="625"/>
      <c r="W161" s="625"/>
      <c r="X161" s="625"/>
      <c r="Y161" s="625"/>
      <c r="Z161" s="625"/>
    </row>
    <row r="162">
      <c r="A162" s="625"/>
      <c r="B162" s="625"/>
      <c r="C162" s="625"/>
      <c r="D162" s="625"/>
      <c r="E162" s="625"/>
      <c r="F162" s="625"/>
      <c r="G162" s="625"/>
      <c r="H162" s="625"/>
      <c r="I162" s="625"/>
      <c r="J162" s="625"/>
      <c r="K162" s="625"/>
      <c r="L162" s="625"/>
      <c r="M162" s="625"/>
      <c r="N162" s="625"/>
      <c r="O162" s="625"/>
      <c r="P162" s="625"/>
      <c r="Q162" s="625"/>
      <c r="R162" s="625"/>
      <c r="S162" s="625"/>
      <c r="T162" s="625"/>
      <c r="U162" s="625"/>
      <c r="V162" s="625"/>
      <c r="W162" s="625"/>
      <c r="X162" s="625"/>
      <c r="Y162" s="625"/>
      <c r="Z162" s="625"/>
    </row>
    <row r="163">
      <c r="A163" s="625"/>
      <c r="B163" s="625"/>
      <c r="C163" s="625"/>
      <c r="D163" s="625"/>
      <c r="E163" s="625"/>
      <c r="F163" s="625"/>
      <c r="G163" s="625"/>
      <c r="H163" s="625"/>
      <c r="I163" s="625"/>
      <c r="J163" s="625"/>
      <c r="K163" s="625"/>
      <c r="L163" s="625"/>
      <c r="M163" s="625"/>
      <c r="N163" s="625"/>
      <c r="O163" s="625"/>
      <c r="P163" s="625"/>
      <c r="Q163" s="625"/>
      <c r="R163" s="625"/>
      <c r="S163" s="625"/>
      <c r="T163" s="625"/>
      <c r="U163" s="625"/>
      <c r="V163" s="625"/>
      <c r="W163" s="625"/>
      <c r="X163" s="625"/>
      <c r="Y163" s="625"/>
      <c r="Z163" s="625"/>
    </row>
    <row r="164">
      <c r="A164" s="625"/>
      <c r="B164" s="625"/>
      <c r="C164" s="625"/>
      <c r="D164" s="625"/>
      <c r="E164" s="625"/>
      <c r="F164" s="625"/>
      <c r="G164" s="625"/>
      <c r="H164" s="625"/>
      <c r="I164" s="625"/>
      <c r="J164" s="625"/>
      <c r="K164" s="625"/>
      <c r="L164" s="625"/>
      <c r="M164" s="625"/>
      <c r="N164" s="625"/>
      <c r="O164" s="625"/>
      <c r="P164" s="625"/>
      <c r="Q164" s="625"/>
      <c r="R164" s="625"/>
      <c r="S164" s="625"/>
      <c r="T164" s="625"/>
      <c r="U164" s="625"/>
      <c r="V164" s="625"/>
      <c r="W164" s="625"/>
      <c r="X164" s="625"/>
      <c r="Y164" s="625"/>
      <c r="Z164" s="625"/>
    </row>
    <row r="165">
      <c r="A165" s="625"/>
      <c r="B165" s="625"/>
      <c r="C165" s="625"/>
      <c r="D165" s="625"/>
      <c r="E165" s="625"/>
      <c r="F165" s="625"/>
      <c r="G165" s="625"/>
      <c r="H165" s="625"/>
      <c r="I165" s="625"/>
      <c r="J165" s="625"/>
      <c r="K165" s="625"/>
      <c r="L165" s="625"/>
      <c r="M165" s="625"/>
      <c r="N165" s="625"/>
      <c r="O165" s="625"/>
      <c r="P165" s="625"/>
      <c r="Q165" s="625"/>
      <c r="R165" s="625"/>
      <c r="S165" s="625"/>
      <c r="T165" s="625"/>
      <c r="U165" s="625"/>
      <c r="V165" s="625"/>
      <c r="W165" s="625"/>
      <c r="X165" s="625"/>
      <c r="Y165" s="625"/>
      <c r="Z165" s="625"/>
    </row>
    <row r="166">
      <c r="A166" s="625"/>
      <c r="B166" s="625"/>
      <c r="C166" s="625"/>
      <c r="D166" s="625"/>
      <c r="E166" s="625"/>
      <c r="F166" s="625"/>
      <c r="G166" s="625"/>
      <c r="H166" s="625"/>
      <c r="I166" s="625"/>
      <c r="J166" s="625"/>
      <c r="K166" s="625"/>
      <c r="L166" s="625"/>
      <c r="M166" s="625"/>
      <c r="N166" s="625"/>
      <c r="O166" s="625"/>
      <c r="P166" s="625"/>
      <c r="Q166" s="625"/>
      <c r="R166" s="625"/>
      <c r="S166" s="625"/>
      <c r="T166" s="625"/>
      <c r="U166" s="625"/>
      <c r="V166" s="625"/>
      <c r="W166" s="625"/>
      <c r="X166" s="625"/>
      <c r="Y166" s="625"/>
      <c r="Z166" s="625"/>
    </row>
    <row r="167">
      <c r="A167" s="625"/>
      <c r="B167" s="625"/>
      <c r="C167" s="625"/>
      <c r="D167" s="625"/>
      <c r="E167" s="625"/>
      <c r="F167" s="625"/>
      <c r="G167" s="625"/>
      <c r="H167" s="625"/>
      <c r="I167" s="625"/>
      <c r="J167" s="625"/>
      <c r="K167" s="625"/>
      <c r="L167" s="625"/>
      <c r="M167" s="625"/>
      <c r="N167" s="625"/>
      <c r="O167" s="625"/>
      <c r="P167" s="625"/>
      <c r="Q167" s="625"/>
      <c r="R167" s="625"/>
      <c r="S167" s="625"/>
      <c r="T167" s="625"/>
      <c r="U167" s="625"/>
      <c r="V167" s="625"/>
      <c r="W167" s="625"/>
      <c r="X167" s="625"/>
      <c r="Y167" s="625"/>
      <c r="Z167" s="625"/>
    </row>
    <row r="168">
      <c r="A168" s="625"/>
      <c r="B168" s="625"/>
      <c r="C168" s="625"/>
      <c r="D168" s="625"/>
      <c r="E168" s="625"/>
      <c r="F168" s="625"/>
      <c r="G168" s="625"/>
      <c r="H168" s="625"/>
      <c r="I168" s="625"/>
      <c r="J168" s="625"/>
      <c r="K168" s="625"/>
      <c r="L168" s="625"/>
      <c r="M168" s="625"/>
      <c r="N168" s="625"/>
      <c r="O168" s="625"/>
      <c r="P168" s="625"/>
      <c r="Q168" s="625"/>
      <c r="R168" s="625"/>
      <c r="S168" s="625"/>
      <c r="T168" s="625"/>
      <c r="U168" s="625"/>
      <c r="V168" s="625"/>
      <c r="W168" s="625"/>
      <c r="X168" s="625"/>
      <c r="Y168" s="625"/>
      <c r="Z168" s="625"/>
    </row>
    <row r="169">
      <c r="A169" s="625"/>
      <c r="B169" s="625"/>
      <c r="C169" s="625"/>
      <c r="D169" s="625"/>
      <c r="E169" s="625"/>
      <c r="F169" s="625"/>
      <c r="G169" s="625"/>
      <c r="H169" s="625"/>
      <c r="I169" s="625"/>
      <c r="J169" s="625"/>
      <c r="K169" s="625"/>
      <c r="L169" s="625"/>
      <c r="M169" s="625"/>
      <c r="N169" s="625"/>
      <c r="O169" s="625"/>
      <c r="P169" s="625"/>
      <c r="Q169" s="625"/>
      <c r="R169" s="625"/>
      <c r="S169" s="625"/>
      <c r="T169" s="625"/>
      <c r="U169" s="625"/>
      <c r="V169" s="625"/>
      <c r="W169" s="625"/>
      <c r="X169" s="625"/>
      <c r="Y169" s="625"/>
      <c r="Z169" s="625"/>
    </row>
    <row r="170">
      <c r="A170" s="625"/>
      <c r="B170" s="625"/>
      <c r="C170" s="625"/>
      <c r="D170" s="625"/>
      <c r="E170" s="625"/>
      <c r="F170" s="625"/>
      <c r="G170" s="625"/>
      <c r="H170" s="625"/>
      <c r="I170" s="625"/>
      <c r="J170" s="625"/>
      <c r="K170" s="625"/>
      <c r="L170" s="625"/>
      <c r="M170" s="625"/>
      <c r="N170" s="625"/>
      <c r="O170" s="625"/>
      <c r="P170" s="625"/>
      <c r="Q170" s="625"/>
      <c r="R170" s="625"/>
      <c r="S170" s="625"/>
      <c r="T170" s="625"/>
      <c r="U170" s="625"/>
      <c r="V170" s="625"/>
      <c r="W170" s="625"/>
      <c r="X170" s="625"/>
      <c r="Y170" s="625"/>
      <c r="Z170" s="625"/>
    </row>
    <row r="171">
      <c r="A171" s="625"/>
      <c r="B171" s="625"/>
      <c r="C171" s="625"/>
      <c r="D171" s="625"/>
      <c r="E171" s="625"/>
      <c r="F171" s="625"/>
      <c r="G171" s="625"/>
      <c r="H171" s="625"/>
      <c r="I171" s="625"/>
      <c r="J171" s="625"/>
      <c r="K171" s="625"/>
      <c r="L171" s="625"/>
      <c r="M171" s="625"/>
      <c r="N171" s="625"/>
      <c r="O171" s="625"/>
      <c r="P171" s="625"/>
      <c r="Q171" s="625"/>
      <c r="R171" s="625"/>
      <c r="S171" s="625"/>
      <c r="T171" s="625"/>
      <c r="U171" s="625"/>
      <c r="V171" s="625"/>
      <c r="W171" s="625"/>
      <c r="X171" s="625"/>
      <c r="Y171" s="625"/>
      <c r="Z171" s="625"/>
    </row>
    <row r="172">
      <c r="A172" s="625"/>
      <c r="B172" s="625"/>
      <c r="C172" s="625"/>
      <c r="D172" s="625"/>
      <c r="E172" s="625"/>
      <c r="F172" s="625"/>
      <c r="G172" s="625"/>
      <c r="H172" s="625"/>
      <c r="I172" s="625"/>
      <c r="J172" s="625"/>
      <c r="K172" s="625"/>
      <c r="L172" s="625"/>
      <c r="M172" s="625"/>
      <c r="N172" s="625"/>
      <c r="O172" s="625"/>
      <c r="P172" s="625"/>
      <c r="Q172" s="625"/>
      <c r="R172" s="625"/>
      <c r="S172" s="625"/>
      <c r="T172" s="625"/>
      <c r="U172" s="625"/>
      <c r="V172" s="625"/>
      <c r="W172" s="625"/>
      <c r="X172" s="625"/>
      <c r="Y172" s="625"/>
      <c r="Z172" s="625"/>
    </row>
    <row r="173">
      <c r="A173" s="625"/>
      <c r="B173" s="625"/>
      <c r="C173" s="625"/>
      <c r="D173" s="625"/>
      <c r="E173" s="625"/>
      <c r="F173" s="625"/>
      <c r="G173" s="625"/>
      <c r="H173" s="625"/>
      <c r="I173" s="625"/>
      <c r="J173" s="625"/>
      <c r="K173" s="625"/>
      <c r="L173" s="625"/>
      <c r="M173" s="625"/>
      <c r="N173" s="625"/>
      <c r="O173" s="625"/>
      <c r="P173" s="625"/>
      <c r="Q173" s="625"/>
      <c r="R173" s="625"/>
      <c r="S173" s="625"/>
      <c r="T173" s="625"/>
      <c r="U173" s="625"/>
      <c r="V173" s="625"/>
      <c r="W173" s="625"/>
      <c r="X173" s="625"/>
      <c r="Y173" s="625"/>
      <c r="Z173" s="625"/>
    </row>
    <row r="174">
      <c r="A174" s="625"/>
      <c r="B174" s="625"/>
      <c r="C174" s="625"/>
      <c r="D174" s="625"/>
      <c r="E174" s="625"/>
      <c r="F174" s="625"/>
      <c r="G174" s="625"/>
      <c r="H174" s="625"/>
      <c r="I174" s="625"/>
      <c r="J174" s="625"/>
      <c r="K174" s="625"/>
      <c r="L174" s="625"/>
      <c r="M174" s="625"/>
      <c r="N174" s="625"/>
      <c r="O174" s="625"/>
      <c r="P174" s="625"/>
      <c r="Q174" s="625"/>
      <c r="R174" s="625"/>
      <c r="S174" s="625"/>
      <c r="T174" s="625"/>
      <c r="U174" s="625"/>
      <c r="V174" s="625"/>
      <c r="W174" s="625"/>
      <c r="X174" s="625"/>
      <c r="Y174" s="625"/>
      <c r="Z174" s="625"/>
    </row>
    <row r="175">
      <c r="A175" s="625"/>
      <c r="B175" s="625"/>
      <c r="C175" s="625"/>
      <c r="D175" s="625"/>
      <c r="E175" s="625"/>
      <c r="F175" s="625"/>
      <c r="G175" s="625"/>
      <c r="H175" s="625"/>
      <c r="I175" s="625"/>
      <c r="J175" s="625"/>
      <c r="K175" s="625"/>
      <c r="L175" s="625"/>
      <c r="M175" s="625"/>
      <c r="N175" s="625"/>
      <c r="O175" s="625"/>
      <c r="P175" s="625"/>
      <c r="Q175" s="625"/>
      <c r="R175" s="625"/>
      <c r="S175" s="625"/>
      <c r="T175" s="625"/>
      <c r="U175" s="625"/>
      <c r="V175" s="625"/>
      <c r="W175" s="625"/>
      <c r="X175" s="625"/>
      <c r="Y175" s="625"/>
      <c r="Z175" s="625"/>
    </row>
    <row r="176">
      <c r="A176" s="625"/>
      <c r="B176" s="625"/>
      <c r="C176" s="625"/>
      <c r="D176" s="625"/>
      <c r="E176" s="625"/>
      <c r="F176" s="625"/>
      <c r="G176" s="625"/>
      <c r="H176" s="625"/>
      <c r="I176" s="625"/>
      <c r="J176" s="625"/>
      <c r="K176" s="625"/>
      <c r="L176" s="625"/>
      <c r="M176" s="625"/>
      <c r="N176" s="625"/>
      <c r="O176" s="625"/>
      <c r="P176" s="625"/>
      <c r="Q176" s="625"/>
      <c r="R176" s="625"/>
      <c r="S176" s="625"/>
      <c r="T176" s="625"/>
      <c r="U176" s="625"/>
      <c r="V176" s="625"/>
      <c r="W176" s="625"/>
      <c r="X176" s="625"/>
      <c r="Y176" s="625"/>
      <c r="Z176" s="625"/>
    </row>
    <row r="177">
      <c r="A177" s="625"/>
      <c r="B177" s="625"/>
      <c r="C177" s="625"/>
      <c r="D177" s="625"/>
      <c r="E177" s="625"/>
      <c r="F177" s="625"/>
      <c r="G177" s="625"/>
      <c r="H177" s="625"/>
      <c r="I177" s="625"/>
      <c r="J177" s="625"/>
      <c r="K177" s="625"/>
      <c r="L177" s="625"/>
      <c r="M177" s="625"/>
      <c r="N177" s="625"/>
      <c r="O177" s="625"/>
      <c r="P177" s="625"/>
      <c r="Q177" s="625"/>
      <c r="R177" s="625"/>
      <c r="S177" s="625"/>
      <c r="T177" s="625"/>
      <c r="U177" s="625"/>
      <c r="V177" s="625"/>
      <c r="W177" s="625"/>
      <c r="X177" s="625"/>
      <c r="Y177" s="625"/>
      <c r="Z177" s="625"/>
    </row>
    <row r="178">
      <c r="A178" s="625"/>
      <c r="B178" s="625"/>
      <c r="C178" s="625"/>
      <c r="D178" s="625"/>
      <c r="E178" s="625"/>
      <c r="F178" s="625"/>
      <c r="G178" s="625"/>
      <c r="H178" s="625"/>
      <c r="I178" s="625"/>
      <c r="J178" s="625"/>
      <c r="K178" s="625"/>
      <c r="L178" s="625"/>
      <c r="M178" s="625"/>
      <c r="N178" s="625"/>
      <c r="O178" s="625"/>
      <c r="P178" s="625"/>
      <c r="Q178" s="625"/>
      <c r="R178" s="625"/>
      <c r="S178" s="625"/>
      <c r="T178" s="625"/>
      <c r="U178" s="625"/>
      <c r="V178" s="625"/>
      <c r="W178" s="625"/>
      <c r="X178" s="625"/>
      <c r="Y178" s="625"/>
      <c r="Z178" s="625"/>
    </row>
    <row r="179">
      <c r="A179" s="625"/>
      <c r="B179" s="625"/>
      <c r="C179" s="625"/>
      <c r="D179" s="625"/>
      <c r="E179" s="625"/>
      <c r="F179" s="625"/>
      <c r="G179" s="625"/>
      <c r="H179" s="625"/>
      <c r="I179" s="625"/>
      <c r="J179" s="625"/>
      <c r="K179" s="625"/>
      <c r="L179" s="625"/>
      <c r="M179" s="625"/>
      <c r="N179" s="625"/>
      <c r="O179" s="625"/>
      <c r="P179" s="625"/>
      <c r="Q179" s="625"/>
      <c r="R179" s="625"/>
      <c r="S179" s="625"/>
      <c r="T179" s="625"/>
      <c r="U179" s="625"/>
      <c r="V179" s="625"/>
      <c r="W179" s="625"/>
      <c r="X179" s="625"/>
      <c r="Y179" s="625"/>
      <c r="Z179" s="625"/>
    </row>
    <row r="180">
      <c r="A180" s="625"/>
      <c r="B180" s="625"/>
      <c r="C180" s="625"/>
      <c r="D180" s="625"/>
      <c r="E180" s="625"/>
      <c r="F180" s="625"/>
      <c r="G180" s="625"/>
      <c r="H180" s="625"/>
      <c r="I180" s="625"/>
      <c r="J180" s="625"/>
      <c r="K180" s="625"/>
      <c r="L180" s="625"/>
      <c r="M180" s="625"/>
      <c r="N180" s="625"/>
      <c r="O180" s="625"/>
      <c r="P180" s="625"/>
      <c r="Q180" s="625"/>
      <c r="R180" s="625"/>
      <c r="S180" s="625"/>
      <c r="T180" s="625"/>
      <c r="U180" s="625"/>
      <c r="V180" s="625"/>
      <c r="W180" s="625"/>
      <c r="X180" s="625"/>
      <c r="Y180" s="625"/>
      <c r="Z180" s="625"/>
    </row>
    <row r="181">
      <c r="A181" s="625"/>
      <c r="B181" s="625"/>
      <c r="C181" s="625"/>
      <c r="D181" s="625"/>
      <c r="E181" s="625"/>
      <c r="F181" s="625"/>
      <c r="G181" s="625"/>
      <c r="H181" s="625"/>
      <c r="I181" s="625"/>
      <c r="J181" s="625"/>
      <c r="K181" s="625"/>
      <c r="L181" s="625"/>
      <c r="M181" s="625"/>
      <c r="N181" s="625"/>
      <c r="O181" s="625"/>
      <c r="P181" s="625"/>
      <c r="Q181" s="625"/>
      <c r="R181" s="625"/>
      <c r="S181" s="625"/>
      <c r="T181" s="625"/>
      <c r="U181" s="625"/>
      <c r="V181" s="625"/>
      <c r="W181" s="625"/>
      <c r="X181" s="625"/>
      <c r="Y181" s="625"/>
      <c r="Z181" s="625"/>
    </row>
    <row r="182">
      <c r="A182" s="625"/>
      <c r="B182" s="625"/>
      <c r="C182" s="625"/>
      <c r="D182" s="625"/>
      <c r="E182" s="625"/>
      <c r="F182" s="625"/>
      <c r="G182" s="625"/>
      <c r="H182" s="625"/>
      <c r="I182" s="625"/>
      <c r="J182" s="625"/>
      <c r="K182" s="625"/>
      <c r="L182" s="625"/>
      <c r="M182" s="625"/>
      <c r="N182" s="625"/>
      <c r="O182" s="625"/>
      <c r="P182" s="625"/>
      <c r="Q182" s="625"/>
      <c r="R182" s="625"/>
      <c r="S182" s="625"/>
      <c r="T182" s="625"/>
      <c r="U182" s="625"/>
      <c r="V182" s="625"/>
      <c r="W182" s="625"/>
      <c r="X182" s="625"/>
      <c r="Y182" s="625"/>
      <c r="Z182" s="625"/>
    </row>
    <row r="183">
      <c r="A183" s="625"/>
      <c r="B183" s="625"/>
      <c r="C183" s="625"/>
      <c r="D183" s="625"/>
      <c r="E183" s="625"/>
      <c r="F183" s="625"/>
      <c r="G183" s="625"/>
      <c r="H183" s="625"/>
      <c r="I183" s="625"/>
      <c r="J183" s="625"/>
      <c r="K183" s="625"/>
      <c r="L183" s="625"/>
      <c r="M183" s="625"/>
      <c r="N183" s="625"/>
      <c r="O183" s="625"/>
      <c r="P183" s="625"/>
      <c r="Q183" s="625"/>
      <c r="R183" s="625"/>
      <c r="S183" s="625"/>
      <c r="T183" s="625"/>
      <c r="U183" s="625"/>
      <c r="V183" s="625"/>
      <c r="W183" s="625"/>
      <c r="X183" s="625"/>
      <c r="Y183" s="625"/>
      <c r="Z183" s="625"/>
    </row>
    <row r="184">
      <c r="A184" s="625"/>
      <c r="B184" s="625"/>
      <c r="C184" s="625"/>
      <c r="D184" s="625"/>
      <c r="E184" s="625"/>
      <c r="F184" s="625"/>
      <c r="G184" s="625"/>
      <c r="H184" s="625"/>
      <c r="I184" s="625"/>
      <c r="J184" s="625"/>
      <c r="K184" s="625"/>
      <c r="L184" s="625"/>
      <c r="M184" s="625"/>
      <c r="N184" s="625"/>
      <c r="O184" s="625"/>
      <c r="P184" s="625"/>
      <c r="Q184" s="625"/>
      <c r="R184" s="625"/>
      <c r="S184" s="625"/>
      <c r="T184" s="625"/>
      <c r="U184" s="625"/>
      <c r="V184" s="625"/>
      <c r="W184" s="625"/>
      <c r="X184" s="625"/>
      <c r="Y184" s="625"/>
      <c r="Z184" s="625"/>
    </row>
    <row r="185">
      <c r="A185" s="625"/>
      <c r="B185" s="625"/>
      <c r="C185" s="625"/>
      <c r="D185" s="625"/>
      <c r="E185" s="625"/>
      <c r="F185" s="625"/>
      <c r="G185" s="625"/>
      <c r="H185" s="625"/>
      <c r="I185" s="625"/>
      <c r="J185" s="625"/>
      <c r="K185" s="625"/>
      <c r="L185" s="625"/>
      <c r="M185" s="625"/>
      <c r="N185" s="625"/>
      <c r="O185" s="625"/>
      <c r="P185" s="625"/>
      <c r="Q185" s="625"/>
      <c r="R185" s="625"/>
      <c r="S185" s="625"/>
      <c r="T185" s="625"/>
      <c r="U185" s="625"/>
      <c r="V185" s="625"/>
      <c r="W185" s="625"/>
      <c r="X185" s="625"/>
      <c r="Y185" s="625"/>
      <c r="Z185" s="625"/>
    </row>
    <row r="186">
      <c r="A186" s="625"/>
      <c r="B186" s="625"/>
      <c r="C186" s="625"/>
      <c r="D186" s="625"/>
      <c r="E186" s="625"/>
      <c r="F186" s="625"/>
      <c r="G186" s="625"/>
      <c r="H186" s="625"/>
      <c r="I186" s="625"/>
      <c r="J186" s="625"/>
      <c r="K186" s="625"/>
      <c r="L186" s="625"/>
      <c r="M186" s="625"/>
      <c r="N186" s="625"/>
      <c r="O186" s="625"/>
      <c r="P186" s="625"/>
      <c r="Q186" s="625"/>
      <c r="R186" s="625"/>
      <c r="S186" s="625"/>
      <c r="T186" s="625"/>
      <c r="U186" s="625"/>
      <c r="V186" s="625"/>
      <c r="W186" s="625"/>
      <c r="X186" s="625"/>
      <c r="Y186" s="625"/>
      <c r="Z186" s="625"/>
    </row>
    <row r="187">
      <c r="A187" s="625"/>
      <c r="B187" s="625"/>
      <c r="C187" s="625"/>
      <c r="D187" s="625"/>
      <c r="E187" s="625"/>
      <c r="F187" s="625"/>
      <c r="G187" s="625"/>
      <c r="H187" s="625"/>
      <c r="I187" s="625"/>
      <c r="J187" s="625"/>
      <c r="K187" s="625"/>
      <c r="L187" s="625"/>
      <c r="M187" s="625"/>
      <c r="N187" s="625"/>
      <c r="O187" s="625"/>
      <c r="P187" s="625"/>
      <c r="Q187" s="625"/>
      <c r="R187" s="625"/>
      <c r="S187" s="625"/>
      <c r="T187" s="625"/>
      <c r="U187" s="625"/>
      <c r="V187" s="625"/>
      <c r="W187" s="625"/>
      <c r="X187" s="625"/>
      <c r="Y187" s="625"/>
      <c r="Z187" s="625"/>
    </row>
    <row r="188">
      <c r="A188" s="625"/>
      <c r="B188" s="625"/>
      <c r="C188" s="625"/>
      <c r="D188" s="625"/>
      <c r="E188" s="625"/>
      <c r="F188" s="625"/>
      <c r="G188" s="625"/>
      <c r="H188" s="625"/>
      <c r="I188" s="625"/>
      <c r="J188" s="625"/>
      <c r="K188" s="625"/>
      <c r="L188" s="625"/>
      <c r="M188" s="625"/>
      <c r="N188" s="625"/>
      <c r="O188" s="625"/>
      <c r="P188" s="625"/>
      <c r="Q188" s="625"/>
      <c r="R188" s="625"/>
      <c r="S188" s="625"/>
      <c r="T188" s="625"/>
      <c r="U188" s="625"/>
      <c r="V188" s="625"/>
      <c r="W188" s="625"/>
      <c r="X188" s="625"/>
      <c r="Y188" s="625"/>
      <c r="Z188" s="625"/>
    </row>
    <row r="189">
      <c r="A189" s="625"/>
      <c r="B189" s="625"/>
      <c r="C189" s="625"/>
      <c r="D189" s="625"/>
      <c r="E189" s="625"/>
      <c r="F189" s="625"/>
      <c r="G189" s="625"/>
      <c r="H189" s="625"/>
      <c r="I189" s="625"/>
      <c r="J189" s="625"/>
      <c r="K189" s="625"/>
      <c r="L189" s="625"/>
      <c r="M189" s="625"/>
      <c r="N189" s="625"/>
      <c r="O189" s="625"/>
      <c r="P189" s="625"/>
      <c r="Q189" s="625"/>
      <c r="R189" s="625"/>
      <c r="S189" s="625"/>
      <c r="T189" s="625"/>
      <c r="U189" s="625"/>
      <c r="V189" s="625"/>
      <c r="W189" s="625"/>
      <c r="X189" s="625"/>
      <c r="Y189" s="625"/>
      <c r="Z189" s="625"/>
    </row>
    <row r="190">
      <c r="A190" s="625"/>
      <c r="B190" s="625"/>
      <c r="C190" s="625"/>
      <c r="D190" s="625"/>
      <c r="E190" s="625"/>
      <c r="F190" s="625"/>
      <c r="G190" s="625"/>
      <c r="H190" s="625"/>
      <c r="I190" s="625"/>
      <c r="J190" s="625"/>
      <c r="K190" s="625"/>
      <c r="L190" s="625"/>
      <c r="M190" s="625"/>
      <c r="N190" s="625"/>
      <c r="O190" s="625"/>
      <c r="P190" s="625"/>
      <c r="Q190" s="625"/>
      <c r="R190" s="625"/>
      <c r="S190" s="625"/>
      <c r="T190" s="625"/>
      <c r="U190" s="625"/>
      <c r="V190" s="625"/>
      <c r="W190" s="625"/>
      <c r="X190" s="625"/>
      <c r="Y190" s="625"/>
      <c r="Z190" s="625"/>
    </row>
    <row r="191">
      <c r="A191" s="625"/>
      <c r="B191" s="625"/>
      <c r="C191" s="625"/>
      <c r="D191" s="625"/>
      <c r="E191" s="625"/>
      <c r="F191" s="625"/>
      <c r="G191" s="625"/>
      <c r="H191" s="625"/>
      <c r="I191" s="625"/>
      <c r="J191" s="625"/>
      <c r="K191" s="625"/>
      <c r="L191" s="625"/>
      <c r="M191" s="625"/>
      <c r="N191" s="625"/>
      <c r="O191" s="625"/>
      <c r="P191" s="625"/>
      <c r="Q191" s="625"/>
      <c r="R191" s="625"/>
      <c r="S191" s="625"/>
      <c r="T191" s="625"/>
      <c r="U191" s="625"/>
      <c r="V191" s="625"/>
      <c r="W191" s="625"/>
      <c r="X191" s="625"/>
      <c r="Y191" s="625"/>
      <c r="Z191" s="625"/>
    </row>
    <row r="192">
      <c r="A192" s="625"/>
      <c r="B192" s="625"/>
      <c r="C192" s="625"/>
      <c r="D192" s="625"/>
      <c r="E192" s="625"/>
      <c r="F192" s="625"/>
      <c r="G192" s="625"/>
      <c r="H192" s="625"/>
      <c r="I192" s="625"/>
      <c r="J192" s="625"/>
      <c r="K192" s="625"/>
      <c r="L192" s="625"/>
      <c r="M192" s="625"/>
      <c r="N192" s="625"/>
      <c r="O192" s="625"/>
      <c r="P192" s="625"/>
      <c r="Q192" s="625"/>
      <c r="R192" s="625"/>
      <c r="S192" s="625"/>
      <c r="T192" s="625"/>
      <c r="U192" s="625"/>
      <c r="V192" s="625"/>
      <c r="W192" s="625"/>
      <c r="X192" s="625"/>
      <c r="Y192" s="625"/>
      <c r="Z192" s="625"/>
    </row>
    <row r="193">
      <c r="A193" s="625"/>
      <c r="B193" s="625"/>
      <c r="C193" s="625"/>
      <c r="D193" s="625"/>
      <c r="E193" s="625"/>
      <c r="F193" s="625"/>
      <c r="G193" s="625"/>
      <c r="H193" s="625"/>
      <c r="I193" s="625"/>
      <c r="J193" s="625"/>
      <c r="K193" s="625"/>
      <c r="L193" s="625"/>
      <c r="M193" s="625"/>
      <c r="N193" s="625"/>
      <c r="O193" s="625"/>
      <c r="P193" s="625"/>
      <c r="Q193" s="625"/>
      <c r="R193" s="625"/>
      <c r="S193" s="625"/>
      <c r="T193" s="625"/>
      <c r="U193" s="625"/>
      <c r="V193" s="625"/>
      <c r="W193" s="625"/>
      <c r="X193" s="625"/>
      <c r="Y193" s="625"/>
      <c r="Z193" s="625"/>
    </row>
    <row r="194">
      <c r="A194" s="625"/>
      <c r="B194" s="625"/>
      <c r="C194" s="625"/>
      <c r="D194" s="625"/>
      <c r="E194" s="625"/>
      <c r="F194" s="625"/>
      <c r="G194" s="625"/>
      <c r="H194" s="625"/>
      <c r="I194" s="625"/>
      <c r="J194" s="625"/>
      <c r="K194" s="625"/>
      <c r="L194" s="625"/>
      <c r="M194" s="625"/>
      <c r="N194" s="625"/>
      <c r="O194" s="625"/>
      <c r="P194" s="625"/>
      <c r="Q194" s="625"/>
      <c r="R194" s="625"/>
      <c r="S194" s="625"/>
      <c r="T194" s="625"/>
      <c r="U194" s="625"/>
      <c r="V194" s="625"/>
      <c r="W194" s="625"/>
      <c r="X194" s="625"/>
      <c r="Y194" s="625"/>
      <c r="Z194" s="625"/>
    </row>
    <row r="195">
      <c r="A195" s="625"/>
      <c r="B195" s="625"/>
      <c r="C195" s="625"/>
      <c r="D195" s="625"/>
      <c r="E195" s="625"/>
      <c r="F195" s="625"/>
      <c r="G195" s="625"/>
      <c r="H195" s="625"/>
      <c r="I195" s="625"/>
      <c r="J195" s="625"/>
      <c r="K195" s="625"/>
      <c r="L195" s="625"/>
      <c r="M195" s="625"/>
      <c r="N195" s="625"/>
      <c r="O195" s="625"/>
      <c r="P195" s="625"/>
      <c r="Q195" s="625"/>
      <c r="R195" s="625"/>
      <c r="S195" s="625"/>
      <c r="T195" s="625"/>
      <c r="U195" s="625"/>
      <c r="V195" s="625"/>
      <c r="W195" s="625"/>
      <c r="X195" s="625"/>
      <c r="Y195" s="625"/>
      <c r="Z195" s="625"/>
    </row>
    <row r="196">
      <c r="A196" s="625"/>
      <c r="B196" s="625"/>
      <c r="C196" s="625"/>
      <c r="D196" s="625"/>
      <c r="E196" s="625"/>
      <c r="F196" s="625"/>
      <c r="G196" s="625"/>
      <c r="H196" s="625"/>
      <c r="I196" s="625"/>
      <c r="J196" s="625"/>
      <c r="K196" s="625"/>
      <c r="L196" s="625"/>
      <c r="M196" s="625"/>
      <c r="N196" s="625"/>
      <c r="O196" s="625"/>
      <c r="P196" s="625"/>
      <c r="Q196" s="625"/>
      <c r="R196" s="625"/>
      <c r="S196" s="625"/>
      <c r="T196" s="625"/>
      <c r="U196" s="625"/>
      <c r="V196" s="625"/>
      <c r="W196" s="625"/>
      <c r="X196" s="625"/>
      <c r="Y196" s="625"/>
      <c r="Z196" s="625"/>
    </row>
    <row r="197">
      <c r="A197" s="625"/>
      <c r="B197" s="625"/>
      <c r="C197" s="625"/>
      <c r="D197" s="625"/>
      <c r="E197" s="625"/>
      <c r="F197" s="625"/>
      <c r="G197" s="625"/>
      <c r="H197" s="625"/>
      <c r="I197" s="625"/>
      <c r="J197" s="625"/>
      <c r="K197" s="625"/>
      <c r="L197" s="625"/>
      <c r="M197" s="625"/>
      <c r="N197" s="625"/>
      <c r="O197" s="625"/>
      <c r="P197" s="625"/>
      <c r="Q197" s="625"/>
      <c r="R197" s="625"/>
      <c r="S197" s="625"/>
      <c r="T197" s="625"/>
      <c r="U197" s="625"/>
      <c r="V197" s="625"/>
      <c r="W197" s="625"/>
      <c r="X197" s="625"/>
      <c r="Y197" s="625"/>
      <c r="Z197" s="625"/>
    </row>
    <row r="198">
      <c r="A198" s="625"/>
      <c r="B198" s="625"/>
      <c r="C198" s="625"/>
      <c r="D198" s="625"/>
      <c r="E198" s="625"/>
      <c r="F198" s="625"/>
      <c r="G198" s="625"/>
      <c r="H198" s="625"/>
      <c r="I198" s="625"/>
      <c r="J198" s="625"/>
      <c r="K198" s="625"/>
      <c r="L198" s="625"/>
      <c r="M198" s="625"/>
      <c r="N198" s="625"/>
      <c r="O198" s="625"/>
      <c r="P198" s="625"/>
      <c r="Q198" s="625"/>
      <c r="R198" s="625"/>
      <c r="S198" s="625"/>
      <c r="T198" s="625"/>
      <c r="U198" s="625"/>
      <c r="V198" s="625"/>
      <c r="W198" s="625"/>
      <c r="X198" s="625"/>
      <c r="Y198" s="625"/>
      <c r="Z198" s="625"/>
    </row>
    <row r="199">
      <c r="A199" s="625"/>
      <c r="B199" s="625"/>
      <c r="C199" s="625"/>
      <c r="D199" s="625"/>
      <c r="E199" s="625"/>
      <c r="F199" s="625"/>
      <c r="G199" s="625"/>
      <c r="H199" s="625"/>
      <c r="I199" s="625"/>
      <c r="J199" s="625"/>
      <c r="K199" s="625"/>
      <c r="L199" s="625"/>
      <c r="M199" s="625"/>
      <c r="N199" s="625"/>
      <c r="O199" s="625"/>
      <c r="P199" s="625"/>
      <c r="Q199" s="625"/>
      <c r="R199" s="625"/>
      <c r="S199" s="625"/>
      <c r="T199" s="625"/>
      <c r="U199" s="625"/>
      <c r="V199" s="625"/>
      <c r="W199" s="625"/>
      <c r="X199" s="625"/>
      <c r="Y199" s="625"/>
      <c r="Z199" s="625"/>
    </row>
    <row r="200">
      <c r="A200" s="625"/>
      <c r="B200" s="625"/>
      <c r="C200" s="625"/>
      <c r="D200" s="625"/>
      <c r="E200" s="625"/>
      <c r="F200" s="625"/>
      <c r="G200" s="625"/>
      <c r="H200" s="625"/>
      <c r="I200" s="625"/>
      <c r="J200" s="625"/>
      <c r="K200" s="625"/>
      <c r="L200" s="625"/>
      <c r="M200" s="625"/>
      <c r="N200" s="625"/>
      <c r="O200" s="625"/>
      <c r="P200" s="625"/>
      <c r="Q200" s="625"/>
      <c r="R200" s="625"/>
      <c r="S200" s="625"/>
      <c r="T200" s="625"/>
      <c r="U200" s="625"/>
      <c r="V200" s="625"/>
      <c r="W200" s="625"/>
      <c r="X200" s="625"/>
      <c r="Y200" s="625"/>
      <c r="Z200" s="625"/>
    </row>
    <row r="201">
      <c r="A201" s="625"/>
      <c r="B201" s="625"/>
      <c r="C201" s="625"/>
      <c r="D201" s="625"/>
      <c r="E201" s="625"/>
      <c r="F201" s="625"/>
      <c r="G201" s="625"/>
      <c r="H201" s="625"/>
      <c r="I201" s="625"/>
      <c r="J201" s="625"/>
      <c r="K201" s="625"/>
      <c r="L201" s="625"/>
      <c r="M201" s="625"/>
      <c r="N201" s="625"/>
      <c r="O201" s="625"/>
      <c r="P201" s="625"/>
      <c r="Q201" s="625"/>
      <c r="R201" s="625"/>
      <c r="S201" s="625"/>
      <c r="T201" s="625"/>
      <c r="U201" s="625"/>
      <c r="V201" s="625"/>
      <c r="W201" s="625"/>
      <c r="X201" s="625"/>
      <c r="Y201" s="625"/>
      <c r="Z201" s="625"/>
    </row>
    <row r="202">
      <c r="A202" s="625"/>
      <c r="B202" s="625"/>
      <c r="C202" s="625"/>
      <c r="D202" s="625"/>
      <c r="E202" s="625"/>
      <c r="F202" s="625"/>
      <c r="G202" s="625"/>
      <c r="H202" s="625"/>
      <c r="I202" s="625"/>
      <c r="J202" s="625"/>
      <c r="K202" s="625"/>
      <c r="L202" s="625"/>
      <c r="M202" s="625"/>
      <c r="N202" s="625"/>
      <c r="O202" s="625"/>
      <c r="P202" s="625"/>
      <c r="Q202" s="625"/>
      <c r="R202" s="625"/>
      <c r="S202" s="625"/>
      <c r="T202" s="625"/>
      <c r="U202" s="625"/>
      <c r="V202" s="625"/>
      <c r="W202" s="625"/>
      <c r="X202" s="625"/>
      <c r="Y202" s="625"/>
      <c r="Z202" s="625"/>
    </row>
    <row r="203">
      <c r="A203" s="625"/>
      <c r="B203" s="625"/>
      <c r="C203" s="625"/>
      <c r="D203" s="625"/>
      <c r="E203" s="625"/>
      <c r="F203" s="625"/>
      <c r="G203" s="625"/>
      <c r="H203" s="625"/>
      <c r="I203" s="625"/>
      <c r="J203" s="625"/>
      <c r="K203" s="625"/>
      <c r="L203" s="625"/>
      <c r="M203" s="625"/>
      <c r="N203" s="625"/>
      <c r="O203" s="625"/>
      <c r="P203" s="625"/>
      <c r="Q203" s="625"/>
      <c r="R203" s="625"/>
      <c r="S203" s="625"/>
      <c r="T203" s="625"/>
      <c r="U203" s="625"/>
      <c r="V203" s="625"/>
      <c r="W203" s="625"/>
      <c r="X203" s="625"/>
      <c r="Y203" s="625"/>
      <c r="Z203" s="625"/>
    </row>
    <row r="204">
      <c r="A204" s="625"/>
      <c r="B204" s="625"/>
      <c r="C204" s="625"/>
      <c r="D204" s="625"/>
      <c r="E204" s="625"/>
      <c r="F204" s="625"/>
      <c r="G204" s="625"/>
      <c r="H204" s="625"/>
      <c r="I204" s="625"/>
      <c r="J204" s="625"/>
      <c r="K204" s="625"/>
      <c r="L204" s="625"/>
      <c r="M204" s="625"/>
      <c r="N204" s="625"/>
      <c r="O204" s="625"/>
      <c r="P204" s="625"/>
      <c r="Q204" s="625"/>
      <c r="R204" s="625"/>
      <c r="S204" s="625"/>
      <c r="T204" s="625"/>
      <c r="U204" s="625"/>
      <c r="V204" s="625"/>
      <c r="W204" s="625"/>
      <c r="X204" s="625"/>
      <c r="Y204" s="625"/>
      <c r="Z204" s="625"/>
    </row>
    <row r="205">
      <c r="A205" s="625"/>
      <c r="B205" s="625"/>
      <c r="C205" s="625"/>
      <c r="D205" s="625"/>
      <c r="E205" s="625"/>
      <c r="F205" s="625"/>
      <c r="G205" s="625"/>
      <c r="H205" s="625"/>
      <c r="I205" s="625"/>
      <c r="J205" s="625"/>
      <c r="K205" s="625"/>
      <c r="L205" s="625"/>
      <c r="M205" s="625"/>
      <c r="N205" s="625"/>
      <c r="O205" s="625"/>
      <c r="P205" s="625"/>
      <c r="Q205" s="625"/>
      <c r="R205" s="625"/>
      <c r="S205" s="625"/>
      <c r="T205" s="625"/>
      <c r="U205" s="625"/>
      <c r="V205" s="625"/>
      <c r="W205" s="625"/>
      <c r="X205" s="625"/>
      <c r="Y205" s="625"/>
      <c r="Z205" s="625"/>
    </row>
    <row r="206">
      <c r="A206" s="625"/>
      <c r="B206" s="625"/>
      <c r="C206" s="625"/>
      <c r="D206" s="625"/>
      <c r="E206" s="625"/>
      <c r="F206" s="625"/>
      <c r="G206" s="625"/>
      <c r="H206" s="625"/>
      <c r="I206" s="625"/>
      <c r="J206" s="625"/>
      <c r="K206" s="625"/>
      <c r="L206" s="625"/>
      <c r="M206" s="625"/>
      <c r="N206" s="625"/>
      <c r="O206" s="625"/>
      <c r="P206" s="625"/>
      <c r="Q206" s="625"/>
      <c r="R206" s="625"/>
      <c r="S206" s="625"/>
      <c r="T206" s="625"/>
      <c r="U206" s="625"/>
      <c r="V206" s="625"/>
      <c r="W206" s="625"/>
      <c r="X206" s="625"/>
      <c r="Y206" s="625"/>
      <c r="Z206" s="625"/>
    </row>
    <row r="207">
      <c r="A207" s="625"/>
      <c r="B207" s="625"/>
      <c r="C207" s="625"/>
      <c r="D207" s="625"/>
      <c r="E207" s="625"/>
      <c r="F207" s="625"/>
      <c r="G207" s="625"/>
      <c r="H207" s="625"/>
      <c r="I207" s="625"/>
      <c r="J207" s="625"/>
      <c r="K207" s="625"/>
      <c r="L207" s="625"/>
      <c r="M207" s="625"/>
      <c r="N207" s="625"/>
      <c r="O207" s="625"/>
      <c r="P207" s="625"/>
      <c r="Q207" s="625"/>
      <c r="R207" s="625"/>
      <c r="S207" s="625"/>
      <c r="T207" s="625"/>
      <c r="U207" s="625"/>
      <c r="V207" s="625"/>
      <c r="W207" s="625"/>
      <c r="X207" s="625"/>
      <c r="Y207" s="625"/>
      <c r="Z207" s="625"/>
    </row>
    <row r="208">
      <c r="A208" s="625"/>
      <c r="B208" s="625"/>
      <c r="C208" s="625"/>
      <c r="D208" s="625"/>
      <c r="E208" s="625"/>
      <c r="F208" s="625"/>
      <c r="G208" s="625"/>
      <c r="H208" s="625"/>
      <c r="I208" s="625"/>
      <c r="J208" s="625"/>
      <c r="K208" s="625"/>
      <c r="L208" s="625"/>
      <c r="M208" s="625"/>
      <c r="N208" s="625"/>
      <c r="O208" s="625"/>
      <c r="P208" s="625"/>
      <c r="Q208" s="625"/>
      <c r="R208" s="625"/>
      <c r="S208" s="625"/>
      <c r="T208" s="625"/>
      <c r="U208" s="625"/>
      <c r="V208" s="625"/>
      <c r="W208" s="625"/>
      <c r="X208" s="625"/>
      <c r="Y208" s="625"/>
      <c r="Z208" s="625"/>
    </row>
    <row r="209">
      <c r="A209" s="625"/>
      <c r="B209" s="625"/>
      <c r="C209" s="625"/>
      <c r="D209" s="625"/>
      <c r="E209" s="625"/>
      <c r="F209" s="625"/>
      <c r="G209" s="625"/>
      <c r="H209" s="625"/>
      <c r="I209" s="625"/>
      <c r="J209" s="625"/>
      <c r="K209" s="625"/>
      <c r="L209" s="625"/>
      <c r="M209" s="625"/>
      <c r="N209" s="625"/>
      <c r="O209" s="625"/>
      <c r="P209" s="625"/>
      <c r="Q209" s="625"/>
      <c r="R209" s="625"/>
      <c r="S209" s="625"/>
      <c r="T209" s="625"/>
      <c r="U209" s="625"/>
      <c r="V209" s="625"/>
      <c r="W209" s="625"/>
      <c r="X209" s="625"/>
      <c r="Y209" s="625"/>
      <c r="Z209" s="625"/>
    </row>
    <row r="210">
      <c r="A210" s="625"/>
      <c r="B210" s="625"/>
      <c r="C210" s="625"/>
      <c r="D210" s="625"/>
      <c r="E210" s="625"/>
      <c r="F210" s="625"/>
      <c r="G210" s="625"/>
      <c r="H210" s="625"/>
      <c r="I210" s="625"/>
      <c r="J210" s="625"/>
      <c r="K210" s="625"/>
      <c r="L210" s="625"/>
      <c r="M210" s="625"/>
      <c r="N210" s="625"/>
      <c r="O210" s="625"/>
      <c r="P210" s="625"/>
      <c r="Q210" s="625"/>
      <c r="R210" s="625"/>
      <c r="S210" s="625"/>
      <c r="T210" s="625"/>
      <c r="U210" s="625"/>
      <c r="V210" s="625"/>
      <c r="W210" s="625"/>
      <c r="X210" s="625"/>
      <c r="Y210" s="625"/>
      <c r="Z210" s="625"/>
    </row>
    <row r="211">
      <c r="A211" s="625"/>
      <c r="B211" s="625"/>
      <c r="C211" s="625"/>
      <c r="D211" s="625"/>
      <c r="E211" s="625"/>
      <c r="F211" s="625"/>
      <c r="G211" s="625"/>
      <c r="H211" s="625"/>
      <c r="I211" s="625"/>
      <c r="J211" s="625"/>
      <c r="K211" s="625"/>
      <c r="L211" s="625"/>
      <c r="M211" s="625"/>
      <c r="N211" s="625"/>
      <c r="O211" s="625"/>
      <c r="P211" s="625"/>
      <c r="Q211" s="625"/>
      <c r="R211" s="625"/>
      <c r="S211" s="625"/>
      <c r="T211" s="625"/>
      <c r="U211" s="625"/>
      <c r="V211" s="625"/>
      <c r="W211" s="625"/>
      <c r="X211" s="625"/>
      <c r="Y211" s="625"/>
      <c r="Z211" s="625"/>
    </row>
    <row r="212">
      <c r="A212" s="625"/>
      <c r="B212" s="625"/>
      <c r="C212" s="625"/>
      <c r="D212" s="625"/>
      <c r="E212" s="625"/>
      <c r="F212" s="625"/>
      <c r="G212" s="625"/>
      <c r="H212" s="625"/>
      <c r="I212" s="625"/>
      <c r="J212" s="625"/>
      <c r="K212" s="625"/>
      <c r="L212" s="625"/>
      <c r="M212" s="625"/>
      <c r="N212" s="625"/>
      <c r="O212" s="625"/>
      <c r="P212" s="625"/>
      <c r="Q212" s="625"/>
      <c r="R212" s="625"/>
      <c r="S212" s="625"/>
      <c r="T212" s="625"/>
      <c r="U212" s="625"/>
      <c r="V212" s="625"/>
      <c r="W212" s="625"/>
      <c r="X212" s="625"/>
      <c r="Y212" s="625"/>
      <c r="Z212" s="625"/>
    </row>
    <row r="213">
      <c r="A213" s="625"/>
      <c r="B213" s="625"/>
      <c r="C213" s="625"/>
      <c r="D213" s="625"/>
      <c r="E213" s="625"/>
      <c r="F213" s="625"/>
      <c r="G213" s="625"/>
      <c r="H213" s="625"/>
      <c r="I213" s="625"/>
      <c r="J213" s="625"/>
      <c r="K213" s="625"/>
      <c r="L213" s="625"/>
      <c r="M213" s="625"/>
      <c r="N213" s="625"/>
      <c r="O213" s="625"/>
      <c r="P213" s="625"/>
      <c r="Q213" s="625"/>
      <c r="R213" s="625"/>
      <c r="S213" s="625"/>
      <c r="T213" s="625"/>
      <c r="U213" s="625"/>
      <c r="V213" s="625"/>
      <c r="W213" s="625"/>
      <c r="X213" s="625"/>
      <c r="Y213" s="625"/>
      <c r="Z213" s="625"/>
    </row>
    <row r="214">
      <c r="A214" s="625"/>
      <c r="B214" s="625"/>
      <c r="C214" s="625"/>
      <c r="D214" s="625"/>
      <c r="E214" s="625"/>
      <c r="F214" s="625"/>
      <c r="G214" s="625"/>
      <c r="H214" s="625"/>
      <c r="I214" s="625"/>
      <c r="J214" s="625"/>
      <c r="K214" s="625"/>
      <c r="L214" s="625"/>
      <c r="M214" s="625"/>
      <c r="N214" s="625"/>
      <c r="O214" s="625"/>
      <c r="P214" s="625"/>
      <c r="Q214" s="625"/>
      <c r="R214" s="625"/>
      <c r="S214" s="625"/>
      <c r="T214" s="625"/>
      <c r="U214" s="625"/>
      <c r="V214" s="625"/>
      <c r="W214" s="625"/>
      <c r="X214" s="625"/>
      <c r="Y214" s="625"/>
      <c r="Z214" s="625"/>
    </row>
    <row r="215">
      <c r="A215" s="625"/>
      <c r="B215" s="625"/>
      <c r="C215" s="625"/>
      <c r="D215" s="625"/>
      <c r="E215" s="625"/>
      <c r="F215" s="625"/>
      <c r="G215" s="625"/>
      <c r="H215" s="625"/>
      <c r="I215" s="625"/>
      <c r="J215" s="625"/>
      <c r="K215" s="625"/>
      <c r="L215" s="625"/>
      <c r="M215" s="625"/>
      <c r="N215" s="625"/>
      <c r="O215" s="625"/>
      <c r="P215" s="625"/>
      <c r="Q215" s="625"/>
      <c r="R215" s="625"/>
      <c r="S215" s="625"/>
      <c r="T215" s="625"/>
      <c r="U215" s="625"/>
      <c r="V215" s="625"/>
      <c r="W215" s="625"/>
      <c r="X215" s="625"/>
      <c r="Y215" s="625"/>
      <c r="Z215" s="625"/>
    </row>
    <row r="216">
      <c r="A216" s="625"/>
      <c r="B216" s="625"/>
      <c r="C216" s="625"/>
      <c r="D216" s="625"/>
      <c r="E216" s="625"/>
      <c r="F216" s="625"/>
      <c r="G216" s="625"/>
      <c r="H216" s="625"/>
      <c r="I216" s="625"/>
      <c r="J216" s="625"/>
      <c r="K216" s="625"/>
      <c r="L216" s="625"/>
      <c r="M216" s="625"/>
      <c r="N216" s="625"/>
      <c r="O216" s="625"/>
      <c r="P216" s="625"/>
      <c r="Q216" s="625"/>
      <c r="R216" s="625"/>
      <c r="S216" s="625"/>
      <c r="T216" s="625"/>
      <c r="U216" s="625"/>
      <c r="V216" s="625"/>
      <c r="W216" s="625"/>
      <c r="X216" s="625"/>
      <c r="Y216" s="625"/>
      <c r="Z216" s="625"/>
    </row>
    <row r="217">
      <c r="A217" s="625"/>
      <c r="B217" s="625"/>
      <c r="C217" s="625"/>
      <c r="D217" s="625"/>
      <c r="E217" s="625"/>
      <c r="F217" s="625"/>
      <c r="G217" s="625"/>
      <c r="H217" s="625"/>
      <c r="I217" s="625"/>
      <c r="J217" s="625"/>
      <c r="K217" s="625"/>
      <c r="L217" s="625"/>
      <c r="M217" s="625"/>
      <c r="N217" s="625"/>
      <c r="O217" s="625"/>
      <c r="P217" s="625"/>
      <c r="Q217" s="625"/>
      <c r="R217" s="625"/>
      <c r="S217" s="625"/>
      <c r="T217" s="625"/>
      <c r="U217" s="625"/>
      <c r="V217" s="625"/>
      <c r="W217" s="625"/>
      <c r="X217" s="625"/>
      <c r="Y217" s="625"/>
      <c r="Z217" s="625"/>
    </row>
    <row r="218">
      <c r="A218" s="625"/>
      <c r="B218" s="625"/>
      <c r="C218" s="625"/>
      <c r="D218" s="625"/>
      <c r="E218" s="625"/>
      <c r="F218" s="625"/>
      <c r="G218" s="625"/>
      <c r="H218" s="625"/>
      <c r="I218" s="625"/>
      <c r="J218" s="625"/>
      <c r="K218" s="625"/>
      <c r="L218" s="625"/>
      <c r="M218" s="625"/>
      <c r="N218" s="625"/>
      <c r="O218" s="625"/>
      <c r="P218" s="625"/>
      <c r="Q218" s="625"/>
      <c r="R218" s="625"/>
      <c r="S218" s="625"/>
      <c r="T218" s="625"/>
      <c r="U218" s="625"/>
      <c r="V218" s="625"/>
      <c r="W218" s="625"/>
      <c r="X218" s="625"/>
      <c r="Y218" s="625"/>
      <c r="Z218" s="625"/>
    </row>
    <row r="219">
      <c r="A219" s="625"/>
      <c r="B219" s="625"/>
      <c r="C219" s="625"/>
      <c r="D219" s="625"/>
      <c r="E219" s="625"/>
      <c r="F219" s="625"/>
      <c r="G219" s="625"/>
      <c r="H219" s="625"/>
      <c r="I219" s="625"/>
      <c r="J219" s="625"/>
      <c r="K219" s="625"/>
      <c r="L219" s="625"/>
      <c r="M219" s="625"/>
      <c r="N219" s="625"/>
      <c r="O219" s="625"/>
      <c r="P219" s="625"/>
      <c r="Q219" s="625"/>
      <c r="R219" s="625"/>
      <c r="S219" s="625"/>
      <c r="T219" s="625"/>
      <c r="U219" s="625"/>
      <c r="V219" s="625"/>
      <c r="W219" s="625"/>
      <c r="X219" s="625"/>
      <c r="Y219" s="625"/>
      <c r="Z219" s="625"/>
    </row>
    <row r="220">
      <c r="A220" s="625"/>
      <c r="B220" s="625"/>
      <c r="C220" s="625"/>
      <c r="D220" s="625"/>
      <c r="E220" s="625"/>
      <c r="F220" s="625"/>
      <c r="G220" s="625"/>
      <c r="H220" s="625"/>
      <c r="I220" s="625"/>
      <c r="J220" s="625"/>
      <c r="K220" s="625"/>
      <c r="L220" s="625"/>
      <c r="M220" s="625"/>
      <c r="N220" s="625"/>
      <c r="O220" s="625"/>
      <c r="P220" s="625"/>
      <c r="Q220" s="625"/>
      <c r="R220" s="625"/>
      <c r="S220" s="625"/>
      <c r="T220" s="625"/>
      <c r="U220" s="625"/>
      <c r="V220" s="625"/>
      <c r="W220" s="625"/>
      <c r="X220" s="625"/>
      <c r="Y220" s="625"/>
      <c r="Z220" s="625"/>
    </row>
    <row r="221">
      <c r="A221" s="625"/>
      <c r="B221" s="625"/>
      <c r="C221" s="625"/>
      <c r="D221" s="625"/>
      <c r="E221" s="625"/>
      <c r="F221" s="625"/>
      <c r="G221" s="625"/>
      <c r="H221" s="625"/>
      <c r="I221" s="625"/>
      <c r="J221" s="625"/>
      <c r="K221" s="625"/>
      <c r="L221" s="625"/>
      <c r="M221" s="625"/>
      <c r="N221" s="625"/>
      <c r="O221" s="625"/>
      <c r="P221" s="625"/>
      <c r="Q221" s="625"/>
      <c r="R221" s="625"/>
      <c r="S221" s="625"/>
      <c r="T221" s="625"/>
      <c r="U221" s="625"/>
      <c r="V221" s="625"/>
      <c r="W221" s="625"/>
      <c r="X221" s="625"/>
      <c r="Y221" s="625"/>
      <c r="Z221" s="625"/>
    </row>
    <row r="222">
      <c r="A222" s="625"/>
      <c r="B222" s="625"/>
      <c r="C222" s="625"/>
      <c r="D222" s="625"/>
      <c r="E222" s="625"/>
      <c r="F222" s="625"/>
      <c r="G222" s="625"/>
      <c r="H222" s="625"/>
      <c r="I222" s="625"/>
      <c r="J222" s="625"/>
      <c r="K222" s="625"/>
      <c r="L222" s="625"/>
      <c r="M222" s="625"/>
      <c r="N222" s="625"/>
      <c r="O222" s="625"/>
      <c r="P222" s="625"/>
      <c r="Q222" s="625"/>
      <c r="R222" s="625"/>
      <c r="S222" s="625"/>
      <c r="T222" s="625"/>
      <c r="U222" s="625"/>
      <c r="V222" s="625"/>
      <c r="W222" s="625"/>
      <c r="X222" s="625"/>
      <c r="Y222" s="625"/>
      <c r="Z222" s="625"/>
    </row>
    <row r="223">
      <c r="A223" s="625"/>
      <c r="B223" s="625"/>
      <c r="C223" s="625"/>
      <c r="D223" s="625"/>
      <c r="E223" s="625"/>
      <c r="F223" s="625"/>
      <c r="G223" s="625"/>
      <c r="H223" s="625"/>
      <c r="I223" s="625"/>
      <c r="J223" s="625"/>
      <c r="K223" s="625"/>
      <c r="L223" s="625"/>
      <c r="M223" s="625"/>
      <c r="N223" s="625"/>
      <c r="O223" s="625"/>
      <c r="P223" s="625"/>
      <c r="Q223" s="625"/>
      <c r="R223" s="625"/>
      <c r="S223" s="625"/>
      <c r="T223" s="625"/>
      <c r="U223" s="625"/>
      <c r="V223" s="625"/>
      <c r="W223" s="625"/>
      <c r="X223" s="625"/>
      <c r="Y223" s="625"/>
      <c r="Z223" s="625"/>
    </row>
    <row r="224">
      <c r="A224" s="625"/>
      <c r="B224" s="625"/>
      <c r="C224" s="625"/>
      <c r="D224" s="625"/>
      <c r="E224" s="625"/>
      <c r="F224" s="625"/>
      <c r="G224" s="625"/>
      <c r="H224" s="625"/>
      <c r="I224" s="625"/>
      <c r="J224" s="625"/>
      <c r="K224" s="625"/>
      <c r="L224" s="625"/>
      <c r="M224" s="625"/>
      <c r="N224" s="625"/>
      <c r="O224" s="625"/>
      <c r="P224" s="625"/>
      <c r="Q224" s="625"/>
      <c r="R224" s="625"/>
      <c r="S224" s="625"/>
      <c r="T224" s="625"/>
      <c r="U224" s="625"/>
      <c r="V224" s="625"/>
      <c r="W224" s="625"/>
      <c r="X224" s="625"/>
      <c r="Y224" s="625"/>
      <c r="Z224" s="625"/>
    </row>
    <row r="225">
      <c r="A225" s="625"/>
      <c r="B225" s="625"/>
      <c r="C225" s="625"/>
      <c r="D225" s="625"/>
      <c r="E225" s="625"/>
      <c r="F225" s="625"/>
      <c r="G225" s="625"/>
      <c r="H225" s="625"/>
      <c r="I225" s="625"/>
      <c r="J225" s="625"/>
      <c r="K225" s="625"/>
      <c r="L225" s="625"/>
      <c r="M225" s="625"/>
      <c r="N225" s="625"/>
      <c r="O225" s="625"/>
      <c r="P225" s="625"/>
      <c r="Q225" s="625"/>
      <c r="R225" s="625"/>
      <c r="S225" s="625"/>
      <c r="T225" s="625"/>
      <c r="U225" s="625"/>
      <c r="V225" s="625"/>
      <c r="W225" s="625"/>
      <c r="X225" s="625"/>
      <c r="Y225" s="625"/>
      <c r="Z225" s="625"/>
    </row>
    <row r="226">
      <c r="A226" s="625"/>
      <c r="B226" s="625"/>
      <c r="C226" s="625"/>
      <c r="D226" s="625"/>
      <c r="E226" s="625"/>
      <c r="F226" s="625"/>
      <c r="G226" s="625"/>
      <c r="H226" s="625"/>
      <c r="I226" s="625"/>
      <c r="J226" s="625"/>
      <c r="K226" s="625"/>
      <c r="L226" s="625"/>
      <c r="M226" s="625"/>
      <c r="N226" s="625"/>
      <c r="O226" s="625"/>
      <c r="P226" s="625"/>
      <c r="Q226" s="625"/>
      <c r="R226" s="625"/>
      <c r="S226" s="625"/>
      <c r="T226" s="625"/>
      <c r="U226" s="625"/>
      <c r="V226" s="625"/>
      <c r="W226" s="625"/>
      <c r="X226" s="625"/>
      <c r="Y226" s="625"/>
      <c r="Z226" s="625"/>
    </row>
    <row r="227">
      <c r="A227" s="625"/>
      <c r="B227" s="625"/>
      <c r="C227" s="625"/>
      <c r="D227" s="625"/>
      <c r="E227" s="625"/>
      <c r="F227" s="625"/>
      <c r="G227" s="625"/>
      <c r="H227" s="625"/>
      <c r="I227" s="625"/>
      <c r="J227" s="625"/>
      <c r="K227" s="625"/>
      <c r="L227" s="625"/>
      <c r="M227" s="625"/>
      <c r="N227" s="625"/>
      <c r="O227" s="625"/>
      <c r="P227" s="625"/>
      <c r="Q227" s="625"/>
      <c r="R227" s="625"/>
      <c r="S227" s="625"/>
      <c r="T227" s="625"/>
      <c r="U227" s="625"/>
      <c r="V227" s="625"/>
      <c r="W227" s="625"/>
      <c r="X227" s="625"/>
      <c r="Y227" s="625"/>
      <c r="Z227" s="625"/>
    </row>
    <row r="228">
      <c r="A228" s="625"/>
      <c r="B228" s="625"/>
      <c r="C228" s="625"/>
      <c r="D228" s="625"/>
      <c r="E228" s="625"/>
      <c r="F228" s="625"/>
      <c r="G228" s="625"/>
      <c r="H228" s="625"/>
      <c r="I228" s="625"/>
      <c r="J228" s="625"/>
      <c r="K228" s="625"/>
      <c r="L228" s="625"/>
      <c r="M228" s="625"/>
      <c r="N228" s="625"/>
      <c r="O228" s="625"/>
      <c r="P228" s="625"/>
      <c r="Q228" s="625"/>
      <c r="R228" s="625"/>
      <c r="S228" s="625"/>
      <c r="T228" s="625"/>
      <c r="U228" s="625"/>
      <c r="V228" s="625"/>
      <c r="W228" s="625"/>
      <c r="X228" s="625"/>
      <c r="Y228" s="625"/>
      <c r="Z228" s="625"/>
    </row>
    <row r="229">
      <c r="A229" s="625"/>
      <c r="B229" s="625"/>
      <c r="C229" s="625"/>
      <c r="D229" s="625"/>
      <c r="E229" s="625"/>
      <c r="F229" s="625"/>
      <c r="G229" s="625"/>
      <c r="H229" s="625"/>
      <c r="I229" s="625"/>
      <c r="J229" s="625"/>
      <c r="K229" s="625"/>
      <c r="L229" s="625"/>
      <c r="M229" s="625"/>
      <c r="N229" s="625"/>
      <c r="O229" s="625"/>
      <c r="P229" s="625"/>
      <c r="Q229" s="625"/>
      <c r="R229" s="625"/>
      <c r="S229" s="625"/>
      <c r="T229" s="625"/>
      <c r="U229" s="625"/>
      <c r="V229" s="625"/>
      <c r="W229" s="625"/>
      <c r="X229" s="625"/>
      <c r="Y229" s="625"/>
      <c r="Z229" s="625"/>
    </row>
    <row r="230">
      <c r="A230" s="625"/>
      <c r="B230" s="625"/>
      <c r="C230" s="625"/>
      <c r="D230" s="625"/>
      <c r="E230" s="625"/>
      <c r="F230" s="625"/>
      <c r="G230" s="625"/>
      <c r="H230" s="625"/>
      <c r="I230" s="625"/>
      <c r="J230" s="625"/>
      <c r="K230" s="625"/>
      <c r="L230" s="625"/>
      <c r="M230" s="625"/>
      <c r="N230" s="625"/>
      <c r="O230" s="625"/>
      <c r="P230" s="625"/>
      <c r="Q230" s="625"/>
      <c r="R230" s="625"/>
      <c r="S230" s="625"/>
      <c r="T230" s="625"/>
      <c r="U230" s="625"/>
      <c r="V230" s="625"/>
      <c r="W230" s="625"/>
      <c r="X230" s="625"/>
      <c r="Y230" s="625"/>
      <c r="Z230" s="625"/>
    </row>
    <row r="231">
      <c r="A231" s="625"/>
      <c r="B231" s="625"/>
      <c r="C231" s="625"/>
      <c r="D231" s="625"/>
      <c r="E231" s="625"/>
      <c r="F231" s="625"/>
      <c r="G231" s="625"/>
      <c r="H231" s="625"/>
      <c r="I231" s="625"/>
      <c r="J231" s="625"/>
      <c r="K231" s="625"/>
      <c r="L231" s="625"/>
      <c r="M231" s="625"/>
      <c r="N231" s="625"/>
      <c r="O231" s="625"/>
      <c r="P231" s="625"/>
      <c r="Q231" s="625"/>
      <c r="R231" s="625"/>
      <c r="S231" s="625"/>
      <c r="T231" s="625"/>
      <c r="U231" s="625"/>
      <c r="V231" s="625"/>
      <c r="W231" s="625"/>
      <c r="X231" s="625"/>
      <c r="Y231" s="625"/>
      <c r="Z231" s="625"/>
    </row>
    <row r="232">
      <c r="A232" s="625"/>
      <c r="B232" s="625"/>
      <c r="C232" s="625"/>
      <c r="D232" s="625"/>
      <c r="E232" s="625"/>
      <c r="F232" s="625"/>
      <c r="G232" s="625"/>
      <c r="H232" s="625"/>
      <c r="I232" s="625"/>
      <c r="J232" s="625"/>
      <c r="K232" s="625"/>
      <c r="L232" s="625"/>
      <c r="M232" s="625"/>
      <c r="N232" s="625"/>
      <c r="O232" s="625"/>
      <c r="P232" s="625"/>
      <c r="Q232" s="625"/>
      <c r="R232" s="625"/>
      <c r="S232" s="625"/>
      <c r="T232" s="625"/>
      <c r="U232" s="625"/>
      <c r="V232" s="625"/>
      <c r="W232" s="625"/>
      <c r="X232" s="625"/>
      <c r="Y232" s="625"/>
      <c r="Z232" s="625"/>
    </row>
    <row r="233">
      <c r="A233" s="625"/>
      <c r="B233" s="625"/>
      <c r="C233" s="625"/>
      <c r="D233" s="625"/>
      <c r="E233" s="625"/>
      <c r="F233" s="625"/>
      <c r="G233" s="625"/>
      <c r="H233" s="625"/>
      <c r="I233" s="625"/>
      <c r="J233" s="625"/>
      <c r="K233" s="625"/>
      <c r="L233" s="625"/>
      <c r="M233" s="625"/>
      <c r="N233" s="625"/>
      <c r="O233" s="625"/>
      <c r="P233" s="625"/>
      <c r="Q233" s="625"/>
      <c r="R233" s="625"/>
      <c r="S233" s="625"/>
      <c r="T233" s="625"/>
      <c r="U233" s="625"/>
      <c r="V233" s="625"/>
      <c r="W233" s="625"/>
      <c r="X233" s="625"/>
      <c r="Y233" s="625"/>
      <c r="Z233" s="625"/>
    </row>
    <row r="234">
      <c r="A234" s="625"/>
      <c r="B234" s="625"/>
      <c r="C234" s="625"/>
      <c r="D234" s="625"/>
      <c r="E234" s="625"/>
      <c r="F234" s="625"/>
      <c r="G234" s="625"/>
      <c r="H234" s="625"/>
      <c r="I234" s="625"/>
      <c r="J234" s="625"/>
      <c r="K234" s="625"/>
      <c r="L234" s="625"/>
      <c r="M234" s="625"/>
      <c r="N234" s="625"/>
      <c r="O234" s="625"/>
      <c r="P234" s="625"/>
      <c r="Q234" s="625"/>
      <c r="R234" s="625"/>
      <c r="S234" s="625"/>
      <c r="T234" s="625"/>
      <c r="U234" s="625"/>
      <c r="V234" s="625"/>
      <c r="W234" s="625"/>
      <c r="X234" s="625"/>
      <c r="Y234" s="625"/>
      <c r="Z234" s="625"/>
    </row>
    <row r="235">
      <c r="A235" s="625"/>
      <c r="B235" s="625"/>
      <c r="C235" s="625"/>
      <c r="D235" s="625"/>
      <c r="E235" s="625"/>
      <c r="F235" s="625"/>
      <c r="G235" s="625"/>
      <c r="H235" s="625"/>
      <c r="I235" s="625"/>
      <c r="J235" s="625"/>
      <c r="K235" s="625"/>
      <c r="L235" s="625"/>
      <c r="M235" s="625"/>
      <c r="N235" s="625"/>
      <c r="O235" s="625"/>
      <c r="P235" s="625"/>
      <c r="Q235" s="625"/>
      <c r="R235" s="625"/>
      <c r="S235" s="625"/>
      <c r="T235" s="625"/>
      <c r="U235" s="625"/>
      <c r="V235" s="625"/>
      <c r="W235" s="625"/>
      <c r="X235" s="625"/>
      <c r="Y235" s="625"/>
      <c r="Z235" s="625"/>
    </row>
    <row r="236">
      <c r="A236" s="625"/>
      <c r="B236" s="625"/>
      <c r="C236" s="625"/>
      <c r="D236" s="625"/>
      <c r="E236" s="625"/>
      <c r="F236" s="625"/>
      <c r="G236" s="625"/>
      <c r="H236" s="625"/>
      <c r="I236" s="625"/>
      <c r="J236" s="625"/>
      <c r="K236" s="625"/>
      <c r="L236" s="625"/>
      <c r="M236" s="625"/>
      <c r="N236" s="625"/>
      <c r="O236" s="625"/>
      <c r="P236" s="625"/>
      <c r="Q236" s="625"/>
      <c r="R236" s="625"/>
      <c r="S236" s="625"/>
      <c r="T236" s="625"/>
      <c r="U236" s="625"/>
      <c r="V236" s="625"/>
      <c r="W236" s="625"/>
      <c r="X236" s="625"/>
      <c r="Y236" s="625"/>
      <c r="Z236" s="625"/>
    </row>
    <row r="237">
      <c r="A237" s="625"/>
      <c r="B237" s="625"/>
      <c r="C237" s="625"/>
      <c r="D237" s="625"/>
      <c r="E237" s="625"/>
      <c r="F237" s="625"/>
      <c r="G237" s="625"/>
      <c r="H237" s="625"/>
      <c r="I237" s="625"/>
      <c r="J237" s="625"/>
      <c r="K237" s="625"/>
      <c r="L237" s="625"/>
      <c r="M237" s="625"/>
      <c r="N237" s="625"/>
      <c r="O237" s="625"/>
      <c r="P237" s="625"/>
      <c r="Q237" s="625"/>
      <c r="R237" s="625"/>
      <c r="S237" s="625"/>
      <c r="T237" s="625"/>
      <c r="U237" s="625"/>
      <c r="V237" s="625"/>
      <c r="W237" s="625"/>
      <c r="X237" s="625"/>
      <c r="Y237" s="625"/>
      <c r="Z237" s="625"/>
    </row>
    <row r="238">
      <c r="A238" s="625"/>
      <c r="B238" s="625"/>
      <c r="C238" s="625"/>
      <c r="D238" s="625"/>
      <c r="E238" s="625"/>
      <c r="F238" s="625"/>
      <c r="G238" s="625"/>
      <c r="H238" s="625"/>
      <c r="I238" s="625"/>
      <c r="J238" s="625"/>
      <c r="K238" s="625"/>
      <c r="L238" s="625"/>
      <c r="M238" s="625"/>
      <c r="N238" s="625"/>
      <c r="O238" s="625"/>
      <c r="P238" s="625"/>
      <c r="Q238" s="625"/>
      <c r="R238" s="625"/>
      <c r="S238" s="625"/>
      <c r="T238" s="625"/>
      <c r="U238" s="625"/>
      <c r="V238" s="625"/>
      <c r="W238" s="625"/>
      <c r="X238" s="625"/>
      <c r="Y238" s="625"/>
      <c r="Z238" s="625"/>
    </row>
    <row r="239">
      <c r="A239" s="625"/>
      <c r="B239" s="625"/>
      <c r="C239" s="625"/>
      <c r="D239" s="625"/>
      <c r="E239" s="625"/>
      <c r="F239" s="625"/>
      <c r="G239" s="625"/>
      <c r="H239" s="625"/>
      <c r="I239" s="625"/>
      <c r="J239" s="625"/>
      <c r="K239" s="625"/>
      <c r="L239" s="625"/>
      <c r="M239" s="625"/>
      <c r="N239" s="625"/>
      <c r="O239" s="625"/>
      <c r="P239" s="625"/>
      <c r="Q239" s="625"/>
      <c r="R239" s="625"/>
      <c r="S239" s="625"/>
      <c r="T239" s="625"/>
      <c r="U239" s="625"/>
      <c r="V239" s="625"/>
      <c r="W239" s="625"/>
      <c r="X239" s="625"/>
      <c r="Y239" s="625"/>
      <c r="Z239" s="625"/>
    </row>
    <row r="240">
      <c r="A240" s="625"/>
      <c r="B240" s="625"/>
      <c r="C240" s="625"/>
      <c r="D240" s="625"/>
      <c r="E240" s="625"/>
      <c r="F240" s="625"/>
      <c r="G240" s="625"/>
      <c r="H240" s="625"/>
      <c r="I240" s="625"/>
      <c r="J240" s="625"/>
      <c r="K240" s="625"/>
      <c r="L240" s="625"/>
      <c r="M240" s="625"/>
      <c r="N240" s="625"/>
      <c r="O240" s="625"/>
      <c r="P240" s="625"/>
      <c r="Q240" s="625"/>
      <c r="R240" s="625"/>
      <c r="S240" s="625"/>
      <c r="T240" s="625"/>
      <c r="U240" s="625"/>
      <c r="V240" s="625"/>
      <c r="W240" s="625"/>
      <c r="X240" s="625"/>
      <c r="Y240" s="625"/>
      <c r="Z240" s="625"/>
    </row>
    <row r="241">
      <c r="A241" s="625"/>
      <c r="B241" s="625"/>
      <c r="C241" s="625"/>
      <c r="D241" s="625"/>
      <c r="E241" s="625"/>
      <c r="F241" s="625"/>
      <c r="G241" s="625"/>
      <c r="H241" s="625"/>
      <c r="I241" s="625"/>
      <c r="J241" s="625"/>
      <c r="K241" s="625"/>
      <c r="L241" s="625"/>
      <c r="M241" s="625"/>
      <c r="N241" s="625"/>
      <c r="O241" s="625"/>
      <c r="P241" s="625"/>
      <c r="Q241" s="625"/>
      <c r="R241" s="625"/>
      <c r="S241" s="625"/>
      <c r="T241" s="625"/>
      <c r="U241" s="625"/>
      <c r="V241" s="625"/>
      <c r="W241" s="625"/>
      <c r="X241" s="625"/>
      <c r="Y241" s="625"/>
      <c r="Z241" s="625"/>
    </row>
    <row r="242">
      <c r="A242" s="625"/>
      <c r="B242" s="625"/>
      <c r="C242" s="625"/>
      <c r="D242" s="625"/>
      <c r="E242" s="625"/>
      <c r="F242" s="625"/>
      <c r="G242" s="625"/>
      <c r="H242" s="625"/>
      <c r="I242" s="625"/>
      <c r="J242" s="625"/>
      <c r="K242" s="625"/>
      <c r="L242" s="625"/>
      <c r="M242" s="625"/>
      <c r="N242" s="625"/>
      <c r="O242" s="625"/>
      <c r="P242" s="625"/>
      <c r="Q242" s="625"/>
      <c r="R242" s="625"/>
      <c r="S242" s="625"/>
      <c r="T242" s="625"/>
      <c r="U242" s="625"/>
      <c r="V242" s="625"/>
      <c r="W242" s="625"/>
      <c r="X242" s="625"/>
      <c r="Y242" s="625"/>
      <c r="Z242" s="625"/>
    </row>
    <row r="243">
      <c r="A243" s="625"/>
      <c r="B243" s="625"/>
      <c r="C243" s="625"/>
      <c r="D243" s="625"/>
      <c r="E243" s="625"/>
      <c r="F243" s="625"/>
      <c r="G243" s="625"/>
      <c r="H243" s="625"/>
      <c r="I243" s="625"/>
      <c r="J243" s="625"/>
      <c r="K243" s="625"/>
      <c r="L243" s="625"/>
      <c r="M243" s="625"/>
      <c r="N243" s="625"/>
      <c r="O243" s="625"/>
      <c r="P243" s="625"/>
      <c r="Q243" s="625"/>
      <c r="R243" s="625"/>
      <c r="S243" s="625"/>
      <c r="T243" s="625"/>
      <c r="U243" s="625"/>
      <c r="V243" s="625"/>
      <c r="W243" s="625"/>
      <c r="X243" s="625"/>
      <c r="Y243" s="625"/>
      <c r="Z243" s="625"/>
    </row>
    <row r="244">
      <c r="A244" s="625"/>
      <c r="B244" s="625"/>
      <c r="C244" s="625"/>
      <c r="D244" s="625"/>
      <c r="E244" s="625"/>
      <c r="F244" s="625"/>
      <c r="G244" s="625"/>
      <c r="H244" s="625"/>
      <c r="I244" s="625"/>
      <c r="J244" s="625"/>
      <c r="K244" s="625"/>
      <c r="L244" s="625"/>
      <c r="M244" s="625"/>
      <c r="N244" s="625"/>
      <c r="O244" s="625"/>
      <c r="P244" s="625"/>
      <c r="Q244" s="625"/>
      <c r="R244" s="625"/>
      <c r="S244" s="625"/>
      <c r="T244" s="625"/>
      <c r="U244" s="625"/>
      <c r="V244" s="625"/>
      <c r="W244" s="625"/>
      <c r="X244" s="625"/>
      <c r="Y244" s="625"/>
      <c r="Z244" s="625"/>
    </row>
    <row r="245">
      <c r="A245" s="625"/>
      <c r="B245" s="625"/>
      <c r="C245" s="625"/>
      <c r="D245" s="625"/>
      <c r="E245" s="625"/>
      <c r="F245" s="625"/>
      <c r="G245" s="625"/>
      <c r="H245" s="625"/>
      <c r="I245" s="625"/>
      <c r="J245" s="625"/>
      <c r="K245" s="625"/>
      <c r="L245" s="625"/>
      <c r="M245" s="625"/>
      <c r="N245" s="625"/>
      <c r="O245" s="625"/>
      <c r="P245" s="625"/>
      <c r="Q245" s="625"/>
      <c r="R245" s="625"/>
      <c r="S245" s="625"/>
      <c r="T245" s="625"/>
      <c r="U245" s="625"/>
      <c r="V245" s="625"/>
      <c r="W245" s="625"/>
      <c r="X245" s="625"/>
      <c r="Y245" s="625"/>
      <c r="Z245" s="625"/>
    </row>
    <row r="246">
      <c r="A246" s="625"/>
      <c r="B246" s="625"/>
      <c r="C246" s="625"/>
      <c r="D246" s="625"/>
      <c r="E246" s="625"/>
      <c r="F246" s="625"/>
      <c r="G246" s="625"/>
      <c r="H246" s="625"/>
      <c r="I246" s="625"/>
      <c r="J246" s="625"/>
      <c r="K246" s="625"/>
      <c r="L246" s="625"/>
      <c r="M246" s="625"/>
      <c r="N246" s="625"/>
      <c r="O246" s="625"/>
      <c r="P246" s="625"/>
      <c r="Q246" s="625"/>
      <c r="R246" s="625"/>
      <c r="S246" s="625"/>
      <c r="T246" s="625"/>
      <c r="U246" s="625"/>
      <c r="V246" s="625"/>
      <c r="W246" s="625"/>
      <c r="X246" s="625"/>
      <c r="Y246" s="625"/>
      <c r="Z246" s="625"/>
    </row>
    <row r="247">
      <c r="A247" s="625"/>
      <c r="B247" s="625"/>
      <c r="C247" s="625"/>
      <c r="D247" s="625"/>
      <c r="E247" s="625"/>
      <c r="F247" s="625"/>
      <c r="G247" s="625"/>
      <c r="H247" s="625"/>
      <c r="I247" s="625"/>
      <c r="J247" s="625"/>
      <c r="K247" s="625"/>
      <c r="L247" s="625"/>
      <c r="M247" s="625"/>
      <c r="N247" s="625"/>
      <c r="O247" s="625"/>
      <c r="P247" s="625"/>
      <c r="Q247" s="625"/>
      <c r="R247" s="625"/>
      <c r="S247" s="625"/>
      <c r="T247" s="625"/>
      <c r="U247" s="625"/>
      <c r="V247" s="625"/>
      <c r="W247" s="625"/>
      <c r="X247" s="625"/>
      <c r="Y247" s="625"/>
      <c r="Z247" s="625"/>
    </row>
    <row r="248">
      <c r="A248" s="625"/>
      <c r="B248" s="625"/>
      <c r="C248" s="625"/>
      <c r="D248" s="625"/>
      <c r="E248" s="625"/>
      <c r="F248" s="625"/>
      <c r="G248" s="625"/>
      <c r="H248" s="625"/>
      <c r="I248" s="625"/>
      <c r="J248" s="625"/>
      <c r="K248" s="625"/>
      <c r="L248" s="625"/>
      <c r="M248" s="625"/>
      <c r="N248" s="625"/>
      <c r="O248" s="625"/>
      <c r="P248" s="625"/>
      <c r="Q248" s="625"/>
      <c r="R248" s="625"/>
      <c r="S248" s="625"/>
      <c r="T248" s="625"/>
      <c r="U248" s="625"/>
      <c r="V248" s="625"/>
      <c r="W248" s="625"/>
      <c r="X248" s="625"/>
      <c r="Y248" s="625"/>
      <c r="Z248" s="625"/>
    </row>
    <row r="249">
      <c r="A249" s="625"/>
      <c r="B249" s="625"/>
      <c r="C249" s="625"/>
      <c r="D249" s="625"/>
      <c r="E249" s="625"/>
      <c r="F249" s="625"/>
      <c r="G249" s="625"/>
      <c r="H249" s="625"/>
      <c r="I249" s="625"/>
      <c r="J249" s="625"/>
      <c r="K249" s="625"/>
      <c r="L249" s="625"/>
      <c r="M249" s="625"/>
      <c r="N249" s="625"/>
      <c r="O249" s="625"/>
      <c r="P249" s="625"/>
      <c r="Q249" s="625"/>
      <c r="R249" s="625"/>
      <c r="S249" s="625"/>
      <c r="T249" s="625"/>
      <c r="U249" s="625"/>
      <c r="V249" s="625"/>
      <c r="W249" s="625"/>
      <c r="X249" s="625"/>
      <c r="Y249" s="625"/>
      <c r="Z249" s="625"/>
    </row>
    <row r="250">
      <c r="A250" s="625"/>
      <c r="B250" s="625"/>
      <c r="C250" s="625"/>
      <c r="D250" s="625"/>
      <c r="E250" s="625"/>
      <c r="F250" s="625"/>
      <c r="G250" s="625"/>
      <c r="H250" s="625"/>
      <c r="I250" s="625"/>
      <c r="J250" s="625"/>
      <c r="K250" s="625"/>
      <c r="L250" s="625"/>
      <c r="M250" s="625"/>
      <c r="N250" s="625"/>
      <c r="O250" s="625"/>
      <c r="P250" s="625"/>
      <c r="Q250" s="625"/>
      <c r="R250" s="625"/>
      <c r="S250" s="625"/>
      <c r="T250" s="625"/>
      <c r="U250" s="625"/>
      <c r="V250" s="625"/>
      <c r="W250" s="625"/>
      <c r="X250" s="625"/>
      <c r="Y250" s="625"/>
      <c r="Z250" s="625"/>
    </row>
    <row r="251">
      <c r="A251" s="625"/>
      <c r="B251" s="625"/>
      <c r="C251" s="625"/>
      <c r="D251" s="625"/>
      <c r="E251" s="625"/>
      <c r="F251" s="625"/>
      <c r="G251" s="625"/>
      <c r="H251" s="625"/>
      <c r="I251" s="625"/>
      <c r="J251" s="625"/>
      <c r="K251" s="625"/>
      <c r="L251" s="625"/>
      <c r="M251" s="625"/>
      <c r="N251" s="625"/>
      <c r="O251" s="625"/>
      <c r="P251" s="625"/>
      <c r="Q251" s="625"/>
      <c r="R251" s="625"/>
      <c r="S251" s="625"/>
      <c r="T251" s="625"/>
      <c r="U251" s="625"/>
      <c r="V251" s="625"/>
      <c r="W251" s="625"/>
      <c r="X251" s="625"/>
      <c r="Y251" s="625"/>
      <c r="Z251" s="625"/>
    </row>
    <row r="252">
      <c r="A252" s="625"/>
      <c r="B252" s="625"/>
      <c r="C252" s="625"/>
      <c r="D252" s="625"/>
      <c r="E252" s="625"/>
      <c r="F252" s="625"/>
      <c r="G252" s="625"/>
      <c r="H252" s="625"/>
      <c r="I252" s="625"/>
      <c r="J252" s="625"/>
      <c r="K252" s="625"/>
      <c r="L252" s="625"/>
      <c r="M252" s="625"/>
      <c r="N252" s="625"/>
      <c r="O252" s="625"/>
      <c r="P252" s="625"/>
      <c r="Q252" s="625"/>
      <c r="R252" s="625"/>
      <c r="S252" s="625"/>
      <c r="T252" s="625"/>
      <c r="U252" s="625"/>
      <c r="V252" s="625"/>
      <c r="W252" s="625"/>
      <c r="X252" s="625"/>
      <c r="Y252" s="625"/>
      <c r="Z252" s="625"/>
    </row>
    <row r="253">
      <c r="A253" s="625"/>
      <c r="B253" s="625"/>
      <c r="C253" s="625"/>
      <c r="D253" s="625"/>
      <c r="E253" s="625"/>
      <c r="F253" s="625"/>
      <c r="G253" s="625"/>
      <c r="H253" s="625"/>
      <c r="I253" s="625"/>
      <c r="J253" s="625"/>
      <c r="K253" s="625"/>
      <c r="L253" s="625"/>
      <c r="M253" s="625"/>
      <c r="N253" s="625"/>
      <c r="O253" s="625"/>
      <c r="P253" s="625"/>
      <c r="Q253" s="625"/>
      <c r="R253" s="625"/>
      <c r="S253" s="625"/>
      <c r="T253" s="625"/>
      <c r="U253" s="625"/>
      <c r="V253" s="625"/>
      <c r="W253" s="625"/>
      <c r="X253" s="625"/>
      <c r="Y253" s="625"/>
      <c r="Z253" s="625"/>
    </row>
    <row r="254">
      <c r="A254" s="625"/>
      <c r="B254" s="625"/>
      <c r="C254" s="625"/>
      <c r="D254" s="625"/>
      <c r="E254" s="625"/>
      <c r="F254" s="625"/>
      <c r="G254" s="625"/>
      <c r="H254" s="625"/>
      <c r="I254" s="625"/>
      <c r="J254" s="625"/>
      <c r="K254" s="625"/>
      <c r="L254" s="625"/>
      <c r="M254" s="625"/>
      <c r="N254" s="625"/>
      <c r="O254" s="625"/>
      <c r="P254" s="625"/>
      <c r="Q254" s="625"/>
      <c r="R254" s="625"/>
      <c r="S254" s="625"/>
      <c r="T254" s="625"/>
      <c r="U254" s="625"/>
      <c r="V254" s="625"/>
      <c r="W254" s="625"/>
      <c r="X254" s="625"/>
      <c r="Y254" s="625"/>
      <c r="Z254" s="625"/>
    </row>
    <row r="255">
      <c r="A255" s="625"/>
      <c r="B255" s="625"/>
      <c r="C255" s="625"/>
      <c r="D255" s="625"/>
      <c r="E255" s="625"/>
      <c r="F255" s="625"/>
      <c r="G255" s="625"/>
      <c r="H255" s="625"/>
      <c r="I255" s="625"/>
      <c r="J255" s="625"/>
      <c r="K255" s="625"/>
      <c r="L255" s="625"/>
      <c r="M255" s="625"/>
      <c r="N255" s="625"/>
      <c r="O255" s="625"/>
      <c r="P255" s="625"/>
      <c r="Q255" s="625"/>
      <c r="R255" s="625"/>
      <c r="S255" s="625"/>
      <c r="T255" s="625"/>
      <c r="U255" s="625"/>
      <c r="V255" s="625"/>
      <c r="W255" s="625"/>
      <c r="X255" s="625"/>
      <c r="Y255" s="625"/>
      <c r="Z255" s="625"/>
    </row>
    <row r="256">
      <c r="A256" s="625"/>
      <c r="B256" s="625"/>
      <c r="C256" s="625"/>
      <c r="D256" s="625"/>
      <c r="E256" s="625"/>
      <c r="F256" s="625"/>
      <c r="G256" s="625"/>
      <c r="H256" s="625"/>
      <c r="I256" s="625"/>
      <c r="J256" s="625"/>
      <c r="K256" s="625"/>
      <c r="L256" s="625"/>
      <c r="M256" s="625"/>
      <c r="N256" s="625"/>
      <c r="O256" s="625"/>
      <c r="P256" s="625"/>
      <c r="Q256" s="625"/>
      <c r="R256" s="625"/>
      <c r="S256" s="625"/>
      <c r="T256" s="625"/>
      <c r="U256" s="625"/>
      <c r="V256" s="625"/>
      <c r="W256" s="625"/>
      <c r="X256" s="625"/>
      <c r="Y256" s="625"/>
      <c r="Z256" s="625"/>
    </row>
    <row r="257">
      <c r="A257" s="625"/>
      <c r="B257" s="625"/>
      <c r="C257" s="625"/>
      <c r="D257" s="625"/>
      <c r="E257" s="625"/>
      <c r="F257" s="625"/>
      <c r="G257" s="625"/>
      <c r="H257" s="625"/>
      <c r="I257" s="625"/>
      <c r="J257" s="625"/>
      <c r="K257" s="625"/>
      <c r="L257" s="625"/>
      <c r="M257" s="625"/>
      <c r="N257" s="625"/>
      <c r="O257" s="625"/>
      <c r="P257" s="625"/>
      <c r="Q257" s="625"/>
      <c r="R257" s="625"/>
      <c r="S257" s="625"/>
      <c r="T257" s="625"/>
      <c r="U257" s="625"/>
      <c r="V257" s="625"/>
      <c r="W257" s="625"/>
      <c r="X257" s="625"/>
      <c r="Y257" s="625"/>
      <c r="Z257" s="625"/>
    </row>
    <row r="258">
      <c r="A258" s="625"/>
      <c r="B258" s="625"/>
      <c r="C258" s="625"/>
      <c r="D258" s="625"/>
      <c r="E258" s="625"/>
      <c r="F258" s="625"/>
      <c r="G258" s="625"/>
      <c r="H258" s="625"/>
      <c r="I258" s="625"/>
      <c r="J258" s="625"/>
      <c r="K258" s="625"/>
      <c r="L258" s="625"/>
      <c r="M258" s="625"/>
      <c r="N258" s="625"/>
      <c r="O258" s="625"/>
      <c r="P258" s="625"/>
      <c r="Q258" s="625"/>
      <c r="R258" s="625"/>
      <c r="S258" s="625"/>
      <c r="T258" s="625"/>
      <c r="U258" s="625"/>
      <c r="V258" s="625"/>
      <c r="W258" s="625"/>
      <c r="X258" s="625"/>
      <c r="Y258" s="625"/>
      <c r="Z258" s="625"/>
    </row>
    <row r="259">
      <c r="A259" s="625"/>
      <c r="B259" s="625"/>
      <c r="C259" s="625"/>
      <c r="D259" s="625"/>
      <c r="E259" s="625"/>
      <c r="F259" s="625"/>
      <c r="G259" s="625"/>
      <c r="H259" s="625"/>
      <c r="I259" s="625"/>
      <c r="J259" s="625"/>
      <c r="K259" s="625"/>
      <c r="L259" s="625"/>
      <c r="M259" s="625"/>
      <c r="N259" s="625"/>
      <c r="O259" s="625"/>
      <c r="P259" s="625"/>
      <c r="Q259" s="625"/>
      <c r="R259" s="625"/>
      <c r="S259" s="625"/>
      <c r="T259" s="625"/>
      <c r="U259" s="625"/>
      <c r="V259" s="625"/>
      <c r="W259" s="625"/>
      <c r="X259" s="625"/>
      <c r="Y259" s="625"/>
      <c r="Z259" s="625"/>
    </row>
    <row r="260">
      <c r="A260" s="625"/>
      <c r="B260" s="625"/>
      <c r="C260" s="625"/>
      <c r="D260" s="625"/>
      <c r="E260" s="625"/>
      <c r="F260" s="625"/>
      <c r="G260" s="625"/>
      <c r="H260" s="625"/>
      <c r="I260" s="625"/>
      <c r="J260" s="625"/>
      <c r="K260" s="625"/>
      <c r="L260" s="625"/>
      <c r="M260" s="625"/>
      <c r="N260" s="625"/>
      <c r="O260" s="625"/>
      <c r="P260" s="625"/>
      <c r="Q260" s="625"/>
      <c r="R260" s="625"/>
      <c r="S260" s="625"/>
      <c r="T260" s="625"/>
      <c r="U260" s="625"/>
      <c r="V260" s="625"/>
      <c r="W260" s="625"/>
      <c r="X260" s="625"/>
      <c r="Y260" s="625"/>
      <c r="Z260" s="625"/>
    </row>
    <row r="261">
      <c r="A261" s="625"/>
      <c r="B261" s="625"/>
      <c r="C261" s="625"/>
      <c r="D261" s="625"/>
      <c r="E261" s="625"/>
      <c r="F261" s="625"/>
      <c r="G261" s="625"/>
      <c r="H261" s="625"/>
      <c r="I261" s="625"/>
      <c r="J261" s="625"/>
      <c r="K261" s="625"/>
      <c r="L261" s="625"/>
      <c r="M261" s="625"/>
      <c r="N261" s="625"/>
      <c r="O261" s="625"/>
      <c r="P261" s="625"/>
      <c r="Q261" s="625"/>
      <c r="R261" s="625"/>
      <c r="S261" s="625"/>
      <c r="T261" s="625"/>
      <c r="U261" s="625"/>
      <c r="V261" s="625"/>
      <c r="W261" s="625"/>
      <c r="X261" s="625"/>
      <c r="Y261" s="625"/>
      <c r="Z261" s="625"/>
    </row>
    <row r="262">
      <c r="A262" s="625"/>
      <c r="B262" s="625"/>
      <c r="C262" s="625"/>
      <c r="D262" s="625"/>
      <c r="E262" s="625"/>
      <c r="F262" s="625"/>
      <c r="G262" s="625"/>
      <c r="H262" s="625"/>
      <c r="I262" s="625"/>
      <c r="J262" s="625"/>
      <c r="K262" s="625"/>
      <c r="L262" s="625"/>
      <c r="M262" s="625"/>
      <c r="N262" s="625"/>
      <c r="O262" s="625"/>
      <c r="P262" s="625"/>
      <c r="Q262" s="625"/>
      <c r="R262" s="625"/>
      <c r="S262" s="625"/>
      <c r="T262" s="625"/>
      <c r="U262" s="625"/>
      <c r="V262" s="625"/>
      <c r="W262" s="625"/>
      <c r="X262" s="625"/>
      <c r="Y262" s="625"/>
      <c r="Z262" s="625"/>
    </row>
    <row r="263">
      <c r="A263" s="625"/>
      <c r="B263" s="625"/>
      <c r="C263" s="625"/>
      <c r="D263" s="625"/>
      <c r="E263" s="625"/>
      <c r="F263" s="625"/>
      <c r="G263" s="625"/>
      <c r="H263" s="625"/>
      <c r="I263" s="625"/>
      <c r="J263" s="625"/>
      <c r="K263" s="625"/>
      <c r="L263" s="625"/>
      <c r="M263" s="625"/>
      <c r="N263" s="625"/>
      <c r="O263" s="625"/>
      <c r="P263" s="625"/>
      <c r="Q263" s="625"/>
      <c r="R263" s="625"/>
      <c r="S263" s="625"/>
      <c r="T263" s="625"/>
      <c r="U263" s="625"/>
      <c r="V263" s="625"/>
      <c r="W263" s="625"/>
      <c r="X263" s="625"/>
      <c r="Y263" s="625"/>
      <c r="Z263" s="625"/>
    </row>
    <row r="264">
      <c r="A264" s="625"/>
      <c r="B264" s="625"/>
      <c r="C264" s="625"/>
      <c r="D264" s="625"/>
      <c r="E264" s="625"/>
      <c r="F264" s="625"/>
      <c r="G264" s="625"/>
      <c r="H264" s="625"/>
      <c r="I264" s="625"/>
      <c r="J264" s="625"/>
      <c r="K264" s="625"/>
      <c r="L264" s="625"/>
      <c r="M264" s="625"/>
      <c r="N264" s="625"/>
      <c r="O264" s="625"/>
      <c r="P264" s="625"/>
      <c r="Q264" s="625"/>
      <c r="R264" s="625"/>
      <c r="S264" s="625"/>
      <c r="T264" s="625"/>
      <c r="U264" s="625"/>
      <c r="V264" s="625"/>
      <c r="W264" s="625"/>
      <c r="X264" s="625"/>
      <c r="Y264" s="625"/>
      <c r="Z264" s="625"/>
    </row>
    <row r="265">
      <c r="A265" s="625"/>
      <c r="B265" s="625"/>
      <c r="C265" s="625"/>
      <c r="D265" s="625"/>
      <c r="E265" s="625"/>
      <c r="F265" s="625"/>
      <c r="G265" s="625"/>
      <c r="H265" s="625"/>
      <c r="I265" s="625"/>
      <c r="J265" s="625"/>
      <c r="K265" s="625"/>
      <c r="L265" s="625"/>
      <c r="M265" s="625"/>
      <c r="N265" s="625"/>
      <c r="O265" s="625"/>
      <c r="P265" s="625"/>
      <c r="Q265" s="625"/>
      <c r="R265" s="625"/>
      <c r="S265" s="625"/>
      <c r="T265" s="625"/>
      <c r="U265" s="625"/>
      <c r="V265" s="625"/>
      <c r="W265" s="625"/>
      <c r="X265" s="625"/>
      <c r="Y265" s="625"/>
      <c r="Z265" s="625"/>
    </row>
    <row r="266">
      <c r="A266" s="625"/>
      <c r="B266" s="625"/>
      <c r="C266" s="625"/>
      <c r="D266" s="625"/>
      <c r="E266" s="625"/>
      <c r="F266" s="625"/>
      <c r="G266" s="625"/>
      <c r="H266" s="625"/>
      <c r="I266" s="625"/>
      <c r="J266" s="625"/>
      <c r="K266" s="625"/>
      <c r="L266" s="625"/>
      <c r="M266" s="625"/>
      <c r="N266" s="625"/>
      <c r="O266" s="625"/>
      <c r="P266" s="625"/>
      <c r="Q266" s="625"/>
      <c r="R266" s="625"/>
      <c r="S266" s="625"/>
      <c r="T266" s="625"/>
      <c r="U266" s="625"/>
      <c r="V266" s="625"/>
      <c r="W266" s="625"/>
      <c r="X266" s="625"/>
      <c r="Y266" s="625"/>
      <c r="Z266" s="625"/>
    </row>
    <row r="267">
      <c r="A267" s="625"/>
      <c r="B267" s="625"/>
      <c r="C267" s="625"/>
      <c r="D267" s="625"/>
      <c r="E267" s="625"/>
      <c r="F267" s="625"/>
      <c r="G267" s="625"/>
      <c r="H267" s="625"/>
      <c r="I267" s="625"/>
      <c r="J267" s="625"/>
      <c r="K267" s="625"/>
      <c r="L267" s="625"/>
      <c r="M267" s="625"/>
      <c r="N267" s="625"/>
      <c r="O267" s="625"/>
      <c r="P267" s="625"/>
      <c r="Q267" s="625"/>
      <c r="R267" s="625"/>
      <c r="S267" s="625"/>
      <c r="T267" s="625"/>
      <c r="U267" s="625"/>
      <c r="V267" s="625"/>
      <c r="W267" s="625"/>
      <c r="X267" s="625"/>
      <c r="Y267" s="625"/>
      <c r="Z267" s="625"/>
    </row>
    <row r="268">
      <c r="A268" s="625"/>
      <c r="B268" s="625"/>
      <c r="C268" s="625"/>
      <c r="D268" s="625"/>
      <c r="E268" s="625"/>
      <c r="F268" s="625"/>
      <c r="G268" s="625"/>
      <c r="H268" s="625"/>
      <c r="I268" s="625"/>
      <c r="J268" s="625"/>
      <c r="K268" s="625"/>
      <c r="L268" s="625"/>
      <c r="M268" s="625"/>
      <c r="N268" s="625"/>
      <c r="O268" s="625"/>
      <c r="P268" s="625"/>
      <c r="Q268" s="625"/>
      <c r="R268" s="625"/>
      <c r="S268" s="625"/>
      <c r="T268" s="625"/>
      <c r="U268" s="625"/>
      <c r="V268" s="625"/>
      <c r="W268" s="625"/>
      <c r="X268" s="625"/>
      <c r="Y268" s="625"/>
      <c r="Z268" s="625"/>
    </row>
    <row r="269">
      <c r="A269" s="625"/>
      <c r="B269" s="625"/>
      <c r="C269" s="625"/>
      <c r="D269" s="625"/>
      <c r="E269" s="625"/>
      <c r="F269" s="625"/>
      <c r="G269" s="625"/>
      <c r="H269" s="625"/>
      <c r="I269" s="625"/>
      <c r="J269" s="625"/>
      <c r="K269" s="625"/>
      <c r="L269" s="625"/>
      <c r="M269" s="625"/>
      <c r="N269" s="625"/>
      <c r="O269" s="625"/>
      <c r="P269" s="625"/>
      <c r="Q269" s="625"/>
      <c r="R269" s="625"/>
      <c r="S269" s="625"/>
      <c r="T269" s="625"/>
      <c r="U269" s="625"/>
      <c r="V269" s="625"/>
      <c r="W269" s="625"/>
      <c r="X269" s="625"/>
      <c r="Y269" s="625"/>
      <c r="Z269" s="625"/>
    </row>
    <row r="270">
      <c r="A270" s="625"/>
      <c r="B270" s="625"/>
      <c r="C270" s="625"/>
      <c r="D270" s="625"/>
      <c r="E270" s="625"/>
      <c r="F270" s="625"/>
      <c r="G270" s="625"/>
      <c r="H270" s="625"/>
      <c r="I270" s="625"/>
      <c r="J270" s="625"/>
      <c r="K270" s="625"/>
      <c r="L270" s="625"/>
      <c r="M270" s="625"/>
      <c r="N270" s="625"/>
      <c r="O270" s="625"/>
      <c r="P270" s="625"/>
      <c r="Q270" s="625"/>
      <c r="R270" s="625"/>
      <c r="S270" s="625"/>
      <c r="T270" s="625"/>
      <c r="U270" s="625"/>
      <c r="V270" s="625"/>
      <c r="W270" s="625"/>
      <c r="X270" s="625"/>
      <c r="Y270" s="625"/>
      <c r="Z270" s="625"/>
    </row>
    <row r="271">
      <c r="A271" s="625"/>
      <c r="B271" s="625"/>
      <c r="C271" s="625"/>
      <c r="D271" s="625"/>
      <c r="E271" s="625"/>
      <c r="F271" s="625"/>
      <c r="G271" s="625"/>
      <c r="H271" s="625"/>
      <c r="I271" s="625"/>
      <c r="J271" s="625"/>
      <c r="K271" s="625"/>
      <c r="L271" s="625"/>
      <c r="M271" s="625"/>
      <c r="N271" s="625"/>
      <c r="O271" s="625"/>
      <c r="P271" s="625"/>
      <c r="Q271" s="625"/>
      <c r="R271" s="625"/>
      <c r="S271" s="625"/>
      <c r="T271" s="625"/>
      <c r="U271" s="625"/>
      <c r="V271" s="625"/>
      <c r="W271" s="625"/>
      <c r="X271" s="625"/>
      <c r="Y271" s="625"/>
      <c r="Z271" s="625"/>
    </row>
    <row r="272">
      <c r="A272" s="625"/>
      <c r="B272" s="625"/>
      <c r="C272" s="625"/>
      <c r="D272" s="625"/>
      <c r="E272" s="625"/>
      <c r="F272" s="625"/>
      <c r="G272" s="625"/>
      <c r="H272" s="625"/>
      <c r="I272" s="625"/>
      <c r="J272" s="625"/>
      <c r="K272" s="625"/>
      <c r="L272" s="625"/>
      <c r="M272" s="625"/>
      <c r="N272" s="625"/>
      <c r="O272" s="625"/>
      <c r="P272" s="625"/>
      <c r="Q272" s="625"/>
      <c r="R272" s="625"/>
      <c r="S272" s="625"/>
      <c r="T272" s="625"/>
      <c r="U272" s="625"/>
      <c r="V272" s="625"/>
      <c r="W272" s="625"/>
      <c r="X272" s="625"/>
      <c r="Y272" s="625"/>
      <c r="Z272" s="625"/>
    </row>
    <row r="273">
      <c r="A273" s="625"/>
      <c r="B273" s="625"/>
      <c r="C273" s="625"/>
      <c r="D273" s="625"/>
      <c r="E273" s="625"/>
      <c r="F273" s="625"/>
      <c r="G273" s="625"/>
      <c r="H273" s="625"/>
      <c r="I273" s="625"/>
      <c r="J273" s="625"/>
      <c r="K273" s="625"/>
      <c r="L273" s="625"/>
      <c r="M273" s="625"/>
      <c r="N273" s="625"/>
      <c r="O273" s="625"/>
      <c r="P273" s="625"/>
      <c r="Q273" s="625"/>
      <c r="R273" s="625"/>
      <c r="S273" s="625"/>
      <c r="T273" s="625"/>
      <c r="U273" s="625"/>
      <c r="V273" s="625"/>
      <c r="W273" s="625"/>
      <c r="X273" s="625"/>
      <c r="Y273" s="625"/>
      <c r="Z273" s="625"/>
    </row>
    <row r="274">
      <c r="A274" s="625"/>
      <c r="B274" s="625"/>
      <c r="C274" s="625"/>
      <c r="D274" s="625"/>
      <c r="E274" s="625"/>
      <c r="F274" s="625"/>
      <c r="G274" s="625"/>
      <c r="H274" s="625"/>
      <c r="I274" s="625"/>
      <c r="J274" s="625"/>
      <c r="K274" s="625"/>
      <c r="L274" s="625"/>
      <c r="M274" s="625"/>
      <c r="N274" s="625"/>
      <c r="O274" s="625"/>
      <c r="P274" s="625"/>
      <c r="Q274" s="625"/>
      <c r="R274" s="625"/>
      <c r="S274" s="625"/>
      <c r="T274" s="625"/>
      <c r="U274" s="625"/>
      <c r="V274" s="625"/>
      <c r="W274" s="625"/>
      <c r="X274" s="625"/>
      <c r="Y274" s="625"/>
      <c r="Z274" s="625"/>
    </row>
    <row r="275">
      <c r="A275" s="625"/>
      <c r="B275" s="625"/>
      <c r="C275" s="625"/>
      <c r="D275" s="625"/>
      <c r="E275" s="625"/>
      <c r="F275" s="625"/>
      <c r="G275" s="625"/>
      <c r="H275" s="625"/>
      <c r="I275" s="625"/>
      <c r="J275" s="625"/>
      <c r="K275" s="625"/>
      <c r="L275" s="625"/>
      <c r="M275" s="625"/>
      <c r="N275" s="625"/>
      <c r="O275" s="625"/>
      <c r="P275" s="625"/>
      <c r="Q275" s="625"/>
      <c r="R275" s="625"/>
      <c r="S275" s="625"/>
      <c r="T275" s="625"/>
      <c r="U275" s="625"/>
      <c r="V275" s="625"/>
      <c r="W275" s="625"/>
      <c r="X275" s="625"/>
      <c r="Y275" s="625"/>
      <c r="Z275" s="625"/>
    </row>
    <row r="276">
      <c r="A276" s="625"/>
      <c r="B276" s="625"/>
      <c r="C276" s="625"/>
      <c r="D276" s="625"/>
      <c r="E276" s="625"/>
      <c r="F276" s="625"/>
      <c r="G276" s="625"/>
      <c r="H276" s="625"/>
      <c r="I276" s="625"/>
      <c r="J276" s="625"/>
      <c r="K276" s="625"/>
      <c r="L276" s="625"/>
      <c r="M276" s="625"/>
      <c r="N276" s="625"/>
      <c r="O276" s="625"/>
      <c r="P276" s="625"/>
      <c r="Q276" s="625"/>
      <c r="R276" s="625"/>
      <c r="S276" s="625"/>
      <c r="T276" s="625"/>
      <c r="U276" s="625"/>
      <c r="V276" s="625"/>
      <c r="W276" s="625"/>
      <c r="X276" s="625"/>
      <c r="Y276" s="625"/>
      <c r="Z276" s="625"/>
    </row>
    <row r="277">
      <c r="A277" s="625"/>
      <c r="B277" s="625"/>
      <c r="C277" s="625"/>
      <c r="D277" s="625"/>
      <c r="E277" s="625"/>
      <c r="F277" s="625"/>
      <c r="G277" s="625"/>
      <c r="H277" s="625"/>
      <c r="I277" s="625"/>
      <c r="J277" s="625"/>
      <c r="K277" s="625"/>
      <c r="L277" s="625"/>
      <c r="M277" s="625"/>
      <c r="N277" s="625"/>
      <c r="O277" s="625"/>
      <c r="P277" s="625"/>
      <c r="Q277" s="625"/>
      <c r="R277" s="625"/>
      <c r="S277" s="625"/>
      <c r="T277" s="625"/>
      <c r="U277" s="625"/>
      <c r="V277" s="625"/>
      <c r="W277" s="625"/>
      <c r="X277" s="625"/>
      <c r="Y277" s="625"/>
      <c r="Z277" s="625"/>
    </row>
    <row r="278">
      <c r="A278" s="625"/>
      <c r="B278" s="625"/>
      <c r="C278" s="625"/>
      <c r="D278" s="625"/>
      <c r="E278" s="625"/>
      <c r="F278" s="625"/>
      <c r="G278" s="625"/>
      <c r="H278" s="625"/>
      <c r="I278" s="625"/>
      <c r="J278" s="625"/>
      <c r="K278" s="625"/>
      <c r="L278" s="625"/>
      <c r="M278" s="625"/>
      <c r="N278" s="625"/>
      <c r="O278" s="625"/>
      <c r="P278" s="625"/>
      <c r="Q278" s="625"/>
      <c r="R278" s="625"/>
      <c r="S278" s="625"/>
      <c r="T278" s="625"/>
      <c r="U278" s="625"/>
      <c r="V278" s="625"/>
      <c r="W278" s="625"/>
      <c r="X278" s="625"/>
      <c r="Y278" s="625"/>
      <c r="Z278" s="625"/>
    </row>
    <row r="279">
      <c r="A279" s="625"/>
      <c r="B279" s="625"/>
      <c r="C279" s="625"/>
      <c r="D279" s="625"/>
      <c r="E279" s="625"/>
      <c r="F279" s="625"/>
      <c r="G279" s="625"/>
      <c r="H279" s="625"/>
      <c r="I279" s="625"/>
      <c r="J279" s="625"/>
      <c r="K279" s="625"/>
      <c r="L279" s="625"/>
      <c r="M279" s="625"/>
      <c r="N279" s="625"/>
      <c r="O279" s="625"/>
      <c r="P279" s="625"/>
      <c r="Q279" s="625"/>
      <c r="R279" s="625"/>
      <c r="S279" s="625"/>
      <c r="T279" s="625"/>
      <c r="U279" s="625"/>
      <c r="V279" s="625"/>
      <c r="W279" s="625"/>
      <c r="X279" s="625"/>
      <c r="Y279" s="625"/>
      <c r="Z279" s="625"/>
    </row>
    <row r="280">
      <c r="A280" s="625"/>
      <c r="B280" s="625"/>
      <c r="C280" s="625"/>
      <c r="D280" s="625"/>
      <c r="E280" s="625"/>
      <c r="F280" s="625"/>
      <c r="G280" s="625"/>
      <c r="H280" s="625"/>
      <c r="I280" s="625"/>
      <c r="J280" s="625"/>
      <c r="K280" s="625"/>
      <c r="L280" s="625"/>
      <c r="M280" s="625"/>
      <c r="N280" s="625"/>
      <c r="O280" s="625"/>
      <c r="P280" s="625"/>
      <c r="Q280" s="625"/>
      <c r="R280" s="625"/>
      <c r="S280" s="625"/>
      <c r="T280" s="625"/>
      <c r="U280" s="625"/>
      <c r="V280" s="625"/>
      <c r="W280" s="625"/>
      <c r="X280" s="625"/>
      <c r="Y280" s="625"/>
      <c r="Z280" s="625"/>
    </row>
    <row r="281">
      <c r="A281" s="625"/>
      <c r="B281" s="625"/>
      <c r="C281" s="625"/>
      <c r="D281" s="625"/>
      <c r="E281" s="625"/>
      <c r="F281" s="625"/>
      <c r="G281" s="625"/>
      <c r="H281" s="625"/>
      <c r="I281" s="625"/>
      <c r="J281" s="625"/>
      <c r="K281" s="625"/>
      <c r="L281" s="625"/>
      <c r="M281" s="625"/>
      <c r="N281" s="625"/>
      <c r="O281" s="625"/>
      <c r="P281" s="625"/>
      <c r="Q281" s="625"/>
      <c r="R281" s="625"/>
      <c r="S281" s="625"/>
      <c r="T281" s="625"/>
      <c r="U281" s="625"/>
      <c r="V281" s="625"/>
      <c r="W281" s="625"/>
      <c r="X281" s="625"/>
      <c r="Y281" s="625"/>
      <c r="Z281" s="625"/>
    </row>
    <row r="282">
      <c r="A282" s="625"/>
      <c r="B282" s="625"/>
      <c r="C282" s="625"/>
      <c r="D282" s="625"/>
      <c r="E282" s="625"/>
      <c r="F282" s="625"/>
      <c r="G282" s="625"/>
      <c r="H282" s="625"/>
      <c r="I282" s="625"/>
      <c r="J282" s="625"/>
      <c r="K282" s="625"/>
      <c r="L282" s="625"/>
      <c r="M282" s="625"/>
      <c r="N282" s="625"/>
      <c r="O282" s="625"/>
      <c r="P282" s="625"/>
      <c r="Q282" s="625"/>
      <c r="R282" s="625"/>
      <c r="S282" s="625"/>
      <c r="T282" s="625"/>
      <c r="U282" s="625"/>
      <c r="V282" s="625"/>
      <c r="W282" s="625"/>
      <c r="X282" s="625"/>
      <c r="Y282" s="625"/>
      <c r="Z282" s="625"/>
    </row>
    <row r="283">
      <c r="A283" s="625"/>
      <c r="B283" s="625"/>
      <c r="C283" s="625"/>
      <c r="D283" s="625"/>
      <c r="E283" s="625"/>
      <c r="F283" s="625"/>
      <c r="G283" s="625"/>
      <c r="H283" s="625"/>
      <c r="I283" s="625"/>
      <c r="J283" s="625"/>
      <c r="K283" s="625"/>
      <c r="L283" s="625"/>
      <c r="M283" s="625"/>
      <c r="N283" s="625"/>
      <c r="O283" s="625"/>
      <c r="P283" s="625"/>
      <c r="Q283" s="625"/>
      <c r="R283" s="625"/>
      <c r="S283" s="625"/>
      <c r="T283" s="625"/>
      <c r="U283" s="625"/>
      <c r="V283" s="625"/>
      <c r="W283" s="625"/>
      <c r="X283" s="625"/>
      <c r="Y283" s="625"/>
      <c r="Z283" s="625"/>
    </row>
    <row r="284">
      <c r="A284" s="625"/>
      <c r="B284" s="625"/>
      <c r="C284" s="625"/>
      <c r="D284" s="625"/>
      <c r="E284" s="625"/>
      <c r="F284" s="625"/>
      <c r="G284" s="625"/>
      <c r="H284" s="625"/>
      <c r="I284" s="625"/>
      <c r="J284" s="625"/>
      <c r="K284" s="625"/>
      <c r="L284" s="625"/>
      <c r="M284" s="625"/>
      <c r="N284" s="625"/>
      <c r="O284" s="625"/>
      <c r="P284" s="625"/>
      <c r="Q284" s="625"/>
      <c r="R284" s="625"/>
      <c r="S284" s="625"/>
      <c r="T284" s="625"/>
      <c r="U284" s="625"/>
      <c r="V284" s="625"/>
      <c r="W284" s="625"/>
      <c r="X284" s="625"/>
      <c r="Y284" s="625"/>
      <c r="Z284" s="625"/>
    </row>
    <row r="285">
      <c r="A285" s="625"/>
      <c r="B285" s="625"/>
      <c r="C285" s="625"/>
      <c r="D285" s="625"/>
      <c r="E285" s="625"/>
      <c r="F285" s="625"/>
      <c r="G285" s="625"/>
      <c r="H285" s="625"/>
      <c r="I285" s="625"/>
      <c r="J285" s="625"/>
      <c r="K285" s="625"/>
      <c r="L285" s="625"/>
      <c r="M285" s="625"/>
      <c r="N285" s="625"/>
      <c r="O285" s="625"/>
      <c r="P285" s="625"/>
      <c r="Q285" s="625"/>
      <c r="R285" s="625"/>
      <c r="S285" s="625"/>
      <c r="T285" s="625"/>
      <c r="U285" s="625"/>
      <c r="V285" s="625"/>
      <c r="W285" s="625"/>
      <c r="X285" s="625"/>
      <c r="Y285" s="625"/>
      <c r="Z285" s="625"/>
    </row>
    <row r="286">
      <c r="A286" s="625"/>
      <c r="B286" s="625"/>
      <c r="C286" s="625"/>
      <c r="D286" s="625"/>
      <c r="E286" s="625"/>
      <c r="F286" s="625"/>
      <c r="G286" s="625"/>
      <c r="H286" s="625"/>
      <c r="I286" s="625"/>
      <c r="J286" s="625"/>
      <c r="K286" s="625"/>
      <c r="L286" s="625"/>
      <c r="M286" s="625"/>
      <c r="N286" s="625"/>
      <c r="O286" s="625"/>
      <c r="P286" s="625"/>
      <c r="Q286" s="625"/>
      <c r="R286" s="625"/>
      <c r="S286" s="625"/>
      <c r="T286" s="625"/>
      <c r="U286" s="625"/>
      <c r="V286" s="625"/>
      <c r="W286" s="625"/>
      <c r="X286" s="625"/>
      <c r="Y286" s="625"/>
      <c r="Z286" s="625"/>
    </row>
    <row r="287">
      <c r="A287" s="625"/>
      <c r="B287" s="625"/>
      <c r="C287" s="625"/>
      <c r="D287" s="625"/>
      <c r="E287" s="625"/>
      <c r="F287" s="625"/>
      <c r="G287" s="625"/>
      <c r="H287" s="625"/>
      <c r="I287" s="625"/>
      <c r="J287" s="625"/>
      <c r="K287" s="625"/>
      <c r="L287" s="625"/>
      <c r="M287" s="625"/>
      <c r="N287" s="625"/>
      <c r="O287" s="625"/>
      <c r="P287" s="625"/>
      <c r="Q287" s="625"/>
      <c r="R287" s="625"/>
      <c r="S287" s="625"/>
      <c r="T287" s="625"/>
      <c r="U287" s="625"/>
      <c r="V287" s="625"/>
      <c r="W287" s="625"/>
      <c r="X287" s="625"/>
      <c r="Y287" s="625"/>
      <c r="Z287" s="625"/>
    </row>
    <row r="288">
      <c r="A288" s="625"/>
      <c r="B288" s="625"/>
      <c r="C288" s="625"/>
      <c r="D288" s="625"/>
      <c r="E288" s="625"/>
      <c r="F288" s="625"/>
      <c r="G288" s="625"/>
      <c r="H288" s="625"/>
      <c r="I288" s="625"/>
      <c r="J288" s="625"/>
      <c r="K288" s="625"/>
      <c r="L288" s="625"/>
      <c r="M288" s="625"/>
      <c r="N288" s="625"/>
      <c r="O288" s="625"/>
      <c r="P288" s="625"/>
      <c r="Q288" s="625"/>
      <c r="R288" s="625"/>
      <c r="S288" s="625"/>
      <c r="T288" s="625"/>
      <c r="U288" s="625"/>
      <c r="V288" s="625"/>
      <c r="W288" s="625"/>
      <c r="X288" s="625"/>
      <c r="Y288" s="625"/>
      <c r="Z288" s="625"/>
    </row>
    <row r="289">
      <c r="A289" s="625"/>
      <c r="B289" s="625"/>
      <c r="C289" s="625"/>
      <c r="D289" s="625"/>
      <c r="E289" s="625"/>
      <c r="F289" s="625"/>
      <c r="G289" s="625"/>
      <c r="H289" s="625"/>
      <c r="I289" s="625"/>
      <c r="J289" s="625"/>
      <c r="K289" s="625"/>
      <c r="L289" s="625"/>
      <c r="M289" s="625"/>
      <c r="N289" s="625"/>
      <c r="O289" s="625"/>
      <c r="P289" s="625"/>
      <c r="Q289" s="625"/>
      <c r="R289" s="625"/>
      <c r="S289" s="625"/>
      <c r="T289" s="625"/>
      <c r="U289" s="625"/>
      <c r="V289" s="625"/>
      <c r="W289" s="625"/>
      <c r="X289" s="625"/>
      <c r="Y289" s="625"/>
      <c r="Z289" s="625"/>
    </row>
    <row r="290">
      <c r="A290" s="625"/>
      <c r="B290" s="625"/>
      <c r="C290" s="625"/>
      <c r="D290" s="625"/>
      <c r="E290" s="625"/>
      <c r="F290" s="625"/>
      <c r="G290" s="625"/>
      <c r="H290" s="625"/>
      <c r="I290" s="625"/>
      <c r="J290" s="625"/>
      <c r="K290" s="625"/>
      <c r="L290" s="625"/>
      <c r="M290" s="625"/>
      <c r="N290" s="625"/>
      <c r="O290" s="625"/>
      <c r="P290" s="625"/>
      <c r="Q290" s="625"/>
      <c r="R290" s="625"/>
      <c r="S290" s="625"/>
      <c r="T290" s="625"/>
      <c r="U290" s="625"/>
      <c r="V290" s="625"/>
      <c r="W290" s="625"/>
      <c r="X290" s="625"/>
      <c r="Y290" s="625"/>
      <c r="Z290" s="625"/>
    </row>
    <row r="291">
      <c r="A291" s="625"/>
      <c r="B291" s="625"/>
      <c r="C291" s="625"/>
      <c r="D291" s="625"/>
      <c r="E291" s="625"/>
      <c r="F291" s="625"/>
      <c r="G291" s="625"/>
      <c r="H291" s="625"/>
      <c r="I291" s="625"/>
      <c r="J291" s="625"/>
      <c r="K291" s="625"/>
      <c r="L291" s="625"/>
      <c r="M291" s="625"/>
      <c r="N291" s="625"/>
      <c r="O291" s="625"/>
      <c r="P291" s="625"/>
      <c r="Q291" s="625"/>
      <c r="R291" s="625"/>
      <c r="S291" s="625"/>
      <c r="T291" s="625"/>
      <c r="U291" s="625"/>
      <c r="V291" s="625"/>
      <c r="W291" s="625"/>
      <c r="X291" s="625"/>
      <c r="Y291" s="625"/>
      <c r="Z291" s="625"/>
    </row>
    <row r="292">
      <c r="A292" s="625"/>
      <c r="B292" s="625"/>
      <c r="C292" s="625"/>
      <c r="D292" s="625"/>
      <c r="E292" s="625"/>
      <c r="F292" s="625"/>
      <c r="G292" s="625"/>
      <c r="H292" s="625"/>
      <c r="I292" s="625"/>
      <c r="J292" s="625"/>
      <c r="K292" s="625"/>
      <c r="L292" s="625"/>
      <c r="M292" s="625"/>
      <c r="N292" s="625"/>
      <c r="O292" s="625"/>
      <c r="P292" s="625"/>
      <c r="Q292" s="625"/>
      <c r="R292" s="625"/>
      <c r="S292" s="625"/>
      <c r="T292" s="625"/>
      <c r="U292" s="625"/>
      <c r="V292" s="625"/>
      <c r="W292" s="625"/>
      <c r="X292" s="625"/>
      <c r="Y292" s="625"/>
      <c r="Z292" s="625"/>
    </row>
    <row r="293">
      <c r="A293" s="625"/>
      <c r="B293" s="625"/>
      <c r="C293" s="625"/>
      <c r="D293" s="625"/>
      <c r="E293" s="625"/>
      <c r="F293" s="625"/>
      <c r="G293" s="625"/>
      <c r="H293" s="625"/>
      <c r="I293" s="625"/>
      <c r="J293" s="625"/>
      <c r="K293" s="625"/>
      <c r="L293" s="625"/>
      <c r="M293" s="625"/>
      <c r="N293" s="625"/>
      <c r="O293" s="625"/>
      <c r="P293" s="625"/>
      <c r="Q293" s="625"/>
      <c r="R293" s="625"/>
      <c r="S293" s="625"/>
      <c r="T293" s="625"/>
      <c r="U293" s="625"/>
      <c r="V293" s="625"/>
      <c r="W293" s="625"/>
      <c r="X293" s="625"/>
      <c r="Y293" s="625"/>
      <c r="Z293" s="625"/>
    </row>
    <row r="294">
      <c r="A294" s="625"/>
      <c r="B294" s="625"/>
      <c r="C294" s="625"/>
      <c r="D294" s="625"/>
      <c r="E294" s="625"/>
      <c r="F294" s="625"/>
      <c r="G294" s="625"/>
      <c r="H294" s="625"/>
      <c r="I294" s="625"/>
      <c r="J294" s="625"/>
      <c r="K294" s="625"/>
      <c r="L294" s="625"/>
      <c r="M294" s="625"/>
      <c r="N294" s="625"/>
      <c r="O294" s="625"/>
      <c r="P294" s="625"/>
      <c r="Q294" s="625"/>
      <c r="R294" s="625"/>
      <c r="S294" s="625"/>
      <c r="T294" s="625"/>
      <c r="U294" s="625"/>
      <c r="V294" s="625"/>
      <c r="W294" s="625"/>
      <c r="X294" s="625"/>
      <c r="Y294" s="625"/>
      <c r="Z294" s="625"/>
    </row>
    <row r="295">
      <c r="A295" s="625"/>
      <c r="B295" s="625"/>
      <c r="C295" s="625"/>
      <c r="D295" s="625"/>
      <c r="E295" s="625"/>
      <c r="F295" s="625"/>
      <c r="G295" s="625"/>
      <c r="H295" s="625"/>
      <c r="I295" s="625"/>
      <c r="J295" s="625"/>
      <c r="K295" s="625"/>
      <c r="L295" s="625"/>
      <c r="M295" s="625"/>
      <c r="N295" s="625"/>
      <c r="O295" s="625"/>
      <c r="P295" s="625"/>
      <c r="Q295" s="625"/>
      <c r="R295" s="625"/>
      <c r="S295" s="625"/>
      <c r="T295" s="625"/>
      <c r="U295" s="625"/>
      <c r="V295" s="625"/>
      <c r="W295" s="625"/>
      <c r="X295" s="625"/>
      <c r="Y295" s="625"/>
      <c r="Z295" s="625"/>
    </row>
    <row r="296">
      <c r="A296" s="625"/>
      <c r="B296" s="625"/>
      <c r="C296" s="625"/>
      <c r="D296" s="625"/>
      <c r="E296" s="625"/>
      <c r="F296" s="625"/>
      <c r="G296" s="625"/>
      <c r="H296" s="625"/>
      <c r="I296" s="625"/>
      <c r="J296" s="625"/>
      <c r="K296" s="625"/>
      <c r="L296" s="625"/>
      <c r="M296" s="625"/>
      <c r="N296" s="625"/>
      <c r="O296" s="625"/>
      <c r="P296" s="625"/>
      <c r="Q296" s="625"/>
      <c r="R296" s="625"/>
      <c r="S296" s="625"/>
      <c r="T296" s="625"/>
      <c r="U296" s="625"/>
      <c r="V296" s="625"/>
      <c r="W296" s="625"/>
      <c r="X296" s="625"/>
      <c r="Y296" s="625"/>
      <c r="Z296" s="625"/>
    </row>
    <row r="297">
      <c r="A297" s="625"/>
      <c r="B297" s="625"/>
      <c r="C297" s="625"/>
      <c r="D297" s="625"/>
      <c r="E297" s="625"/>
      <c r="F297" s="625"/>
      <c r="G297" s="625"/>
      <c r="H297" s="625"/>
      <c r="I297" s="625"/>
      <c r="J297" s="625"/>
      <c r="K297" s="625"/>
      <c r="L297" s="625"/>
      <c r="M297" s="625"/>
      <c r="N297" s="625"/>
      <c r="O297" s="625"/>
      <c r="P297" s="625"/>
      <c r="Q297" s="625"/>
      <c r="R297" s="625"/>
      <c r="S297" s="625"/>
      <c r="T297" s="625"/>
      <c r="U297" s="625"/>
      <c r="V297" s="625"/>
      <c r="W297" s="625"/>
      <c r="X297" s="625"/>
      <c r="Y297" s="625"/>
      <c r="Z297" s="625"/>
    </row>
    <row r="298">
      <c r="A298" s="625"/>
      <c r="B298" s="625"/>
      <c r="C298" s="625"/>
      <c r="D298" s="625"/>
      <c r="E298" s="625"/>
      <c r="F298" s="625"/>
      <c r="G298" s="625"/>
      <c r="H298" s="625"/>
      <c r="I298" s="625"/>
      <c r="J298" s="625"/>
      <c r="K298" s="625"/>
      <c r="L298" s="625"/>
      <c r="M298" s="625"/>
      <c r="N298" s="625"/>
      <c r="O298" s="625"/>
      <c r="P298" s="625"/>
      <c r="Q298" s="625"/>
      <c r="R298" s="625"/>
      <c r="S298" s="625"/>
      <c r="T298" s="625"/>
      <c r="U298" s="625"/>
      <c r="V298" s="625"/>
      <c r="W298" s="625"/>
      <c r="X298" s="625"/>
      <c r="Y298" s="625"/>
      <c r="Z298" s="625"/>
    </row>
    <row r="299">
      <c r="A299" s="625"/>
      <c r="B299" s="625"/>
      <c r="C299" s="625"/>
      <c r="D299" s="625"/>
      <c r="E299" s="625"/>
      <c r="F299" s="625"/>
      <c r="G299" s="625"/>
      <c r="H299" s="625"/>
      <c r="I299" s="625"/>
      <c r="J299" s="625"/>
      <c r="K299" s="625"/>
      <c r="L299" s="625"/>
      <c r="M299" s="625"/>
      <c r="N299" s="625"/>
      <c r="O299" s="625"/>
      <c r="P299" s="625"/>
      <c r="Q299" s="625"/>
      <c r="R299" s="625"/>
      <c r="S299" s="625"/>
      <c r="T299" s="625"/>
      <c r="U299" s="625"/>
      <c r="V299" s="625"/>
      <c r="W299" s="625"/>
      <c r="X299" s="625"/>
      <c r="Y299" s="625"/>
      <c r="Z299" s="625"/>
    </row>
    <row r="300">
      <c r="A300" s="625"/>
      <c r="B300" s="625"/>
      <c r="C300" s="625"/>
      <c r="D300" s="625"/>
      <c r="E300" s="625"/>
      <c r="F300" s="625"/>
      <c r="G300" s="625"/>
      <c r="H300" s="625"/>
      <c r="I300" s="625"/>
      <c r="J300" s="625"/>
      <c r="K300" s="625"/>
      <c r="L300" s="625"/>
      <c r="M300" s="625"/>
      <c r="N300" s="625"/>
      <c r="O300" s="625"/>
      <c r="P300" s="625"/>
      <c r="Q300" s="625"/>
      <c r="R300" s="625"/>
      <c r="S300" s="625"/>
      <c r="T300" s="625"/>
      <c r="U300" s="625"/>
      <c r="V300" s="625"/>
      <c r="W300" s="625"/>
      <c r="X300" s="625"/>
      <c r="Y300" s="625"/>
      <c r="Z300" s="625"/>
    </row>
    <row r="301">
      <c r="A301" s="625"/>
      <c r="B301" s="625"/>
      <c r="C301" s="625"/>
      <c r="D301" s="625"/>
      <c r="E301" s="625"/>
      <c r="F301" s="625"/>
      <c r="G301" s="625"/>
      <c r="H301" s="625"/>
      <c r="I301" s="625"/>
      <c r="J301" s="625"/>
      <c r="K301" s="625"/>
      <c r="L301" s="625"/>
      <c r="M301" s="625"/>
      <c r="N301" s="625"/>
      <c r="O301" s="625"/>
      <c r="P301" s="625"/>
      <c r="Q301" s="625"/>
      <c r="R301" s="625"/>
      <c r="S301" s="625"/>
      <c r="T301" s="625"/>
      <c r="U301" s="625"/>
      <c r="V301" s="625"/>
      <c r="W301" s="625"/>
      <c r="X301" s="625"/>
      <c r="Y301" s="625"/>
      <c r="Z301" s="625"/>
    </row>
    <row r="302">
      <c r="A302" s="625"/>
      <c r="B302" s="625"/>
      <c r="C302" s="625"/>
      <c r="D302" s="625"/>
      <c r="E302" s="625"/>
      <c r="F302" s="625"/>
      <c r="G302" s="625"/>
      <c r="H302" s="625"/>
      <c r="I302" s="625"/>
      <c r="J302" s="625"/>
      <c r="K302" s="625"/>
      <c r="L302" s="625"/>
      <c r="M302" s="625"/>
      <c r="N302" s="625"/>
      <c r="O302" s="625"/>
      <c r="P302" s="625"/>
      <c r="Q302" s="625"/>
      <c r="R302" s="625"/>
      <c r="S302" s="625"/>
      <c r="T302" s="625"/>
      <c r="U302" s="625"/>
      <c r="V302" s="625"/>
      <c r="W302" s="625"/>
      <c r="X302" s="625"/>
      <c r="Y302" s="625"/>
      <c r="Z302" s="625"/>
    </row>
    <row r="303">
      <c r="A303" s="625"/>
      <c r="B303" s="625"/>
      <c r="C303" s="625"/>
      <c r="D303" s="625"/>
      <c r="E303" s="625"/>
      <c r="F303" s="625"/>
      <c r="G303" s="625"/>
      <c r="H303" s="625"/>
      <c r="I303" s="625"/>
      <c r="J303" s="625"/>
      <c r="K303" s="625"/>
      <c r="L303" s="625"/>
      <c r="M303" s="625"/>
      <c r="N303" s="625"/>
      <c r="O303" s="625"/>
      <c r="P303" s="625"/>
      <c r="Q303" s="625"/>
      <c r="R303" s="625"/>
      <c r="S303" s="625"/>
      <c r="T303" s="625"/>
      <c r="U303" s="625"/>
      <c r="V303" s="625"/>
      <c r="W303" s="625"/>
      <c r="X303" s="625"/>
      <c r="Y303" s="625"/>
      <c r="Z303" s="625"/>
    </row>
    <row r="304">
      <c r="A304" s="625"/>
      <c r="B304" s="625"/>
      <c r="C304" s="625"/>
      <c r="D304" s="625"/>
      <c r="E304" s="625"/>
      <c r="F304" s="625"/>
      <c r="G304" s="625"/>
      <c r="H304" s="625"/>
      <c r="I304" s="625"/>
      <c r="J304" s="625"/>
      <c r="K304" s="625"/>
      <c r="L304" s="625"/>
      <c r="M304" s="625"/>
      <c r="N304" s="625"/>
      <c r="O304" s="625"/>
      <c r="P304" s="625"/>
      <c r="Q304" s="625"/>
      <c r="R304" s="625"/>
      <c r="S304" s="625"/>
      <c r="T304" s="625"/>
      <c r="U304" s="625"/>
      <c r="V304" s="625"/>
      <c r="W304" s="625"/>
      <c r="X304" s="625"/>
      <c r="Y304" s="625"/>
      <c r="Z304" s="625"/>
    </row>
    <row r="305">
      <c r="A305" s="625"/>
      <c r="B305" s="625"/>
      <c r="C305" s="625"/>
      <c r="D305" s="625"/>
      <c r="E305" s="625"/>
      <c r="F305" s="625"/>
      <c r="G305" s="625"/>
      <c r="H305" s="625"/>
      <c r="I305" s="625"/>
      <c r="J305" s="625"/>
      <c r="K305" s="625"/>
      <c r="L305" s="625"/>
      <c r="M305" s="625"/>
      <c r="N305" s="625"/>
      <c r="O305" s="625"/>
      <c r="P305" s="625"/>
      <c r="Q305" s="625"/>
      <c r="R305" s="625"/>
      <c r="S305" s="625"/>
      <c r="T305" s="625"/>
      <c r="U305" s="625"/>
      <c r="V305" s="625"/>
      <c r="W305" s="625"/>
      <c r="X305" s="625"/>
      <c r="Y305" s="625"/>
      <c r="Z305" s="625"/>
    </row>
    <row r="306">
      <c r="A306" s="625"/>
      <c r="B306" s="625"/>
      <c r="C306" s="625"/>
      <c r="D306" s="625"/>
      <c r="E306" s="625"/>
      <c r="F306" s="625"/>
      <c r="G306" s="625"/>
      <c r="H306" s="625"/>
      <c r="I306" s="625"/>
      <c r="J306" s="625"/>
      <c r="K306" s="625"/>
      <c r="L306" s="625"/>
      <c r="M306" s="625"/>
      <c r="N306" s="625"/>
      <c r="O306" s="625"/>
      <c r="P306" s="625"/>
      <c r="Q306" s="625"/>
      <c r="R306" s="625"/>
      <c r="S306" s="625"/>
      <c r="T306" s="625"/>
      <c r="U306" s="625"/>
      <c r="V306" s="625"/>
      <c r="W306" s="625"/>
      <c r="X306" s="625"/>
      <c r="Y306" s="625"/>
      <c r="Z306" s="625"/>
    </row>
    <row r="307">
      <c r="A307" s="625"/>
      <c r="B307" s="625"/>
      <c r="C307" s="625"/>
      <c r="D307" s="625"/>
      <c r="E307" s="625"/>
      <c r="F307" s="625"/>
      <c r="G307" s="625"/>
      <c r="H307" s="625"/>
      <c r="I307" s="625"/>
      <c r="J307" s="625"/>
      <c r="K307" s="625"/>
      <c r="L307" s="625"/>
      <c r="M307" s="625"/>
      <c r="N307" s="625"/>
      <c r="O307" s="625"/>
      <c r="P307" s="625"/>
      <c r="Q307" s="625"/>
      <c r="R307" s="625"/>
      <c r="S307" s="625"/>
      <c r="T307" s="625"/>
      <c r="U307" s="625"/>
      <c r="V307" s="625"/>
      <c r="W307" s="625"/>
      <c r="X307" s="625"/>
      <c r="Y307" s="625"/>
      <c r="Z307" s="625"/>
    </row>
    <row r="308">
      <c r="A308" s="625"/>
      <c r="B308" s="625"/>
      <c r="C308" s="625"/>
      <c r="D308" s="625"/>
      <c r="E308" s="625"/>
      <c r="F308" s="625"/>
      <c r="G308" s="625"/>
      <c r="H308" s="625"/>
      <c r="I308" s="625"/>
      <c r="J308" s="625"/>
      <c r="K308" s="625"/>
      <c r="L308" s="625"/>
      <c r="M308" s="625"/>
      <c r="N308" s="625"/>
      <c r="O308" s="625"/>
      <c r="P308" s="625"/>
      <c r="Q308" s="625"/>
      <c r="R308" s="625"/>
      <c r="S308" s="625"/>
      <c r="T308" s="625"/>
      <c r="U308" s="625"/>
      <c r="V308" s="625"/>
      <c r="W308" s="625"/>
      <c r="X308" s="625"/>
      <c r="Y308" s="625"/>
      <c r="Z308" s="625"/>
    </row>
    <row r="309">
      <c r="A309" s="625"/>
      <c r="B309" s="625"/>
      <c r="C309" s="625"/>
      <c r="D309" s="625"/>
      <c r="E309" s="625"/>
      <c r="F309" s="625"/>
      <c r="G309" s="625"/>
      <c r="H309" s="625"/>
      <c r="I309" s="625"/>
      <c r="J309" s="625"/>
      <c r="K309" s="625"/>
      <c r="L309" s="625"/>
      <c r="M309" s="625"/>
      <c r="N309" s="625"/>
      <c r="O309" s="625"/>
      <c r="P309" s="625"/>
      <c r="Q309" s="625"/>
      <c r="R309" s="625"/>
      <c r="S309" s="625"/>
      <c r="T309" s="625"/>
      <c r="U309" s="625"/>
      <c r="V309" s="625"/>
      <c r="W309" s="625"/>
      <c r="X309" s="625"/>
      <c r="Y309" s="625"/>
      <c r="Z309" s="625"/>
    </row>
    <row r="310">
      <c r="A310" s="625"/>
      <c r="B310" s="625"/>
      <c r="C310" s="625"/>
      <c r="D310" s="625"/>
      <c r="E310" s="625"/>
      <c r="F310" s="625"/>
      <c r="G310" s="625"/>
      <c r="H310" s="625"/>
      <c r="I310" s="625"/>
      <c r="J310" s="625"/>
      <c r="K310" s="625"/>
      <c r="L310" s="625"/>
      <c r="M310" s="625"/>
      <c r="N310" s="625"/>
      <c r="O310" s="625"/>
      <c r="P310" s="625"/>
      <c r="Q310" s="625"/>
      <c r="R310" s="625"/>
      <c r="S310" s="625"/>
      <c r="T310" s="625"/>
      <c r="U310" s="625"/>
      <c r="V310" s="625"/>
      <c r="W310" s="625"/>
      <c r="X310" s="625"/>
      <c r="Y310" s="625"/>
      <c r="Z310" s="625"/>
    </row>
    <row r="311">
      <c r="A311" s="625"/>
      <c r="B311" s="625"/>
      <c r="C311" s="625"/>
      <c r="D311" s="625"/>
      <c r="E311" s="625"/>
      <c r="F311" s="625"/>
      <c r="G311" s="625"/>
      <c r="H311" s="625"/>
      <c r="I311" s="625"/>
      <c r="J311" s="625"/>
      <c r="K311" s="625"/>
      <c r="L311" s="625"/>
      <c r="M311" s="625"/>
      <c r="N311" s="625"/>
      <c r="O311" s="625"/>
      <c r="P311" s="625"/>
      <c r="Q311" s="625"/>
      <c r="R311" s="625"/>
      <c r="S311" s="625"/>
      <c r="T311" s="625"/>
      <c r="U311" s="625"/>
      <c r="V311" s="625"/>
      <c r="W311" s="625"/>
      <c r="X311" s="625"/>
      <c r="Y311" s="625"/>
      <c r="Z311" s="625"/>
    </row>
    <row r="312">
      <c r="A312" s="625"/>
      <c r="B312" s="625"/>
      <c r="C312" s="625"/>
      <c r="D312" s="625"/>
      <c r="E312" s="625"/>
      <c r="F312" s="625"/>
      <c r="G312" s="625"/>
      <c r="H312" s="625"/>
      <c r="I312" s="625"/>
      <c r="J312" s="625"/>
      <c r="K312" s="625"/>
      <c r="L312" s="625"/>
      <c r="M312" s="625"/>
      <c r="N312" s="625"/>
      <c r="O312" s="625"/>
      <c r="P312" s="625"/>
      <c r="Q312" s="625"/>
      <c r="R312" s="625"/>
      <c r="S312" s="625"/>
      <c r="T312" s="625"/>
      <c r="U312" s="625"/>
      <c r="V312" s="625"/>
      <c r="W312" s="625"/>
      <c r="X312" s="625"/>
      <c r="Y312" s="625"/>
      <c r="Z312" s="625"/>
    </row>
    <row r="313">
      <c r="A313" s="625"/>
      <c r="B313" s="625"/>
      <c r="C313" s="625"/>
      <c r="D313" s="625"/>
      <c r="E313" s="625"/>
      <c r="F313" s="625"/>
      <c r="G313" s="625"/>
      <c r="H313" s="625"/>
      <c r="I313" s="625"/>
      <c r="J313" s="625"/>
      <c r="K313" s="625"/>
      <c r="L313" s="625"/>
      <c r="M313" s="625"/>
      <c r="N313" s="625"/>
      <c r="O313" s="625"/>
      <c r="P313" s="625"/>
      <c r="Q313" s="625"/>
      <c r="R313" s="625"/>
      <c r="S313" s="625"/>
      <c r="T313" s="625"/>
      <c r="U313" s="625"/>
      <c r="V313" s="625"/>
      <c r="W313" s="625"/>
      <c r="X313" s="625"/>
      <c r="Y313" s="625"/>
      <c r="Z313" s="625"/>
    </row>
    <row r="314">
      <c r="A314" s="625"/>
      <c r="B314" s="625"/>
      <c r="C314" s="625"/>
      <c r="D314" s="625"/>
      <c r="E314" s="625"/>
      <c r="F314" s="625"/>
      <c r="G314" s="625"/>
      <c r="H314" s="625"/>
      <c r="I314" s="625"/>
      <c r="J314" s="625"/>
      <c r="K314" s="625"/>
      <c r="L314" s="625"/>
      <c r="M314" s="625"/>
      <c r="N314" s="625"/>
      <c r="O314" s="625"/>
      <c r="P314" s="625"/>
      <c r="Q314" s="625"/>
      <c r="R314" s="625"/>
      <c r="S314" s="625"/>
      <c r="T314" s="625"/>
      <c r="U314" s="625"/>
      <c r="V314" s="625"/>
      <c r="W314" s="625"/>
      <c r="X314" s="625"/>
      <c r="Y314" s="625"/>
      <c r="Z314" s="625"/>
    </row>
    <row r="315">
      <c r="A315" s="625"/>
      <c r="B315" s="625"/>
      <c r="C315" s="625"/>
      <c r="D315" s="625"/>
      <c r="E315" s="625"/>
      <c r="F315" s="625"/>
      <c r="G315" s="625"/>
      <c r="H315" s="625"/>
      <c r="I315" s="625"/>
      <c r="J315" s="625"/>
      <c r="K315" s="625"/>
      <c r="L315" s="625"/>
      <c r="M315" s="625"/>
      <c r="N315" s="625"/>
      <c r="O315" s="625"/>
      <c r="P315" s="625"/>
      <c r="Q315" s="625"/>
      <c r="R315" s="625"/>
      <c r="S315" s="625"/>
      <c r="T315" s="625"/>
      <c r="U315" s="625"/>
      <c r="V315" s="625"/>
      <c r="W315" s="625"/>
      <c r="X315" s="625"/>
      <c r="Y315" s="625"/>
      <c r="Z315" s="625"/>
    </row>
    <row r="316">
      <c r="A316" s="625"/>
      <c r="B316" s="625"/>
      <c r="C316" s="625"/>
      <c r="D316" s="625"/>
      <c r="E316" s="625"/>
      <c r="F316" s="625"/>
      <c r="G316" s="625"/>
      <c r="H316" s="625"/>
      <c r="I316" s="625"/>
      <c r="J316" s="625"/>
      <c r="K316" s="625"/>
      <c r="L316" s="625"/>
      <c r="M316" s="625"/>
      <c r="N316" s="625"/>
      <c r="O316" s="625"/>
      <c r="P316" s="625"/>
      <c r="Q316" s="625"/>
      <c r="R316" s="625"/>
      <c r="S316" s="625"/>
      <c r="T316" s="625"/>
      <c r="U316" s="625"/>
      <c r="V316" s="625"/>
      <c r="W316" s="625"/>
      <c r="X316" s="625"/>
      <c r="Y316" s="625"/>
      <c r="Z316" s="625"/>
    </row>
    <row r="317">
      <c r="A317" s="625"/>
      <c r="B317" s="625"/>
      <c r="C317" s="625"/>
      <c r="D317" s="625"/>
      <c r="E317" s="625"/>
      <c r="F317" s="625"/>
      <c r="G317" s="625"/>
      <c r="H317" s="625"/>
      <c r="I317" s="625"/>
      <c r="J317" s="625"/>
      <c r="K317" s="625"/>
      <c r="L317" s="625"/>
      <c r="M317" s="625"/>
      <c r="N317" s="625"/>
      <c r="O317" s="625"/>
      <c r="P317" s="625"/>
      <c r="Q317" s="625"/>
      <c r="R317" s="625"/>
      <c r="S317" s="625"/>
      <c r="T317" s="625"/>
      <c r="U317" s="625"/>
      <c r="V317" s="625"/>
      <c r="W317" s="625"/>
      <c r="X317" s="625"/>
      <c r="Y317" s="625"/>
      <c r="Z317" s="625"/>
    </row>
    <row r="318">
      <c r="A318" s="625"/>
      <c r="B318" s="625"/>
      <c r="C318" s="625"/>
      <c r="D318" s="625"/>
      <c r="E318" s="625"/>
      <c r="F318" s="625"/>
      <c r="G318" s="625"/>
      <c r="H318" s="625"/>
      <c r="I318" s="625"/>
      <c r="J318" s="625"/>
      <c r="K318" s="625"/>
      <c r="L318" s="625"/>
      <c r="M318" s="625"/>
      <c r="N318" s="625"/>
      <c r="O318" s="625"/>
      <c r="P318" s="625"/>
      <c r="Q318" s="625"/>
      <c r="R318" s="625"/>
      <c r="S318" s="625"/>
      <c r="T318" s="625"/>
      <c r="U318" s="625"/>
      <c r="V318" s="625"/>
      <c r="W318" s="625"/>
      <c r="X318" s="625"/>
      <c r="Y318" s="625"/>
      <c r="Z318" s="625"/>
    </row>
    <row r="319">
      <c r="A319" s="625"/>
      <c r="B319" s="625"/>
      <c r="C319" s="625"/>
      <c r="D319" s="625"/>
      <c r="E319" s="625"/>
      <c r="F319" s="625"/>
      <c r="G319" s="625"/>
      <c r="H319" s="625"/>
      <c r="I319" s="625"/>
      <c r="J319" s="625"/>
      <c r="K319" s="625"/>
      <c r="L319" s="625"/>
      <c r="M319" s="625"/>
      <c r="N319" s="625"/>
      <c r="O319" s="625"/>
      <c r="P319" s="625"/>
      <c r="Q319" s="625"/>
      <c r="R319" s="625"/>
      <c r="S319" s="625"/>
      <c r="T319" s="625"/>
      <c r="U319" s="625"/>
      <c r="V319" s="625"/>
      <c r="W319" s="625"/>
      <c r="X319" s="625"/>
      <c r="Y319" s="625"/>
      <c r="Z319" s="625"/>
    </row>
    <row r="320">
      <c r="A320" s="625"/>
      <c r="B320" s="625"/>
      <c r="C320" s="625"/>
      <c r="D320" s="625"/>
      <c r="E320" s="625"/>
      <c r="F320" s="625"/>
      <c r="G320" s="625"/>
      <c r="H320" s="625"/>
      <c r="I320" s="625"/>
      <c r="J320" s="625"/>
      <c r="K320" s="625"/>
      <c r="L320" s="625"/>
      <c r="M320" s="625"/>
      <c r="N320" s="625"/>
      <c r="O320" s="625"/>
      <c r="P320" s="625"/>
      <c r="Q320" s="625"/>
      <c r="R320" s="625"/>
      <c r="S320" s="625"/>
      <c r="T320" s="625"/>
      <c r="U320" s="625"/>
      <c r="V320" s="625"/>
      <c r="W320" s="625"/>
      <c r="X320" s="625"/>
      <c r="Y320" s="625"/>
      <c r="Z320" s="625"/>
    </row>
    <row r="321">
      <c r="A321" s="625"/>
      <c r="B321" s="625"/>
      <c r="C321" s="625"/>
      <c r="D321" s="625"/>
      <c r="E321" s="625"/>
      <c r="F321" s="625"/>
      <c r="G321" s="625"/>
      <c r="H321" s="625"/>
      <c r="I321" s="625"/>
      <c r="J321" s="625"/>
      <c r="K321" s="625"/>
      <c r="L321" s="625"/>
      <c r="M321" s="625"/>
      <c r="N321" s="625"/>
      <c r="O321" s="625"/>
      <c r="P321" s="625"/>
      <c r="Q321" s="625"/>
      <c r="R321" s="625"/>
      <c r="S321" s="625"/>
      <c r="T321" s="625"/>
      <c r="U321" s="625"/>
      <c r="V321" s="625"/>
      <c r="W321" s="625"/>
      <c r="X321" s="625"/>
      <c r="Y321" s="625"/>
      <c r="Z321" s="625"/>
    </row>
    <row r="322">
      <c r="A322" s="625"/>
      <c r="B322" s="625"/>
      <c r="C322" s="625"/>
      <c r="D322" s="625"/>
      <c r="E322" s="625"/>
      <c r="F322" s="625"/>
      <c r="G322" s="625"/>
      <c r="H322" s="625"/>
      <c r="I322" s="625"/>
      <c r="J322" s="625"/>
      <c r="K322" s="625"/>
      <c r="L322" s="625"/>
      <c r="M322" s="625"/>
      <c r="N322" s="625"/>
      <c r="O322" s="625"/>
      <c r="P322" s="625"/>
      <c r="Q322" s="625"/>
      <c r="R322" s="625"/>
      <c r="S322" s="625"/>
      <c r="T322" s="625"/>
      <c r="U322" s="625"/>
      <c r="V322" s="625"/>
      <c r="W322" s="625"/>
      <c r="X322" s="625"/>
      <c r="Y322" s="625"/>
      <c r="Z322" s="625"/>
    </row>
    <row r="323">
      <c r="A323" s="625"/>
      <c r="B323" s="625"/>
      <c r="C323" s="625"/>
      <c r="D323" s="625"/>
      <c r="E323" s="625"/>
      <c r="F323" s="625"/>
      <c r="G323" s="625"/>
      <c r="H323" s="625"/>
      <c r="I323" s="625"/>
      <c r="J323" s="625"/>
      <c r="K323" s="625"/>
      <c r="L323" s="625"/>
      <c r="M323" s="625"/>
      <c r="N323" s="625"/>
      <c r="O323" s="625"/>
      <c r="P323" s="625"/>
      <c r="Q323" s="625"/>
      <c r="R323" s="625"/>
      <c r="S323" s="625"/>
      <c r="T323" s="625"/>
      <c r="U323" s="625"/>
      <c r="V323" s="625"/>
      <c r="W323" s="625"/>
      <c r="X323" s="625"/>
      <c r="Y323" s="625"/>
      <c r="Z323" s="625"/>
    </row>
    <row r="324">
      <c r="A324" s="625"/>
      <c r="B324" s="625"/>
      <c r="C324" s="625"/>
      <c r="D324" s="625"/>
      <c r="E324" s="625"/>
      <c r="F324" s="625"/>
      <c r="G324" s="625"/>
      <c r="H324" s="625"/>
      <c r="I324" s="625"/>
      <c r="J324" s="625"/>
      <c r="K324" s="625"/>
      <c r="L324" s="625"/>
      <c r="M324" s="625"/>
      <c r="N324" s="625"/>
      <c r="O324" s="625"/>
      <c r="P324" s="625"/>
      <c r="Q324" s="625"/>
      <c r="R324" s="625"/>
      <c r="S324" s="625"/>
      <c r="T324" s="625"/>
      <c r="U324" s="625"/>
      <c r="V324" s="625"/>
      <c r="W324" s="625"/>
      <c r="X324" s="625"/>
      <c r="Y324" s="625"/>
      <c r="Z324" s="625"/>
    </row>
    <row r="325">
      <c r="A325" s="625"/>
      <c r="B325" s="625"/>
      <c r="C325" s="625"/>
      <c r="D325" s="625"/>
      <c r="E325" s="625"/>
      <c r="F325" s="625"/>
      <c r="G325" s="625"/>
      <c r="H325" s="625"/>
      <c r="I325" s="625"/>
      <c r="J325" s="625"/>
      <c r="K325" s="625"/>
      <c r="L325" s="625"/>
      <c r="M325" s="625"/>
      <c r="N325" s="625"/>
      <c r="O325" s="625"/>
      <c r="P325" s="625"/>
      <c r="Q325" s="625"/>
      <c r="R325" s="625"/>
      <c r="S325" s="625"/>
      <c r="T325" s="625"/>
      <c r="U325" s="625"/>
      <c r="V325" s="625"/>
      <c r="W325" s="625"/>
      <c r="X325" s="625"/>
      <c r="Y325" s="625"/>
      <c r="Z325" s="625"/>
    </row>
    <row r="326">
      <c r="A326" s="625"/>
      <c r="B326" s="625"/>
      <c r="C326" s="625"/>
      <c r="D326" s="625"/>
      <c r="E326" s="625"/>
      <c r="F326" s="625"/>
      <c r="G326" s="625"/>
      <c r="H326" s="625"/>
      <c r="I326" s="625"/>
      <c r="J326" s="625"/>
      <c r="K326" s="625"/>
      <c r="L326" s="625"/>
      <c r="M326" s="625"/>
      <c r="N326" s="625"/>
      <c r="O326" s="625"/>
      <c r="P326" s="625"/>
      <c r="Q326" s="625"/>
      <c r="R326" s="625"/>
      <c r="S326" s="625"/>
      <c r="T326" s="625"/>
      <c r="U326" s="625"/>
      <c r="V326" s="625"/>
      <c r="W326" s="625"/>
      <c r="X326" s="625"/>
      <c r="Y326" s="625"/>
      <c r="Z326" s="625"/>
    </row>
    <row r="327">
      <c r="A327" s="625"/>
      <c r="B327" s="625"/>
      <c r="C327" s="625"/>
      <c r="D327" s="625"/>
      <c r="E327" s="625"/>
      <c r="F327" s="625"/>
      <c r="G327" s="625"/>
      <c r="H327" s="625"/>
      <c r="I327" s="625"/>
      <c r="J327" s="625"/>
      <c r="K327" s="625"/>
      <c r="L327" s="625"/>
      <c r="M327" s="625"/>
      <c r="N327" s="625"/>
      <c r="O327" s="625"/>
      <c r="P327" s="625"/>
      <c r="Q327" s="625"/>
      <c r="R327" s="625"/>
      <c r="S327" s="625"/>
      <c r="T327" s="625"/>
      <c r="U327" s="625"/>
      <c r="V327" s="625"/>
      <c r="W327" s="625"/>
      <c r="X327" s="625"/>
      <c r="Y327" s="625"/>
      <c r="Z327" s="625"/>
    </row>
    <row r="328">
      <c r="A328" s="625"/>
      <c r="B328" s="625"/>
      <c r="C328" s="625"/>
      <c r="D328" s="625"/>
      <c r="E328" s="625"/>
      <c r="F328" s="625"/>
      <c r="G328" s="625"/>
      <c r="H328" s="625"/>
      <c r="I328" s="625"/>
      <c r="J328" s="625"/>
      <c r="K328" s="625"/>
      <c r="L328" s="625"/>
      <c r="M328" s="625"/>
      <c r="N328" s="625"/>
      <c r="O328" s="625"/>
      <c r="P328" s="625"/>
      <c r="Q328" s="625"/>
      <c r="R328" s="625"/>
      <c r="S328" s="625"/>
      <c r="T328" s="625"/>
      <c r="U328" s="625"/>
      <c r="V328" s="625"/>
      <c r="W328" s="625"/>
      <c r="X328" s="625"/>
      <c r="Y328" s="625"/>
      <c r="Z328" s="625"/>
    </row>
    <row r="329">
      <c r="A329" s="625"/>
      <c r="B329" s="625"/>
      <c r="C329" s="625"/>
      <c r="D329" s="625"/>
      <c r="E329" s="625"/>
      <c r="F329" s="625"/>
      <c r="G329" s="625"/>
      <c r="H329" s="625"/>
      <c r="I329" s="625"/>
      <c r="J329" s="625"/>
      <c r="K329" s="625"/>
      <c r="L329" s="625"/>
      <c r="M329" s="625"/>
      <c r="N329" s="625"/>
      <c r="O329" s="625"/>
      <c r="P329" s="625"/>
      <c r="Q329" s="625"/>
      <c r="R329" s="625"/>
      <c r="S329" s="625"/>
      <c r="T329" s="625"/>
      <c r="U329" s="625"/>
      <c r="V329" s="625"/>
      <c r="W329" s="625"/>
      <c r="X329" s="625"/>
      <c r="Y329" s="625"/>
      <c r="Z329" s="625"/>
    </row>
    <row r="330">
      <c r="A330" s="625"/>
      <c r="B330" s="625"/>
      <c r="C330" s="625"/>
      <c r="D330" s="625"/>
      <c r="E330" s="625"/>
      <c r="F330" s="625"/>
      <c r="G330" s="625"/>
      <c r="H330" s="625"/>
      <c r="I330" s="625"/>
      <c r="J330" s="625"/>
      <c r="K330" s="625"/>
      <c r="L330" s="625"/>
      <c r="M330" s="625"/>
      <c r="N330" s="625"/>
      <c r="O330" s="625"/>
      <c r="P330" s="625"/>
      <c r="Q330" s="625"/>
      <c r="R330" s="625"/>
      <c r="S330" s="625"/>
      <c r="T330" s="625"/>
      <c r="U330" s="625"/>
      <c r="V330" s="625"/>
      <c r="W330" s="625"/>
      <c r="X330" s="625"/>
      <c r="Y330" s="625"/>
      <c r="Z330" s="625"/>
    </row>
    <row r="331">
      <c r="A331" s="625"/>
      <c r="B331" s="625"/>
      <c r="C331" s="625"/>
      <c r="D331" s="625"/>
      <c r="E331" s="625"/>
      <c r="F331" s="625"/>
      <c r="G331" s="625"/>
      <c r="H331" s="625"/>
      <c r="I331" s="625"/>
      <c r="J331" s="625"/>
      <c r="K331" s="625"/>
      <c r="L331" s="625"/>
      <c r="M331" s="625"/>
      <c r="N331" s="625"/>
      <c r="O331" s="625"/>
      <c r="P331" s="625"/>
      <c r="Q331" s="625"/>
      <c r="R331" s="625"/>
      <c r="S331" s="625"/>
      <c r="T331" s="625"/>
      <c r="U331" s="625"/>
      <c r="V331" s="625"/>
      <c r="W331" s="625"/>
      <c r="X331" s="625"/>
      <c r="Y331" s="625"/>
      <c r="Z331" s="625"/>
    </row>
    <row r="332">
      <c r="A332" s="625"/>
      <c r="B332" s="625"/>
      <c r="C332" s="625"/>
      <c r="D332" s="625"/>
      <c r="E332" s="625"/>
      <c r="F332" s="625"/>
      <c r="G332" s="625"/>
      <c r="H332" s="625"/>
      <c r="I332" s="625"/>
      <c r="J332" s="625"/>
      <c r="K332" s="625"/>
      <c r="L332" s="625"/>
      <c r="M332" s="625"/>
      <c r="N332" s="625"/>
      <c r="O332" s="625"/>
      <c r="P332" s="625"/>
      <c r="Q332" s="625"/>
      <c r="R332" s="625"/>
      <c r="S332" s="625"/>
      <c r="T332" s="625"/>
      <c r="U332" s="625"/>
      <c r="V332" s="625"/>
      <c r="W332" s="625"/>
      <c r="X332" s="625"/>
      <c r="Y332" s="625"/>
      <c r="Z332" s="625"/>
    </row>
    <row r="333">
      <c r="A333" s="625"/>
      <c r="B333" s="625"/>
      <c r="C333" s="625"/>
      <c r="D333" s="625"/>
      <c r="E333" s="625"/>
      <c r="F333" s="625"/>
      <c r="G333" s="625"/>
      <c r="H333" s="625"/>
      <c r="I333" s="625"/>
      <c r="J333" s="625"/>
      <c r="K333" s="625"/>
      <c r="L333" s="625"/>
      <c r="M333" s="625"/>
      <c r="N333" s="625"/>
      <c r="O333" s="625"/>
      <c r="P333" s="625"/>
      <c r="Q333" s="625"/>
      <c r="R333" s="625"/>
      <c r="S333" s="625"/>
      <c r="T333" s="625"/>
      <c r="U333" s="625"/>
      <c r="V333" s="625"/>
      <c r="W333" s="625"/>
      <c r="X333" s="625"/>
      <c r="Y333" s="625"/>
      <c r="Z333" s="625"/>
    </row>
    <row r="334">
      <c r="A334" s="625"/>
      <c r="B334" s="625"/>
      <c r="C334" s="625"/>
      <c r="D334" s="625"/>
      <c r="E334" s="625"/>
      <c r="F334" s="625"/>
      <c r="G334" s="625"/>
      <c r="H334" s="625"/>
      <c r="I334" s="625"/>
      <c r="J334" s="625"/>
      <c r="K334" s="625"/>
      <c r="L334" s="625"/>
      <c r="M334" s="625"/>
      <c r="N334" s="625"/>
      <c r="O334" s="625"/>
      <c r="P334" s="625"/>
      <c r="Q334" s="625"/>
      <c r="R334" s="625"/>
      <c r="S334" s="625"/>
      <c r="T334" s="625"/>
      <c r="U334" s="625"/>
      <c r="V334" s="625"/>
      <c r="W334" s="625"/>
      <c r="X334" s="625"/>
      <c r="Y334" s="625"/>
      <c r="Z334" s="625"/>
    </row>
    <row r="335">
      <c r="A335" s="625"/>
      <c r="B335" s="625"/>
      <c r="C335" s="625"/>
      <c r="D335" s="625"/>
      <c r="E335" s="625"/>
      <c r="F335" s="625"/>
      <c r="G335" s="625"/>
      <c r="H335" s="625"/>
      <c r="I335" s="625"/>
      <c r="J335" s="625"/>
      <c r="K335" s="625"/>
      <c r="L335" s="625"/>
      <c r="M335" s="625"/>
      <c r="N335" s="625"/>
      <c r="O335" s="625"/>
      <c r="P335" s="625"/>
      <c r="Q335" s="625"/>
      <c r="R335" s="625"/>
      <c r="S335" s="625"/>
      <c r="T335" s="625"/>
      <c r="U335" s="625"/>
      <c r="V335" s="625"/>
      <c r="W335" s="625"/>
      <c r="X335" s="625"/>
      <c r="Y335" s="625"/>
      <c r="Z335" s="625"/>
    </row>
    <row r="336">
      <c r="A336" s="625"/>
      <c r="B336" s="625"/>
      <c r="C336" s="625"/>
      <c r="D336" s="625"/>
      <c r="E336" s="625"/>
      <c r="F336" s="625"/>
      <c r="G336" s="625"/>
      <c r="H336" s="625"/>
      <c r="I336" s="625"/>
      <c r="J336" s="625"/>
      <c r="K336" s="625"/>
      <c r="L336" s="625"/>
      <c r="M336" s="625"/>
      <c r="N336" s="625"/>
      <c r="O336" s="625"/>
      <c r="P336" s="625"/>
      <c r="Q336" s="625"/>
      <c r="R336" s="625"/>
      <c r="S336" s="625"/>
      <c r="T336" s="625"/>
      <c r="U336" s="625"/>
      <c r="V336" s="625"/>
      <c r="W336" s="625"/>
      <c r="X336" s="625"/>
      <c r="Y336" s="625"/>
      <c r="Z336" s="625"/>
    </row>
    <row r="337">
      <c r="A337" s="625"/>
      <c r="B337" s="625"/>
      <c r="C337" s="625"/>
      <c r="D337" s="625"/>
      <c r="E337" s="625"/>
      <c r="F337" s="625"/>
      <c r="G337" s="625"/>
      <c r="H337" s="625"/>
      <c r="I337" s="625"/>
      <c r="J337" s="625"/>
      <c r="K337" s="625"/>
      <c r="L337" s="625"/>
      <c r="M337" s="625"/>
      <c r="N337" s="625"/>
      <c r="O337" s="625"/>
      <c r="P337" s="625"/>
      <c r="Q337" s="625"/>
      <c r="R337" s="625"/>
      <c r="S337" s="625"/>
      <c r="T337" s="625"/>
      <c r="U337" s="625"/>
      <c r="V337" s="625"/>
      <c r="W337" s="625"/>
      <c r="X337" s="625"/>
      <c r="Y337" s="625"/>
      <c r="Z337" s="625"/>
    </row>
    <row r="338">
      <c r="A338" s="625"/>
      <c r="B338" s="625"/>
      <c r="C338" s="625"/>
      <c r="D338" s="625"/>
      <c r="E338" s="625"/>
      <c r="F338" s="625"/>
      <c r="G338" s="625"/>
      <c r="H338" s="625"/>
      <c r="I338" s="625"/>
      <c r="J338" s="625"/>
      <c r="K338" s="625"/>
      <c r="L338" s="625"/>
      <c r="M338" s="625"/>
      <c r="N338" s="625"/>
      <c r="O338" s="625"/>
      <c r="P338" s="625"/>
      <c r="Q338" s="625"/>
      <c r="R338" s="625"/>
      <c r="S338" s="625"/>
      <c r="T338" s="625"/>
      <c r="U338" s="625"/>
      <c r="V338" s="625"/>
      <c r="W338" s="625"/>
      <c r="X338" s="625"/>
      <c r="Y338" s="625"/>
      <c r="Z338" s="625"/>
    </row>
    <row r="339">
      <c r="A339" s="625"/>
      <c r="B339" s="625"/>
      <c r="C339" s="625"/>
      <c r="D339" s="625"/>
      <c r="E339" s="625"/>
      <c r="F339" s="625"/>
      <c r="G339" s="625"/>
      <c r="H339" s="625"/>
      <c r="I339" s="625"/>
      <c r="J339" s="625"/>
      <c r="K339" s="625"/>
      <c r="L339" s="625"/>
      <c r="M339" s="625"/>
      <c r="N339" s="625"/>
      <c r="O339" s="625"/>
      <c r="P339" s="625"/>
      <c r="Q339" s="625"/>
      <c r="R339" s="625"/>
      <c r="S339" s="625"/>
      <c r="T339" s="625"/>
      <c r="U339" s="625"/>
      <c r="V339" s="625"/>
      <c r="W339" s="625"/>
      <c r="X339" s="625"/>
      <c r="Y339" s="625"/>
      <c r="Z339" s="625"/>
    </row>
    <row r="340">
      <c r="A340" s="625"/>
      <c r="B340" s="625"/>
      <c r="C340" s="625"/>
      <c r="D340" s="625"/>
      <c r="E340" s="625"/>
      <c r="F340" s="625"/>
      <c r="G340" s="625"/>
      <c r="H340" s="625"/>
      <c r="I340" s="625"/>
      <c r="J340" s="625"/>
      <c r="K340" s="625"/>
      <c r="L340" s="625"/>
      <c r="M340" s="625"/>
      <c r="N340" s="625"/>
      <c r="O340" s="625"/>
      <c r="P340" s="625"/>
      <c r="Q340" s="625"/>
      <c r="R340" s="625"/>
      <c r="S340" s="625"/>
      <c r="T340" s="625"/>
      <c r="U340" s="625"/>
      <c r="V340" s="625"/>
      <c r="W340" s="625"/>
      <c r="X340" s="625"/>
      <c r="Y340" s="625"/>
      <c r="Z340" s="625"/>
    </row>
    <row r="341">
      <c r="A341" s="625"/>
      <c r="B341" s="625"/>
      <c r="C341" s="625"/>
      <c r="D341" s="625"/>
      <c r="E341" s="625"/>
      <c r="F341" s="625"/>
      <c r="G341" s="625"/>
      <c r="H341" s="625"/>
      <c r="I341" s="625"/>
      <c r="J341" s="625"/>
      <c r="K341" s="625"/>
      <c r="L341" s="625"/>
      <c r="M341" s="625"/>
      <c r="N341" s="625"/>
      <c r="O341" s="625"/>
      <c r="P341" s="625"/>
      <c r="Q341" s="625"/>
      <c r="R341" s="625"/>
      <c r="S341" s="625"/>
      <c r="T341" s="625"/>
      <c r="U341" s="625"/>
      <c r="V341" s="625"/>
      <c r="W341" s="625"/>
      <c r="X341" s="625"/>
      <c r="Y341" s="625"/>
      <c r="Z341" s="625"/>
    </row>
    <row r="342">
      <c r="A342" s="625"/>
      <c r="B342" s="625"/>
      <c r="C342" s="625"/>
      <c r="D342" s="625"/>
      <c r="E342" s="625"/>
      <c r="F342" s="625"/>
      <c r="G342" s="625"/>
      <c r="H342" s="625"/>
      <c r="I342" s="625"/>
      <c r="J342" s="625"/>
      <c r="K342" s="625"/>
      <c r="L342" s="625"/>
      <c r="M342" s="625"/>
      <c r="N342" s="625"/>
      <c r="O342" s="625"/>
      <c r="P342" s="625"/>
      <c r="Q342" s="625"/>
      <c r="R342" s="625"/>
      <c r="S342" s="625"/>
      <c r="T342" s="625"/>
      <c r="U342" s="625"/>
      <c r="V342" s="625"/>
      <c r="W342" s="625"/>
      <c r="X342" s="625"/>
      <c r="Y342" s="625"/>
      <c r="Z342" s="625"/>
    </row>
    <row r="343">
      <c r="A343" s="625"/>
      <c r="B343" s="625"/>
      <c r="C343" s="625"/>
      <c r="D343" s="625"/>
      <c r="E343" s="625"/>
      <c r="F343" s="625"/>
      <c r="G343" s="625"/>
      <c r="H343" s="625"/>
      <c r="I343" s="625"/>
      <c r="J343" s="625"/>
      <c r="K343" s="625"/>
      <c r="L343" s="625"/>
      <c r="M343" s="625"/>
      <c r="N343" s="625"/>
      <c r="O343" s="625"/>
      <c r="P343" s="625"/>
      <c r="Q343" s="625"/>
      <c r="R343" s="625"/>
      <c r="S343" s="625"/>
      <c r="T343" s="625"/>
      <c r="U343" s="625"/>
      <c r="V343" s="625"/>
      <c r="W343" s="625"/>
      <c r="X343" s="625"/>
      <c r="Y343" s="625"/>
      <c r="Z343" s="625"/>
    </row>
    <row r="344">
      <c r="A344" s="625"/>
      <c r="B344" s="625"/>
      <c r="C344" s="625"/>
      <c r="D344" s="625"/>
      <c r="E344" s="625"/>
      <c r="F344" s="625"/>
      <c r="G344" s="625"/>
      <c r="H344" s="625"/>
      <c r="I344" s="625"/>
      <c r="J344" s="625"/>
      <c r="K344" s="625"/>
      <c r="L344" s="625"/>
      <c r="M344" s="625"/>
      <c r="N344" s="625"/>
      <c r="O344" s="625"/>
      <c r="P344" s="625"/>
      <c r="Q344" s="625"/>
      <c r="R344" s="625"/>
      <c r="S344" s="625"/>
      <c r="T344" s="625"/>
      <c r="U344" s="625"/>
      <c r="V344" s="625"/>
      <c r="W344" s="625"/>
      <c r="X344" s="625"/>
      <c r="Y344" s="625"/>
      <c r="Z344" s="625"/>
    </row>
    <row r="345">
      <c r="A345" s="625"/>
      <c r="B345" s="625"/>
      <c r="C345" s="625"/>
      <c r="D345" s="625"/>
      <c r="E345" s="625"/>
      <c r="F345" s="625"/>
      <c r="G345" s="625"/>
      <c r="H345" s="625"/>
      <c r="I345" s="625"/>
      <c r="J345" s="625"/>
      <c r="K345" s="625"/>
      <c r="L345" s="625"/>
      <c r="M345" s="625"/>
      <c r="N345" s="625"/>
      <c r="O345" s="625"/>
      <c r="P345" s="625"/>
      <c r="Q345" s="625"/>
      <c r="R345" s="625"/>
      <c r="S345" s="625"/>
      <c r="T345" s="625"/>
      <c r="U345" s="625"/>
      <c r="V345" s="625"/>
      <c r="W345" s="625"/>
      <c r="X345" s="625"/>
      <c r="Y345" s="625"/>
      <c r="Z345" s="625"/>
    </row>
    <row r="346">
      <c r="A346" s="625"/>
      <c r="B346" s="625"/>
      <c r="C346" s="625"/>
      <c r="D346" s="625"/>
      <c r="E346" s="625"/>
      <c r="F346" s="625"/>
      <c r="G346" s="625"/>
      <c r="H346" s="625"/>
      <c r="I346" s="625"/>
      <c r="J346" s="625"/>
      <c r="K346" s="625"/>
      <c r="L346" s="625"/>
      <c r="M346" s="625"/>
      <c r="N346" s="625"/>
      <c r="O346" s="625"/>
      <c r="P346" s="625"/>
      <c r="Q346" s="625"/>
      <c r="R346" s="625"/>
      <c r="S346" s="625"/>
      <c r="T346" s="625"/>
      <c r="U346" s="625"/>
      <c r="V346" s="625"/>
      <c r="W346" s="625"/>
      <c r="X346" s="625"/>
      <c r="Y346" s="625"/>
      <c r="Z346" s="625"/>
    </row>
    <row r="347">
      <c r="A347" s="625"/>
      <c r="B347" s="625"/>
      <c r="C347" s="625"/>
      <c r="D347" s="625"/>
      <c r="E347" s="625"/>
      <c r="F347" s="625"/>
      <c r="G347" s="625"/>
      <c r="H347" s="625"/>
      <c r="I347" s="625"/>
      <c r="J347" s="625"/>
      <c r="K347" s="625"/>
      <c r="L347" s="625"/>
      <c r="M347" s="625"/>
      <c r="N347" s="625"/>
      <c r="O347" s="625"/>
      <c r="P347" s="625"/>
      <c r="Q347" s="625"/>
      <c r="R347" s="625"/>
      <c r="S347" s="625"/>
      <c r="T347" s="625"/>
      <c r="U347" s="625"/>
      <c r="V347" s="625"/>
      <c r="W347" s="625"/>
      <c r="X347" s="625"/>
      <c r="Y347" s="625"/>
      <c r="Z347" s="625"/>
    </row>
    <row r="348">
      <c r="A348" s="625"/>
      <c r="B348" s="625"/>
      <c r="C348" s="625"/>
      <c r="D348" s="625"/>
      <c r="E348" s="625"/>
      <c r="F348" s="625"/>
      <c r="G348" s="625"/>
      <c r="H348" s="625"/>
      <c r="I348" s="625"/>
      <c r="J348" s="625"/>
      <c r="K348" s="625"/>
      <c r="L348" s="625"/>
      <c r="M348" s="625"/>
      <c r="N348" s="625"/>
      <c r="O348" s="625"/>
      <c r="P348" s="625"/>
      <c r="Q348" s="625"/>
      <c r="R348" s="625"/>
      <c r="S348" s="625"/>
      <c r="T348" s="625"/>
      <c r="U348" s="625"/>
      <c r="V348" s="625"/>
      <c r="W348" s="625"/>
      <c r="X348" s="625"/>
      <c r="Y348" s="625"/>
      <c r="Z348" s="625"/>
    </row>
    <row r="349">
      <c r="A349" s="625"/>
      <c r="B349" s="625"/>
      <c r="C349" s="625"/>
      <c r="D349" s="625"/>
      <c r="E349" s="625"/>
      <c r="F349" s="625"/>
      <c r="G349" s="625"/>
      <c r="H349" s="625"/>
      <c r="I349" s="625"/>
      <c r="J349" s="625"/>
      <c r="K349" s="625"/>
      <c r="L349" s="625"/>
      <c r="M349" s="625"/>
      <c r="N349" s="625"/>
      <c r="O349" s="625"/>
      <c r="P349" s="625"/>
      <c r="Q349" s="625"/>
      <c r="R349" s="625"/>
      <c r="S349" s="625"/>
      <c r="T349" s="625"/>
      <c r="U349" s="625"/>
      <c r="V349" s="625"/>
      <c r="W349" s="625"/>
      <c r="X349" s="625"/>
      <c r="Y349" s="625"/>
      <c r="Z349" s="625"/>
    </row>
    <row r="350">
      <c r="A350" s="625"/>
      <c r="B350" s="625"/>
      <c r="C350" s="625"/>
      <c r="D350" s="625"/>
      <c r="E350" s="625"/>
      <c r="F350" s="625"/>
      <c r="G350" s="625"/>
      <c r="H350" s="625"/>
      <c r="I350" s="625"/>
      <c r="J350" s="625"/>
      <c r="K350" s="625"/>
      <c r="L350" s="625"/>
      <c r="M350" s="625"/>
      <c r="N350" s="625"/>
      <c r="O350" s="625"/>
      <c r="P350" s="625"/>
      <c r="Q350" s="625"/>
      <c r="R350" s="625"/>
      <c r="S350" s="625"/>
      <c r="T350" s="625"/>
      <c r="U350" s="625"/>
      <c r="V350" s="625"/>
      <c r="W350" s="625"/>
      <c r="X350" s="625"/>
      <c r="Y350" s="625"/>
      <c r="Z350" s="625"/>
    </row>
    <row r="351">
      <c r="A351" s="625"/>
      <c r="B351" s="625"/>
      <c r="C351" s="625"/>
      <c r="D351" s="625"/>
      <c r="E351" s="625"/>
      <c r="F351" s="625"/>
      <c r="G351" s="625"/>
      <c r="H351" s="625"/>
      <c r="I351" s="625"/>
      <c r="J351" s="625"/>
      <c r="K351" s="625"/>
      <c r="L351" s="625"/>
      <c r="M351" s="625"/>
      <c r="N351" s="625"/>
      <c r="O351" s="625"/>
      <c r="P351" s="625"/>
      <c r="Q351" s="625"/>
      <c r="R351" s="625"/>
      <c r="S351" s="625"/>
      <c r="T351" s="625"/>
      <c r="U351" s="625"/>
      <c r="V351" s="625"/>
      <c r="W351" s="625"/>
      <c r="X351" s="625"/>
      <c r="Y351" s="625"/>
      <c r="Z351" s="625"/>
    </row>
    <row r="352">
      <c r="A352" s="625"/>
      <c r="B352" s="625"/>
      <c r="C352" s="625"/>
      <c r="D352" s="625"/>
      <c r="E352" s="625"/>
      <c r="F352" s="625"/>
      <c r="G352" s="625"/>
      <c r="H352" s="625"/>
      <c r="I352" s="625"/>
      <c r="J352" s="625"/>
      <c r="K352" s="625"/>
      <c r="L352" s="625"/>
      <c r="M352" s="625"/>
      <c r="N352" s="625"/>
      <c r="O352" s="625"/>
      <c r="P352" s="625"/>
      <c r="Q352" s="625"/>
      <c r="R352" s="625"/>
      <c r="S352" s="625"/>
      <c r="T352" s="625"/>
      <c r="U352" s="625"/>
      <c r="V352" s="625"/>
      <c r="W352" s="625"/>
      <c r="X352" s="625"/>
      <c r="Y352" s="625"/>
      <c r="Z352" s="625"/>
    </row>
    <row r="353">
      <c r="A353" s="625"/>
      <c r="B353" s="625"/>
      <c r="C353" s="625"/>
      <c r="D353" s="625"/>
      <c r="E353" s="625"/>
      <c r="F353" s="625"/>
      <c r="G353" s="625"/>
      <c r="H353" s="625"/>
      <c r="I353" s="625"/>
      <c r="J353" s="625"/>
      <c r="K353" s="625"/>
      <c r="L353" s="625"/>
      <c r="M353" s="625"/>
      <c r="N353" s="625"/>
      <c r="O353" s="625"/>
      <c r="P353" s="625"/>
      <c r="Q353" s="625"/>
      <c r="R353" s="625"/>
      <c r="S353" s="625"/>
      <c r="T353" s="625"/>
      <c r="U353" s="625"/>
      <c r="V353" s="625"/>
      <c r="W353" s="625"/>
      <c r="X353" s="625"/>
      <c r="Y353" s="625"/>
      <c r="Z353" s="625"/>
    </row>
    <row r="354">
      <c r="A354" s="625"/>
      <c r="B354" s="625"/>
      <c r="C354" s="625"/>
      <c r="D354" s="625"/>
      <c r="E354" s="625"/>
      <c r="F354" s="625"/>
      <c r="G354" s="625"/>
      <c r="H354" s="625"/>
      <c r="I354" s="625"/>
      <c r="J354" s="625"/>
      <c r="K354" s="625"/>
      <c r="L354" s="625"/>
      <c r="M354" s="625"/>
      <c r="N354" s="625"/>
      <c r="O354" s="625"/>
      <c r="P354" s="625"/>
      <c r="Q354" s="625"/>
      <c r="R354" s="625"/>
      <c r="S354" s="625"/>
      <c r="T354" s="625"/>
      <c r="U354" s="625"/>
      <c r="V354" s="625"/>
      <c r="W354" s="625"/>
      <c r="X354" s="625"/>
      <c r="Y354" s="625"/>
      <c r="Z354" s="625"/>
    </row>
    <row r="355">
      <c r="A355" s="625"/>
      <c r="B355" s="625"/>
      <c r="C355" s="625"/>
      <c r="D355" s="625"/>
      <c r="E355" s="625"/>
      <c r="F355" s="625"/>
      <c r="G355" s="625"/>
      <c r="H355" s="625"/>
      <c r="I355" s="625"/>
      <c r="J355" s="625"/>
      <c r="K355" s="625"/>
      <c r="L355" s="625"/>
      <c r="M355" s="625"/>
      <c r="N355" s="625"/>
      <c r="O355" s="625"/>
      <c r="P355" s="625"/>
      <c r="Q355" s="625"/>
      <c r="R355" s="625"/>
      <c r="S355" s="625"/>
      <c r="T355" s="625"/>
      <c r="U355" s="625"/>
      <c r="V355" s="625"/>
      <c r="W355" s="625"/>
      <c r="X355" s="625"/>
      <c r="Y355" s="625"/>
      <c r="Z355" s="625"/>
    </row>
    <row r="356">
      <c r="A356" s="625"/>
      <c r="B356" s="625"/>
      <c r="C356" s="625"/>
      <c r="D356" s="625"/>
      <c r="E356" s="625"/>
      <c r="F356" s="625"/>
      <c r="G356" s="625"/>
      <c r="H356" s="625"/>
      <c r="I356" s="625"/>
      <c r="J356" s="625"/>
      <c r="K356" s="625"/>
      <c r="L356" s="625"/>
      <c r="M356" s="625"/>
      <c r="N356" s="625"/>
      <c r="O356" s="625"/>
      <c r="P356" s="625"/>
      <c r="Q356" s="625"/>
      <c r="R356" s="625"/>
      <c r="S356" s="625"/>
      <c r="T356" s="625"/>
      <c r="U356" s="625"/>
      <c r="V356" s="625"/>
      <c r="W356" s="625"/>
      <c r="X356" s="625"/>
      <c r="Y356" s="625"/>
      <c r="Z356" s="625"/>
    </row>
    <row r="357">
      <c r="A357" s="625"/>
      <c r="B357" s="625"/>
      <c r="C357" s="625"/>
      <c r="D357" s="625"/>
      <c r="E357" s="625"/>
      <c r="F357" s="625"/>
      <c r="G357" s="625"/>
      <c r="H357" s="625"/>
      <c r="I357" s="625"/>
      <c r="J357" s="625"/>
      <c r="K357" s="625"/>
      <c r="L357" s="625"/>
      <c r="M357" s="625"/>
      <c r="N357" s="625"/>
      <c r="O357" s="625"/>
      <c r="P357" s="625"/>
      <c r="Q357" s="625"/>
      <c r="R357" s="625"/>
      <c r="S357" s="625"/>
      <c r="T357" s="625"/>
      <c r="U357" s="625"/>
      <c r="V357" s="625"/>
      <c r="W357" s="625"/>
      <c r="X357" s="625"/>
      <c r="Y357" s="625"/>
      <c r="Z357" s="625"/>
    </row>
    <row r="358">
      <c r="A358" s="625"/>
      <c r="B358" s="625"/>
      <c r="C358" s="625"/>
      <c r="D358" s="625"/>
      <c r="E358" s="625"/>
      <c r="F358" s="625"/>
      <c r="G358" s="625"/>
      <c r="H358" s="625"/>
      <c r="I358" s="625"/>
      <c r="J358" s="625"/>
      <c r="K358" s="625"/>
      <c r="L358" s="625"/>
      <c r="M358" s="625"/>
      <c r="N358" s="625"/>
      <c r="O358" s="625"/>
      <c r="P358" s="625"/>
      <c r="Q358" s="625"/>
      <c r="R358" s="625"/>
      <c r="S358" s="625"/>
      <c r="T358" s="625"/>
      <c r="U358" s="625"/>
      <c r="V358" s="625"/>
      <c r="W358" s="625"/>
      <c r="X358" s="625"/>
      <c r="Y358" s="625"/>
      <c r="Z358" s="625"/>
    </row>
    <row r="359">
      <c r="A359" s="625"/>
      <c r="B359" s="625"/>
      <c r="C359" s="625"/>
      <c r="D359" s="625"/>
      <c r="E359" s="625"/>
      <c r="F359" s="625"/>
      <c r="G359" s="625"/>
      <c r="H359" s="625"/>
      <c r="I359" s="625"/>
      <c r="J359" s="625"/>
      <c r="K359" s="625"/>
      <c r="L359" s="625"/>
      <c r="M359" s="625"/>
      <c r="N359" s="625"/>
      <c r="O359" s="625"/>
      <c r="P359" s="625"/>
      <c r="Q359" s="625"/>
      <c r="R359" s="625"/>
      <c r="S359" s="625"/>
      <c r="T359" s="625"/>
      <c r="U359" s="625"/>
      <c r="V359" s="625"/>
      <c r="W359" s="625"/>
      <c r="X359" s="625"/>
      <c r="Y359" s="625"/>
      <c r="Z359" s="625"/>
    </row>
    <row r="360">
      <c r="A360" s="625"/>
      <c r="B360" s="625"/>
      <c r="C360" s="625"/>
      <c r="D360" s="625"/>
      <c r="E360" s="625"/>
      <c r="F360" s="625"/>
      <c r="G360" s="625"/>
      <c r="H360" s="625"/>
      <c r="I360" s="625"/>
      <c r="J360" s="625"/>
      <c r="K360" s="625"/>
      <c r="L360" s="625"/>
      <c r="M360" s="625"/>
      <c r="N360" s="625"/>
      <c r="O360" s="625"/>
      <c r="P360" s="625"/>
      <c r="Q360" s="625"/>
      <c r="R360" s="625"/>
      <c r="S360" s="625"/>
      <c r="T360" s="625"/>
      <c r="U360" s="625"/>
      <c r="V360" s="625"/>
      <c r="W360" s="625"/>
      <c r="X360" s="625"/>
      <c r="Y360" s="625"/>
      <c r="Z360" s="625"/>
    </row>
    <row r="361">
      <c r="A361" s="625"/>
      <c r="B361" s="625"/>
      <c r="C361" s="625"/>
      <c r="D361" s="625"/>
      <c r="E361" s="625"/>
      <c r="F361" s="625"/>
      <c r="G361" s="625"/>
      <c r="H361" s="625"/>
      <c r="I361" s="625"/>
      <c r="J361" s="625"/>
      <c r="K361" s="625"/>
      <c r="L361" s="625"/>
      <c r="M361" s="625"/>
      <c r="N361" s="625"/>
      <c r="O361" s="625"/>
      <c r="P361" s="625"/>
      <c r="Q361" s="625"/>
      <c r="R361" s="625"/>
      <c r="S361" s="625"/>
      <c r="T361" s="625"/>
      <c r="U361" s="625"/>
      <c r="V361" s="625"/>
      <c r="W361" s="625"/>
      <c r="X361" s="625"/>
      <c r="Y361" s="625"/>
      <c r="Z361" s="625"/>
    </row>
    <row r="362">
      <c r="A362" s="625"/>
      <c r="B362" s="625"/>
      <c r="C362" s="625"/>
      <c r="D362" s="625"/>
      <c r="E362" s="625"/>
      <c r="F362" s="625"/>
      <c r="G362" s="625"/>
      <c r="H362" s="625"/>
      <c r="I362" s="625"/>
      <c r="J362" s="625"/>
      <c r="K362" s="625"/>
      <c r="L362" s="625"/>
      <c r="M362" s="625"/>
      <c r="N362" s="625"/>
      <c r="O362" s="625"/>
      <c r="P362" s="625"/>
      <c r="Q362" s="625"/>
      <c r="R362" s="625"/>
      <c r="S362" s="625"/>
      <c r="T362" s="625"/>
      <c r="U362" s="625"/>
      <c r="V362" s="625"/>
      <c r="W362" s="625"/>
      <c r="X362" s="625"/>
      <c r="Y362" s="625"/>
      <c r="Z362" s="625"/>
    </row>
    <row r="363">
      <c r="A363" s="625"/>
      <c r="B363" s="625"/>
      <c r="C363" s="625"/>
      <c r="D363" s="625"/>
      <c r="E363" s="625"/>
      <c r="F363" s="625"/>
      <c r="G363" s="625"/>
      <c r="H363" s="625"/>
      <c r="I363" s="625"/>
      <c r="J363" s="625"/>
      <c r="K363" s="625"/>
      <c r="L363" s="625"/>
      <c r="M363" s="625"/>
      <c r="N363" s="625"/>
      <c r="O363" s="625"/>
      <c r="P363" s="625"/>
      <c r="Q363" s="625"/>
      <c r="R363" s="625"/>
      <c r="S363" s="625"/>
      <c r="T363" s="625"/>
      <c r="U363" s="625"/>
      <c r="V363" s="625"/>
      <c r="W363" s="625"/>
      <c r="X363" s="625"/>
      <c r="Y363" s="625"/>
      <c r="Z363" s="625"/>
    </row>
    <row r="364">
      <c r="A364" s="625"/>
      <c r="B364" s="625"/>
      <c r="C364" s="625"/>
      <c r="D364" s="625"/>
      <c r="E364" s="625"/>
      <c r="F364" s="625"/>
      <c r="G364" s="625"/>
      <c r="H364" s="625"/>
      <c r="I364" s="625"/>
      <c r="J364" s="625"/>
      <c r="K364" s="625"/>
      <c r="L364" s="625"/>
      <c r="M364" s="625"/>
      <c r="N364" s="625"/>
      <c r="O364" s="625"/>
      <c r="P364" s="625"/>
      <c r="Q364" s="625"/>
      <c r="R364" s="625"/>
      <c r="S364" s="625"/>
      <c r="T364" s="625"/>
      <c r="U364" s="625"/>
      <c r="V364" s="625"/>
      <c r="W364" s="625"/>
      <c r="X364" s="625"/>
      <c r="Y364" s="625"/>
      <c r="Z364" s="625"/>
    </row>
    <row r="365">
      <c r="A365" s="625"/>
      <c r="B365" s="625"/>
      <c r="C365" s="625"/>
      <c r="D365" s="625"/>
      <c r="E365" s="625"/>
      <c r="F365" s="625"/>
      <c r="G365" s="625"/>
      <c r="H365" s="625"/>
      <c r="I365" s="625"/>
      <c r="J365" s="625"/>
      <c r="K365" s="625"/>
      <c r="L365" s="625"/>
      <c r="M365" s="625"/>
      <c r="N365" s="625"/>
      <c r="O365" s="625"/>
      <c r="P365" s="625"/>
      <c r="Q365" s="625"/>
      <c r="R365" s="625"/>
      <c r="S365" s="625"/>
      <c r="T365" s="625"/>
      <c r="U365" s="625"/>
      <c r="V365" s="625"/>
      <c r="W365" s="625"/>
      <c r="X365" s="625"/>
      <c r="Y365" s="625"/>
      <c r="Z365" s="625"/>
    </row>
    <row r="366">
      <c r="A366" s="625"/>
      <c r="B366" s="625"/>
      <c r="C366" s="625"/>
      <c r="D366" s="625"/>
      <c r="E366" s="625"/>
      <c r="F366" s="625"/>
      <c r="G366" s="625"/>
      <c r="H366" s="625"/>
      <c r="I366" s="625"/>
      <c r="J366" s="625"/>
      <c r="K366" s="625"/>
      <c r="L366" s="625"/>
      <c r="M366" s="625"/>
      <c r="N366" s="625"/>
      <c r="O366" s="625"/>
      <c r="P366" s="625"/>
      <c r="Q366" s="625"/>
      <c r="R366" s="625"/>
      <c r="S366" s="625"/>
      <c r="T366" s="625"/>
      <c r="U366" s="625"/>
      <c r="V366" s="625"/>
      <c r="W366" s="625"/>
      <c r="X366" s="625"/>
      <c r="Y366" s="625"/>
      <c r="Z366" s="625"/>
    </row>
    <row r="367">
      <c r="A367" s="625"/>
      <c r="B367" s="625"/>
      <c r="C367" s="625"/>
      <c r="D367" s="625"/>
      <c r="E367" s="625"/>
      <c r="F367" s="625"/>
      <c r="G367" s="625"/>
      <c r="H367" s="625"/>
      <c r="I367" s="625"/>
      <c r="J367" s="625"/>
      <c r="K367" s="625"/>
      <c r="L367" s="625"/>
      <c r="M367" s="625"/>
      <c r="N367" s="625"/>
      <c r="O367" s="625"/>
      <c r="P367" s="625"/>
      <c r="Q367" s="625"/>
      <c r="R367" s="625"/>
      <c r="S367" s="625"/>
      <c r="T367" s="625"/>
      <c r="U367" s="625"/>
      <c r="V367" s="625"/>
      <c r="W367" s="625"/>
      <c r="X367" s="625"/>
      <c r="Y367" s="625"/>
      <c r="Z367" s="625"/>
    </row>
    <row r="368">
      <c r="A368" s="625"/>
      <c r="B368" s="625"/>
      <c r="C368" s="625"/>
      <c r="D368" s="625"/>
      <c r="E368" s="625"/>
      <c r="F368" s="625"/>
      <c r="G368" s="625"/>
      <c r="H368" s="625"/>
      <c r="I368" s="625"/>
      <c r="J368" s="625"/>
      <c r="K368" s="625"/>
      <c r="L368" s="625"/>
      <c r="M368" s="625"/>
      <c r="N368" s="625"/>
      <c r="O368" s="625"/>
      <c r="P368" s="625"/>
      <c r="Q368" s="625"/>
      <c r="R368" s="625"/>
      <c r="S368" s="625"/>
      <c r="T368" s="625"/>
      <c r="U368" s="625"/>
      <c r="V368" s="625"/>
      <c r="W368" s="625"/>
      <c r="X368" s="625"/>
      <c r="Y368" s="625"/>
      <c r="Z368" s="625"/>
    </row>
    <row r="369">
      <c r="A369" s="625"/>
      <c r="B369" s="625"/>
      <c r="C369" s="625"/>
      <c r="D369" s="625"/>
      <c r="E369" s="625"/>
      <c r="F369" s="625"/>
      <c r="G369" s="625"/>
      <c r="H369" s="625"/>
      <c r="I369" s="625"/>
      <c r="J369" s="625"/>
      <c r="K369" s="625"/>
      <c r="L369" s="625"/>
      <c r="M369" s="625"/>
      <c r="N369" s="625"/>
      <c r="O369" s="625"/>
      <c r="P369" s="625"/>
      <c r="Q369" s="625"/>
      <c r="R369" s="625"/>
      <c r="S369" s="625"/>
      <c r="T369" s="625"/>
      <c r="U369" s="625"/>
      <c r="V369" s="625"/>
      <c r="W369" s="625"/>
      <c r="X369" s="625"/>
      <c r="Y369" s="625"/>
      <c r="Z369" s="625"/>
    </row>
    <row r="370">
      <c r="A370" s="625"/>
      <c r="B370" s="625"/>
      <c r="C370" s="625"/>
      <c r="D370" s="625"/>
      <c r="E370" s="625"/>
      <c r="F370" s="625"/>
      <c r="G370" s="625"/>
      <c r="H370" s="625"/>
      <c r="I370" s="625"/>
      <c r="J370" s="625"/>
      <c r="K370" s="625"/>
      <c r="L370" s="625"/>
      <c r="M370" s="625"/>
      <c r="N370" s="625"/>
      <c r="O370" s="625"/>
      <c r="P370" s="625"/>
      <c r="Q370" s="625"/>
      <c r="R370" s="625"/>
      <c r="S370" s="625"/>
      <c r="T370" s="625"/>
      <c r="U370" s="625"/>
      <c r="V370" s="625"/>
      <c r="W370" s="625"/>
      <c r="X370" s="625"/>
      <c r="Y370" s="625"/>
      <c r="Z370" s="625"/>
    </row>
    <row r="371">
      <c r="A371" s="625"/>
      <c r="B371" s="625"/>
      <c r="C371" s="625"/>
      <c r="D371" s="625"/>
      <c r="E371" s="625"/>
      <c r="F371" s="625"/>
      <c r="G371" s="625"/>
      <c r="H371" s="625"/>
      <c r="I371" s="625"/>
      <c r="J371" s="625"/>
      <c r="K371" s="625"/>
      <c r="L371" s="625"/>
      <c r="M371" s="625"/>
      <c r="N371" s="625"/>
      <c r="O371" s="625"/>
      <c r="P371" s="625"/>
      <c r="Q371" s="625"/>
      <c r="R371" s="625"/>
      <c r="S371" s="625"/>
      <c r="T371" s="625"/>
      <c r="U371" s="625"/>
      <c r="V371" s="625"/>
      <c r="W371" s="625"/>
      <c r="X371" s="625"/>
      <c r="Y371" s="625"/>
      <c r="Z371" s="625"/>
    </row>
    <row r="372">
      <c r="A372" s="625"/>
      <c r="B372" s="625"/>
      <c r="C372" s="625"/>
      <c r="D372" s="625"/>
      <c r="E372" s="625"/>
      <c r="F372" s="625"/>
      <c r="G372" s="625"/>
      <c r="H372" s="625"/>
      <c r="I372" s="625"/>
      <c r="J372" s="625"/>
      <c r="K372" s="625"/>
      <c r="L372" s="625"/>
      <c r="M372" s="625"/>
      <c r="N372" s="625"/>
      <c r="O372" s="625"/>
      <c r="P372" s="625"/>
      <c r="Q372" s="625"/>
      <c r="R372" s="625"/>
      <c r="S372" s="625"/>
      <c r="T372" s="625"/>
      <c r="U372" s="625"/>
      <c r="V372" s="625"/>
      <c r="W372" s="625"/>
      <c r="X372" s="625"/>
      <c r="Y372" s="625"/>
      <c r="Z372" s="625"/>
    </row>
    <row r="373">
      <c r="A373" s="625"/>
      <c r="B373" s="625"/>
      <c r="C373" s="625"/>
      <c r="D373" s="625"/>
      <c r="E373" s="625"/>
      <c r="F373" s="625"/>
      <c r="G373" s="625"/>
      <c r="H373" s="625"/>
      <c r="I373" s="625"/>
      <c r="J373" s="625"/>
      <c r="K373" s="625"/>
      <c r="L373" s="625"/>
      <c r="M373" s="625"/>
      <c r="N373" s="625"/>
      <c r="O373" s="625"/>
      <c r="P373" s="625"/>
      <c r="Q373" s="625"/>
      <c r="R373" s="625"/>
      <c r="S373" s="625"/>
      <c r="T373" s="625"/>
      <c r="U373" s="625"/>
      <c r="V373" s="625"/>
      <c r="W373" s="625"/>
      <c r="X373" s="625"/>
      <c r="Y373" s="625"/>
      <c r="Z373" s="625"/>
    </row>
    <row r="374">
      <c r="A374" s="625"/>
      <c r="B374" s="625"/>
      <c r="C374" s="625"/>
      <c r="D374" s="625"/>
      <c r="E374" s="625"/>
      <c r="F374" s="625"/>
      <c r="G374" s="625"/>
      <c r="H374" s="625"/>
      <c r="I374" s="625"/>
      <c r="J374" s="625"/>
      <c r="K374" s="625"/>
      <c r="L374" s="625"/>
      <c r="M374" s="625"/>
      <c r="N374" s="625"/>
      <c r="O374" s="625"/>
      <c r="P374" s="625"/>
      <c r="Q374" s="625"/>
      <c r="R374" s="625"/>
      <c r="S374" s="625"/>
      <c r="T374" s="625"/>
      <c r="U374" s="625"/>
      <c r="V374" s="625"/>
      <c r="W374" s="625"/>
      <c r="X374" s="625"/>
      <c r="Y374" s="625"/>
      <c r="Z374" s="625"/>
    </row>
    <row r="375">
      <c r="A375" s="625"/>
      <c r="B375" s="625"/>
      <c r="C375" s="625"/>
      <c r="D375" s="625"/>
      <c r="E375" s="625"/>
      <c r="F375" s="625"/>
      <c r="G375" s="625"/>
      <c r="H375" s="625"/>
      <c r="I375" s="625"/>
      <c r="J375" s="625"/>
      <c r="K375" s="625"/>
      <c r="L375" s="625"/>
      <c r="M375" s="625"/>
      <c r="N375" s="625"/>
      <c r="O375" s="625"/>
      <c r="P375" s="625"/>
      <c r="Q375" s="625"/>
      <c r="R375" s="625"/>
      <c r="S375" s="625"/>
      <c r="T375" s="625"/>
      <c r="U375" s="625"/>
      <c r="V375" s="625"/>
      <c r="W375" s="625"/>
      <c r="X375" s="625"/>
      <c r="Y375" s="625"/>
      <c r="Z375" s="625"/>
    </row>
    <row r="376">
      <c r="A376" s="625"/>
      <c r="B376" s="625"/>
      <c r="C376" s="625"/>
      <c r="D376" s="625"/>
      <c r="E376" s="625"/>
      <c r="F376" s="625"/>
      <c r="G376" s="625"/>
      <c r="H376" s="625"/>
      <c r="I376" s="625"/>
      <c r="J376" s="625"/>
      <c r="K376" s="625"/>
      <c r="L376" s="625"/>
      <c r="M376" s="625"/>
      <c r="N376" s="625"/>
      <c r="O376" s="625"/>
      <c r="P376" s="625"/>
      <c r="Q376" s="625"/>
      <c r="R376" s="625"/>
      <c r="S376" s="625"/>
      <c r="T376" s="625"/>
      <c r="U376" s="625"/>
      <c r="V376" s="625"/>
      <c r="W376" s="625"/>
      <c r="X376" s="625"/>
      <c r="Y376" s="625"/>
      <c r="Z376" s="625"/>
    </row>
    <row r="377">
      <c r="A377" s="625"/>
      <c r="B377" s="625"/>
      <c r="C377" s="625"/>
      <c r="D377" s="625"/>
      <c r="E377" s="625"/>
      <c r="F377" s="625"/>
      <c r="G377" s="625"/>
      <c r="H377" s="625"/>
      <c r="I377" s="625"/>
      <c r="J377" s="625"/>
      <c r="K377" s="625"/>
      <c r="L377" s="625"/>
      <c r="M377" s="625"/>
      <c r="N377" s="625"/>
      <c r="O377" s="625"/>
      <c r="P377" s="625"/>
      <c r="Q377" s="625"/>
      <c r="R377" s="625"/>
      <c r="S377" s="625"/>
      <c r="T377" s="625"/>
      <c r="U377" s="625"/>
      <c r="V377" s="625"/>
      <c r="W377" s="625"/>
      <c r="X377" s="625"/>
      <c r="Y377" s="625"/>
      <c r="Z377" s="625"/>
    </row>
    <row r="378">
      <c r="A378" s="625"/>
      <c r="B378" s="625"/>
      <c r="C378" s="625"/>
      <c r="D378" s="625"/>
      <c r="E378" s="625"/>
      <c r="F378" s="625"/>
      <c r="G378" s="625"/>
      <c r="H378" s="625"/>
      <c r="I378" s="625"/>
      <c r="J378" s="625"/>
      <c r="K378" s="625"/>
      <c r="L378" s="625"/>
      <c r="M378" s="625"/>
      <c r="N378" s="625"/>
      <c r="O378" s="625"/>
      <c r="P378" s="625"/>
      <c r="Q378" s="625"/>
      <c r="R378" s="625"/>
      <c r="S378" s="625"/>
      <c r="T378" s="625"/>
      <c r="U378" s="625"/>
      <c r="V378" s="625"/>
      <c r="W378" s="625"/>
      <c r="X378" s="625"/>
      <c r="Y378" s="625"/>
      <c r="Z378" s="625"/>
    </row>
    <row r="379">
      <c r="A379" s="625"/>
      <c r="B379" s="625"/>
      <c r="C379" s="625"/>
      <c r="D379" s="625"/>
      <c r="E379" s="625"/>
      <c r="F379" s="625"/>
      <c r="G379" s="625"/>
      <c r="H379" s="625"/>
      <c r="I379" s="625"/>
      <c r="J379" s="625"/>
      <c r="K379" s="625"/>
      <c r="L379" s="625"/>
      <c r="M379" s="625"/>
      <c r="N379" s="625"/>
      <c r="O379" s="625"/>
      <c r="P379" s="625"/>
      <c r="Q379" s="625"/>
      <c r="R379" s="625"/>
      <c r="S379" s="625"/>
      <c r="T379" s="625"/>
      <c r="U379" s="625"/>
      <c r="V379" s="625"/>
      <c r="W379" s="625"/>
      <c r="X379" s="625"/>
      <c r="Y379" s="625"/>
      <c r="Z379" s="625"/>
    </row>
    <row r="380">
      <c r="A380" s="625"/>
      <c r="B380" s="625"/>
      <c r="C380" s="625"/>
      <c r="D380" s="625"/>
      <c r="E380" s="625"/>
      <c r="F380" s="625"/>
      <c r="G380" s="625"/>
      <c r="H380" s="625"/>
      <c r="I380" s="625"/>
      <c r="J380" s="625"/>
      <c r="K380" s="625"/>
      <c r="L380" s="625"/>
      <c r="M380" s="625"/>
      <c r="N380" s="625"/>
      <c r="O380" s="625"/>
      <c r="P380" s="625"/>
      <c r="Q380" s="625"/>
      <c r="R380" s="625"/>
      <c r="S380" s="625"/>
      <c r="T380" s="625"/>
      <c r="U380" s="625"/>
      <c r="V380" s="625"/>
      <c r="W380" s="625"/>
      <c r="X380" s="625"/>
      <c r="Y380" s="625"/>
      <c r="Z380" s="625"/>
    </row>
    <row r="381">
      <c r="A381" s="625"/>
      <c r="B381" s="625"/>
      <c r="C381" s="625"/>
      <c r="D381" s="625"/>
      <c r="E381" s="625"/>
      <c r="F381" s="625"/>
      <c r="G381" s="625"/>
      <c r="H381" s="625"/>
      <c r="I381" s="625"/>
      <c r="J381" s="625"/>
      <c r="K381" s="625"/>
      <c r="L381" s="625"/>
      <c r="M381" s="625"/>
      <c r="N381" s="625"/>
      <c r="O381" s="625"/>
      <c r="P381" s="625"/>
      <c r="Q381" s="625"/>
      <c r="R381" s="625"/>
      <c r="S381" s="625"/>
      <c r="T381" s="625"/>
      <c r="U381" s="625"/>
      <c r="V381" s="625"/>
      <c r="W381" s="625"/>
      <c r="X381" s="625"/>
      <c r="Y381" s="625"/>
      <c r="Z381" s="625"/>
    </row>
    <row r="382">
      <c r="A382" s="625"/>
      <c r="B382" s="625"/>
      <c r="C382" s="625"/>
      <c r="D382" s="625"/>
      <c r="E382" s="625"/>
      <c r="F382" s="625"/>
      <c r="G382" s="625"/>
      <c r="H382" s="625"/>
      <c r="I382" s="625"/>
      <c r="J382" s="625"/>
      <c r="K382" s="625"/>
      <c r="L382" s="625"/>
      <c r="M382" s="625"/>
      <c r="N382" s="625"/>
      <c r="O382" s="625"/>
      <c r="P382" s="625"/>
      <c r="Q382" s="625"/>
      <c r="R382" s="625"/>
      <c r="S382" s="625"/>
      <c r="T382" s="625"/>
      <c r="U382" s="625"/>
      <c r="V382" s="625"/>
      <c r="W382" s="625"/>
      <c r="X382" s="625"/>
      <c r="Y382" s="625"/>
      <c r="Z382" s="625"/>
    </row>
    <row r="383">
      <c r="A383" s="625"/>
      <c r="B383" s="625"/>
      <c r="C383" s="625"/>
      <c r="D383" s="625"/>
      <c r="E383" s="625"/>
      <c r="F383" s="625"/>
      <c r="G383" s="625"/>
      <c r="H383" s="625"/>
      <c r="I383" s="625"/>
      <c r="J383" s="625"/>
      <c r="K383" s="625"/>
      <c r="L383" s="625"/>
      <c r="M383" s="625"/>
      <c r="N383" s="625"/>
      <c r="O383" s="625"/>
      <c r="P383" s="625"/>
      <c r="Q383" s="625"/>
      <c r="R383" s="625"/>
      <c r="S383" s="625"/>
      <c r="T383" s="625"/>
      <c r="U383" s="625"/>
      <c r="V383" s="625"/>
      <c r="W383" s="625"/>
      <c r="X383" s="625"/>
      <c r="Y383" s="625"/>
      <c r="Z383" s="625"/>
    </row>
    <row r="384">
      <c r="A384" s="625"/>
      <c r="B384" s="625"/>
      <c r="C384" s="625"/>
      <c r="D384" s="625"/>
      <c r="E384" s="625"/>
      <c r="F384" s="625"/>
      <c r="G384" s="625"/>
      <c r="H384" s="625"/>
      <c r="I384" s="625"/>
      <c r="J384" s="625"/>
      <c r="K384" s="625"/>
      <c r="L384" s="625"/>
      <c r="M384" s="625"/>
      <c r="N384" s="625"/>
      <c r="O384" s="625"/>
      <c r="P384" s="625"/>
      <c r="Q384" s="625"/>
      <c r="R384" s="625"/>
      <c r="S384" s="625"/>
      <c r="T384" s="625"/>
      <c r="U384" s="625"/>
      <c r="V384" s="625"/>
      <c r="W384" s="625"/>
      <c r="X384" s="625"/>
      <c r="Y384" s="625"/>
      <c r="Z384" s="625"/>
    </row>
    <row r="385">
      <c r="A385" s="625"/>
      <c r="B385" s="625"/>
      <c r="C385" s="625"/>
      <c r="D385" s="625"/>
      <c r="E385" s="625"/>
      <c r="F385" s="625"/>
      <c r="G385" s="625"/>
      <c r="H385" s="625"/>
      <c r="I385" s="625"/>
      <c r="J385" s="625"/>
      <c r="K385" s="625"/>
      <c r="L385" s="625"/>
      <c r="M385" s="625"/>
      <c r="N385" s="625"/>
      <c r="O385" s="625"/>
      <c r="P385" s="625"/>
      <c r="Q385" s="625"/>
      <c r="R385" s="625"/>
      <c r="S385" s="625"/>
      <c r="T385" s="625"/>
      <c r="U385" s="625"/>
      <c r="V385" s="625"/>
      <c r="W385" s="625"/>
      <c r="X385" s="625"/>
      <c r="Y385" s="625"/>
      <c r="Z385" s="625"/>
    </row>
    <row r="386">
      <c r="A386" s="625"/>
      <c r="B386" s="625"/>
      <c r="C386" s="625"/>
      <c r="D386" s="625"/>
      <c r="E386" s="625"/>
      <c r="F386" s="625"/>
      <c r="G386" s="625"/>
      <c r="H386" s="625"/>
      <c r="I386" s="625"/>
      <c r="J386" s="625"/>
      <c r="K386" s="625"/>
      <c r="L386" s="625"/>
      <c r="M386" s="625"/>
      <c r="N386" s="625"/>
      <c r="O386" s="625"/>
      <c r="P386" s="625"/>
      <c r="Q386" s="625"/>
      <c r="R386" s="625"/>
      <c r="S386" s="625"/>
      <c r="T386" s="625"/>
      <c r="U386" s="625"/>
      <c r="V386" s="625"/>
      <c r="W386" s="625"/>
      <c r="X386" s="625"/>
      <c r="Y386" s="625"/>
      <c r="Z386" s="625"/>
    </row>
    <row r="387">
      <c r="A387" s="625"/>
      <c r="B387" s="625"/>
      <c r="C387" s="625"/>
      <c r="D387" s="625"/>
      <c r="E387" s="625"/>
      <c r="F387" s="625"/>
      <c r="G387" s="625"/>
      <c r="H387" s="625"/>
      <c r="I387" s="625"/>
      <c r="J387" s="625"/>
      <c r="K387" s="625"/>
      <c r="L387" s="625"/>
      <c r="M387" s="625"/>
      <c r="N387" s="625"/>
      <c r="O387" s="625"/>
      <c r="P387" s="625"/>
      <c r="Q387" s="625"/>
      <c r="R387" s="625"/>
      <c r="S387" s="625"/>
      <c r="T387" s="625"/>
      <c r="U387" s="625"/>
      <c r="V387" s="625"/>
      <c r="W387" s="625"/>
      <c r="X387" s="625"/>
      <c r="Y387" s="625"/>
      <c r="Z387" s="625"/>
    </row>
    <row r="388">
      <c r="A388" s="625"/>
      <c r="B388" s="625"/>
      <c r="C388" s="625"/>
      <c r="D388" s="625"/>
      <c r="E388" s="625"/>
      <c r="F388" s="625"/>
      <c r="G388" s="625"/>
      <c r="H388" s="625"/>
      <c r="I388" s="625"/>
      <c r="J388" s="625"/>
      <c r="K388" s="625"/>
      <c r="L388" s="625"/>
      <c r="M388" s="625"/>
      <c r="N388" s="625"/>
      <c r="O388" s="625"/>
      <c r="P388" s="625"/>
      <c r="Q388" s="625"/>
      <c r="R388" s="625"/>
      <c r="S388" s="625"/>
      <c r="T388" s="625"/>
      <c r="U388" s="625"/>
      <c r="V388" s="625"/>
      <c r="W388" s="625"/>
      <c r="X388" s="625"/>
      <c r="Y388" s="625"/>
      <c r="Z388" s="625"/>
    </row>
    <row r="389">
      <c r="A389" s="625"/>
      <c r="B389" s="625"/>
      <c r="C389" s="625"/>
      <c r="D389" s="625"/>
      <c r="E389" s="625"/>
      <c r="F389" s="625"/>
      <c r="G389" s="625"/>
      <c r="H389" s="625"/>
      <c r="I389" s="625"/>
      <c r="J389" s="625"/>
      <c r="K389" s="625"/>
      <c r="L389" s="625"/>
      <c r="M389" s="625"/>
      <c r="N389" s="625"/>
      <c r="O389" s="625"/>
      <c r="P389" s="625"/>
      <c r="Q389" s="625"/>
      <c r="R389" s="625"/>
      <c r="S389" s="625"/>
      <c r="T389" s="625"/>
      <c r="U389" s="625"/>
      <c r="V389" s="625"/>
      <c r="W389" s="625"/>
      <c r="X389" s="625"/>
      <c r="Y389" s="625"/>
      <c r="Z389" s="625"/>
    </row>
    <row r="390">
      <c r="A390" s="625"/>
      <c r="B390" s="625"/>
      <c r="C390" s="625"/>
      <c r="D390" s="625"/>
      <c r="E390" s="625"/>
      <c r="F390" s="625"/>
      <c r="G390" s="625"/>
      <c r="H390" s="625"/>
      <c r="I390" s="625"/>
      <c r="J390" s="625"/>
      <c r="K390" s="625"/>
      <c r="L390" s="625"/>
      <c r="M390" s="625"/>
      <c r="N390" s="625"/>
      <c r="O390" s="625"/>
      <c r="P390" s="625"/>
      <c r="Q390" s="625"/>
      <c r="R390" s="625"/>
      <c r="S390" s="625"/>
      <c r="T390" s="625"/>
      <c r="U390" s="625"/>
      <c r="V390" s="625"/>
      <c r="W390" s="625"/>
      <c r="X390" s="625"/>
      <c r="Y390" s="625"/>
      <c r="Z390" s="625"/>
    </row>
    <row r="391">
      <c r="A391" s="625"/>
      <c r="B391" s="625"/>
      <c r="C391" s="625"/>
      <c r="D391" s="625"/>
      <c r="E391" s="625"/>
      <c r="F391" s="625"/>
      <c r="G391" s="625"/>
      <c r="H391" s="625"/>
      <c r="I391" s="625"/>
      <c r="J391" s="625"/>
      <c r="K391" s="625"/>
      <c r="L391" s="625"/>
      <c r="M391" s="625"/>
      <c r="N391" s="625"/>
      <c r="O391" s="625"/>
      <c r="P391" s="625"/>
      <c r="Q391" s="625"/>
      <c r="R391" s="625"/>
      <c r="S391" s="625"/>
      <c r="T391" s="625"/>
      <c r="U391" s="625"/>
      <c r="V391" s="625"/>
      <c r="W391" s="625"/>
      <c r="X391" s="625"/>
      <c r="Y391" s="625"/>
      <c r="Z391" s="625"/>
    </row>
    <row r="392">
      <c r="A392" s="625"/>
      <c r="B392" s="625"/>
      <c r="C392" s="625"/>
      <c r="D392" s="625"/>
      <c r="E392" s="625"/>
      <c r="F392" s="625"/>
      <c r="G392" s="625"/>
      <c r="H392" s="625"/>
      <c r="I392" s="625"/>
      <c r="J392" s="625"/>
      <c r="K392" s="625"/>
      <c r="L392" s="625"/>
      <c r="M392" s="625"/>
      <c r="N392" s="625"/>
      <c r="O392" s="625"/>
      <c r="P392" s="625"/>
      <c r="Q392" s="625"/>
      <c r="R392" s="625"/>
      <c r="S392" s="625"/>
      <c r="T392" s="625"/>
      <c r="U392" s="625"/>
      <c r="V392" s="625"/>
      <c r="W392" s="625"/>
      <c r="X392" s="625"/>
      <c r="Y392" s="625"/>
      <c r="Z392" s="625"/>
    </row>
    <row r="393">
      <c r="A393" s="625"/>
      <c r="B393" s="625"/>
      <c r="C393" s="625"/>
      <c r="D393" s="625"/>
      <c r="E393" s="625"/>
      <c r="F393" s="625"/>
      <c r="G393" s="625"/>
      <c r="H393" s="625"/>
      <c r="I393" s="625"/>
      <c r="J393" s="625"/>
      <c r="K393" s="625"/>
      <c r="L393" s="625"/>
      <c r="M393" s="625"/>
      <c r="N393" s="625"/>
      <c r="O393" s="625"/>
      <c r="P393" s="625"/>
      <c r="Q393" s="625"/>
      <c r="R393" s="625"/>
      <c r="S393" s="625"/>
      <c r="T393" s="625"/>
      <c r="U393" s="625"/>
      <c r="V393" s="625"/>
      <c r="W393" s="625"/>
      <c r="X393" s="625"/>
      <c r="Y393" s="625"/>
      <c r="Z393" s="625"/>
    </row>
    <row r="394">
      <c r="A394" s="625"/>
      <c r="B394" s="625"/>
      <c r="C394" s="625"/>
      <c r="D394" s="625"/>
      <c r="E394" s="625"/>
      <c r="F394" s="625"/>
      <c r="G394" s="625"/>
      <c r="H394" s="625"/>
      <c r="I394" s="625"/>
      <c r="J394" s="625"/>
      <c r="K394" s="625"/>
      <c r="L394" s="625"/>
      <c r="M394" s="625"/>
      <c r="N394" s="625"/>
      <c r="O394" s="625"/>
      <c r="P394" s="625"/>
      <c r="Q394" s="625"/>
      <c r="R394" s="625"/>
      <c r="S394" s="625"/>
      <c r="T394" s="625"/>
      <c r="U394" s="625"/>
      <c r="V394" s="625"/>
      <c r="W394" s="625"/>
      <c r="X394" s="625"/>
      <c r="Y394" s="625"/>
      <c r="Z394" s="625"/>
    </row>
    <row r="395">
      <c r="A395" s="625"/>
      <c r="B395" s="625"/>
      <c r="C395" s="625"/>
      <c r="D395" s="625"/>
      <c r="E395" s="625"/>
      <c r="F395" s="625"/>
      <c r="G395" s="625"/>
      <c r="H395" s="625"/>
      <c r="I395" s="625"/>
      <c r="J395" s="625"/>
      <c r="K395" s="625"/>
      <c r="L395" s="625"/>
      <c r="M395" s="625"/>
      <c r="N395" s="625"/>
      <c r="O395" s="625"/>
      <c r="P395" s="625"/>
      <c r="Q395" s="625"/>
      <c r="R395" s="625"/>
      <c r="S395" s="625"/>
      <c r="T395" s="625"/>
      <c r="U395" s="625"/>
      <c r="V395" s="625"/>
      <c r="W395" s="625"/>
      <c r="X395" s="625"/>
      <c r="Y395" s="625"/>
      <c r="Z395" s="625"/>
    </row>
    <row r="396">
      <c r="A396" s="625"/>
      <c r="B396" s="625"/>
      <c r="C396" s="625"/>
      <c r="D396" s="625"/>
      <c r="E396" s="625"/>
      <c r="F396" s="625"/>
      <c r="G396" s="625"/>
      <c r="H396" s="625"/>
      <c r="I396" s="625"/>
      <c r="J396" s="625"/>
      <c r="K396" s="625"/>
      <c r="L396" s="625"/>
      <c r="M396" s="625"/>
      <c r="N396" s="625"/>
      <c r="O396" s="625"/>
      <c r="P396" s="625"/>
      <c r="Q396" s="625"/>
      <c r="R396" s="625"/>
      <c r="S396" s="625"/>
      <c r="T396" s="625"/>
      <c r="U396" s="625"/>
      <c r="V396" s="625"/>
      <c r="W396" s="625"/>
      <c r="X396" s="625"/>
      <c r="Y396" s="625"/>
      <c r="Z396" s="625"/>
    </row>
    <row r="397">
      <c r="A397" s="625"/>
      <c r="B397" s="625"/>
      <c r="C397" s="625"/>
      <c r="D397" s="625"/>
      <c r="E397" s="625"/>
      <c r="F397" s="625"/>
      <c r="G397" s="625"/>
      <c r="H397" s="625"/>
      <c r="I397" s="625"/>
      <c r="J397" s="625"/>
      <c r="K397" s="625"/>
      <c r="L397" s="625"/>
      <c r="M397" s="625"/>
      <c r="N397" s="625"/>
      <c r="O397" s="625"/>
      <c r="P397" s="625"/>
      <c r="Q397" s="625"/>
      <c r="R397" s="625"/>
      <c r="S397" s="625"/>
      <c r="T397" s="625"/>
      <c r="U397" s="625"/>
      <c r="V397" s="625"/>
      <c r="W397" s="625"/>
      <c r="X397" s="625"/>
      <c r="Y397" s="625"/>
      <c r="Z397" s="625"/>
    </row>
    <row r="398">
      <c r="A398" s="625"/>
      <c r="B398" s="625"/>
      <c r="C398" s="625"/>
      <c r="D398" s="625"/>
      <c r="E398" s="625"/>
      <c r="F398" s="625"/>
      <c r="G398" s="625"/>
      <c r="H398" s="625"/>
      <c r="I398" s="625"/>
      <c r="J398" s="625"/>
      <c r="K398" s="625"/>
      <c r="L398" s="625"/>
      <c r="M398" s="625"/>
      <c r="N398" s="625"/>
      <c r="O398" s="625"/>
      <c r="P398" s="625"/>
      <c r="Q398" s="625"/>
      <c r="R398" s="625"/>
      <c r="S398" s="625"/>
      <c r="T398" s="625"/>
      <c r="U398" s="625"/>
      <c r="V398" s="625"/>
      <c r="W398" s="625"/>
      <c r="X398" s="625"/>
      <c r="Y398" s="625"/>
      <c r="Z398" s="625"/>
    </row>
    <row r="399">
      <c r="A399" s="625"/>
      <c r="B399" s="625"/>
      <c r="C399" s="625"/>
      <c r="D399" s="625"/>
      <c r="E399" s="625"/>
      <c r="F399" s="625"/>
      <c r="G399" s="625"/>
      <c r="H399" s="625"/>
      <c r="I399" s="625"/>
      <c r="J399" s="625"/>
      <c r="K399" s="625"/>
      <c r="L399" s="625"/>
      <c r="M399" s="625"/>
      <c r="N399" s="625"/>
      <c r="O399" s="625"/>
      <c r="P399" s="625"/>
      <c r="Q399" s="625"/>
      <c r="R399" s="625"/>
      <c r="S399" s="625"/>
      <c r="T399" s="625"/>
      <c r="U399" s="625"/>
      <c r="V399" s="625"/>
      <c r="W399" s="625"/>
      <c r="X399" s="625"/>
      <c r="Y399" s="625"/>
      <c r="Z399" s="625"/>
    </row>
    <row r="400">
      <c r="A400" s="625"/>
      <c r="B400" s="625"/>
      <c r="C400" s="625"/>
      <c r="D400" s="625"/>
      <c r="E400" s="625"/>
      <c r="F400" s="625"/>
      <c r="G400" s="625"/>
      <c r="H400" s="625"/>
      <c r="I400" s="625"/>
      <c r="J400" s="625"/>
      <c r="K400" s="625"/>
      <c r="L400" s="625"/>
      <c r="M400" s="625"/>
      <c r="N400" s="625"/>
      <c r="O400" s="625"/>
      <c r="P400" s="625"/>
      <c r="Q400" s="625"/>
      <c r="R400" s="625"/>
      <c r="S400" s="625"/>
      <c r="T400" s="625"/>
      <c r="U400" s="625"/>
      <c r="V400" s="625"/>
      <c r="W400" s="625"/>
      <c r="X400" s="625"/>
      <c r="Y400" s="625"/>
      <c r="Z400" s="625"/>
    </row>
    <row r="401">
      <c r="A401" s="625"/>
      <c r="B401" s="625"/>
      <c r="C401" s="625"/>
      <c r="D401" s="625"/>
      <c r="E401" s="625"/>
      <c r="F401" s="625"/>
      <c r="G401" s="625"/>
      <c r="H401" s="625"/>
      <c r="I401" s="625"/>
      <c r="J401" s="625"/>
      <c r="K401" s="625"/>
      <c r="L401" s="625"/>
      <c r="M401" s="625"/>
      <c r="N401" s="625"/>
      <c r="O401" s="625"/>
      <c r="P401" s="625"/>
      <c r="Q401" s="625"/>
      <c r="R401" s="625"/>
      <c r="S401" s="625"/>
      <c r="T401" s="625"/>
      <c r="U401" s="625"/>
      <c r="V401" s="625"/>
      <c r="W401" s="625"/>
      <c r="X401" s="625"/>
      <c r="Y401" s="625"/>
      <c r="Z401" s="625"/>
    </row>
    <row r="402">
      <c r="A402" s="625"/>
      <c r="B402" s="625"/>
      <c r="C402" s="625"/>
      <c r="D402" s="625"/>
      <c r="E402" s="625"/>
      <c r="F402" s="625"/>
      <c r="G402" s="625"/>
      <c r="H402" s="625"/>
      <c r="I402" s="625"/>
      <c r="J402" s="625"/>
      <c r="K402" s="625"/>
      <c r="L402" s="625"/>
      <c r="M402" s="625"/>
      <c r="N402" s="625"/>
      <c r="O402" s="625"/>
      <c r="P402" s="625"/>
      <c r="Q402" s="625"/>
      <c r="R402" s="625"/>
      <c r="S402" s="625"/>
      <c r="T402" s="625"/>
      <c r="U402" s="625"/>
      <c r="V402" s="625"/>
      <c r="W402" s="625"/>
      <c r="X402" s="625"/>
      <c r="Y402" s="625"/>
      <c r="Z402" s="625"/>
    </row>
    <row r="403">
      <c r="A403" s="625"/>
      <c r="B403" s="625"/>
      <c r="C403" s="625"/>
      <c r="D403" s="625"/>
      <c r="E403" s="625"/>
      <c r="F403" s="625"/>
      <c r="G403" s="625"/>
      <c r="H403" s="625"/>
      <c r="I403" s="625"/>
      <c r="J403" s="625"/>
      <c r="K403" s="625"/>
      <c r="L403" s="625"/>
      <c r="M403" s="625"/>
      <c r="N403" s="625"/>
      <c r="O403" s="625"/>
      <c r="P403" s="625"/>
      <c r="Q403" s="625"/>
      <c r="R403" s="625"/>
      <c r="S403" s="625"/>
      <c r="T403" s="625"/>
      <c r="U403" s="625"/>
      <c r="V403" s="625"/>
      <c r="W403" s="625"/>
      <c r="X403" s="625"/>
      <c r="Y403" s="625"/>
      <c r="Z403" s="625"/>
    </row>
    <row r="404">
      <c r="A404" s="625"/>
      <c r="B404" s="625"/>
      <c r="C404" s="625"/>
      <c r="D404" s="625"/>
      <c r="E404" s="625"/>
      <c r="F404" s="625"/>
      <c r="G404" s="625"/>
      <c r="H404" s="625"/>
      <c r="I404" s="625"/>
      <c r="J404" s="625"/>
      <c r="K404" s="625"/>
      <c r="L404" s="625"/>
      <c r="M404" s="625"/>
      <c r="N404" s="625"/>
      <c r="O404" s="625"/>
      <c r="P404" s="625"/>
      <c r="Q404" s="625"/>
      <c r="R404" s="625"/>
      <c r="S404" s="625"/>
      <c r="T404" s="625"/>
      <c r="U404" s="625"/>
      <c r="V404" s="625"/>
      <c r="W404" s="625"/>
      <c r="X404" s="625"/>
      <c r="Y404" s="625"/>
      <c r="Z404" s="625"/>
    </row>
    <row r="405">
      <c r="A405" s="625"/>
      <c r="B405" s="625"/>
      <c r="C405" s="625"/>
      <c r="D405" s="625"/>
      <c r="E405" s="625"/>
      <c r="F405" s="625"/>
      <c r="G405" s="625"/>
      <c r="H405" s="625"/>
      <c r="I405" s="625"/>
      <c r="J405" s="625"/>
      <c r="K405" s="625"/>
      <c r="L405" s="625"/>
      <c r="M405" s="625"/>
      <c r="N405" s="625"/>
      <c r="O405" s="625"/>
      <c r="P405" s="625"/>
      <c r="Q405" s="625"/>
      <c r="R405" s="625"/>
      <c r="S405" s="625"/>
      <c r="T405" s="625"/>
      <c r="U405" s="625"/>
      <c r="V405" s="625"/>
      <c r="W405" s="625"/>
      <c r="X405" s="625"/>
      <c r="Y405" s="625"/>
      <c r="Z405" s="625"/>
    </row>
    <row r="406">
      <c r="A406" s="625"/>
      <c r="B406" s="625"/>
      <c r="C406" s="625"/>
      <c r="D406" s="625"/>
      <c r="E406" s="625"/>
      <c r="F406" s="625"/>
      <c r="G406" s="625"/>
      <c r="H406" s="625"/>
      <c r="I406" s="625"/>
      <c r="J406" s="625"/>
      <c r="K406" s="625"/>
      <c r="L406" s="625"/>
      <c r="M406" s="625"/>
      <c r="N406" s="625"/>
      <c r="O406" s="625"/>
      <c r="P406" s="625"/>
      <c r="Q406" s="625"/>
      <c r="R406" s="625"/>
      <c r="S406" s="625"/>
      <c r="T406" s="625"/>
      <c r="U406" s="625"/>
      <c r="V406" s="625"/>
      <c r="W406" s="625"/>
      <c r="X406" s="625"/>
      <c r="Y406" s="625"/>
      <c r="Z406" s="625"/>
    </row>
    <row r="407">
      <c r="A407" s="625"/>
      <c r="B407" s="625"/>
      <c r="C407" s="625"/>
      <c r="D407" s="625"/>
      <c r="E407" s="625"/>
      <c r="F407" s="625"/>
      <c r="G407" s="625"/>
      <c r="H407" s="625"/>
      <c r="I407" s="625"/>
      <c r="J407" s="625"/>
      <c r="K407" s="625"/>
      <c r="L407" s="625"/>
      <c r="M407" s="625"/>
      <c r="N407" s="625"/>
      <c r="O407" s="625"/>
      <c r="P407" s="625"/>
      <c r="Q407" s="625"/>
      <c r="R407" s="625"/>
      <c r="S407" s="625"/>
      <c r="T407" s="625"/>
      <c r="U407" s="625"/>
      <c r="V407" s="625"/>
      <c r="W407" s="625"/>
      <c r="X407" s="625"/>
      <c r="Y407" s="625"/>
      <c r="Z407" s="625"/>
    </row>
    <row r="408">
      <c r="A408" s="625"/>
      <c r="B408" s="625"/>
      <c r="C408" s="625"/>
      <c r="D408" s="625"/>
      <c r="E408" s="625"/>
      <c r="F408" s="625"/>
      <c r="G408" s="625"/>
      <c r="H408" s="625"/>
      <c r="I408" s="625"/>
      <c r="J408" s="625"/>
      <c r="K408" s="625"/>
      <c r="L408" s="625"/>
      <c r="M408" s="625"/>
      <c r="N408" s="625"/>
      <c r="O408" s="625"/>
      <c r="P408" s="625"/>
      <c r="Q408" s="625"/>
      <c r="R408" s="625"/>
      <c r="S408" s="625"/>
      <c r="T408" s="625"/>
      <c r="U408" s="625"/>
      <c r="V408" s="625"/>
      <c r="W408" s="625"/>
      <c r="X408" s="625"/>
      <c r="Y408" s="625"/>
      <c r="Z408" s="625"/>
    </row>
    <row r="409">
      <c r="A409" s="625"/>
      <c r="B409" s="625"/>
      <c r="C409" s="625"/>
      <c r="D409" s="625"/>
      <c r="E409" s="625"/>
      <c r="F409" s="625"/>
      <c r="G409" s="625"/>
      <c r="H409" s="625"/>
      <c r="I409" s="625"/>
      <c r="J409" s="625"/>
      <c r="K409" s="625"/>
      <c r="L409" s="625"/>
      <c r="M409" s="625"/>
      <c r="N409" s="625"/>
      <c r="O409" s="625"/>
      <c r="P409" s="625"/>
      <c r="Q409" s="625"/>
      <c r="R409" s="625"/>
      <c r="S409" s="625"/>
      <c r="T409" s="625"/>
      <c r="U409" s="625"/>
      <c r="V409" s="625"/>
      <c r="W409" s="625"/>
      <c r="X409" s="625"/>
      <c r="Y409" s="625"/>
      <c r="Z409" s="625"/>
    </row>
    <row r="410">
      <c r="A410" s="625"/>
      <c r="B410" s="625"/>
      <c r="C410" s="625"/>
      <c r="D410" s="625"/>
      <c r="E410" s="625"/>
      <c r="F410" s="625"/>
      <c r="G410" s="625"/>
      <c r="H410" s="625"/>
      <c r="I410" s="625"/>
      <c r="J410" s="625"/>
      <c r="K410" s="625"/>
      <c r="L410" s="625"/>
      <c r="M410" s="625"/>
      <c r="N410" s="625"/>
      <c r="O410" s="625"/>
      <c r="P410" s="625"/>
      <c r="Q410" s="625"/>
      <c r="R410" s="625"/>
      <c r="S410" s="625"/>
      <c r="T410" s="625"/>
      <c r="U410" s="625"/>
      <c r="V410" s="625"/>
      <c r="W410" s="625"/>
      <c r="X410" s="625"/>
      <c r="Y410" s="625"/>
      <c r="Z410" s="625"/>
    </row>
    <row r="411">
      <c r="A411" s="625"/>
      <c r="B411" s="625"/>
      <c r="C411" s="625"/>
      <c r="D411" s="625"/>
      <c r="E411" s="625"/>
      <c r="F411" s="625"/>
      <c r="G411" s="625"/>
      <c r="H411" s="625"/>
      <c r="I411" s="625"/>
      <c r="J411" s="625"/>
      <c r="K411" s="625"/>
      <c r="L411" s="625"/>
      <c r="M411" s="625"/>
      <c r="N411" s="625"/>
      <c r="O411" s="625"/>
      <c r="P411" s="625"/>
      <c r="Q411" s="625"/>
      <c r="R411" s="625"/>
      <c r="S411" s="625"/>
      <c r="T411" s="625"/>
      <c r="U411" s="625"/>
      <c r="V411" s="625"/>
      <c r="W411" s="625"/>
      <c r="X411" s="625"/>
      <c r="Y411" s="625"/>
      <c r="Z411" s="625"/>
    </row>
    <row r="412">
      <c r="A412" s="625"/>
      <c r="B412" s="625"/>
      <c r="C412" s="625"/>
      <c r="D412" s="625"/>
      <c r="E412" s="625"/>
      <c r="F412" s="625"/>
      <c r="G412" s="625"/>
      <c r="H412" s="625"/>
      <c r="I412" s="625"/>
      <c r="J412" s="625"/>
      <c r="K412" s="625"/>
      <c r="L412" s="625"/>
      <c r="M412" s="625"/>
      <c r="N412" s="625"/>
      <c r="O412" s="625"/>
      <c r="P412" s="625"/>
      <c r="Q412" s="625"/>
      <c r="R412" s="625"/>
      <c r="S412" s="625"/>
      <c r="T412" s="625"/>
      <c r="U412" s="625"/>
      <c r="V412" s="625"/>
      <c r="W412" s="625"/>
      <c r="X412" s="625"/>
      <c r="Y412" s="625"/>
      <c r="Z412" s="625"/>
    </row>
    <row r="413">
      <c r="A413" s="625"/>
      <c r="B413" s="625"/>
      <c r="C413" s="625"/>
      <c r="D413" s="625"/>
      <c r="E413" s="625"/>
      <c r="F413" s="625"/>
      <c r="G413" s="625"/>
      <c r="H413" s="625"/>
      <c r="I413" s="625"/>
      <c r="J413" s="625"/>
      <c r="K413" s="625"/>
      <c r="L413" s="625"/>
      <c r="M413" s="625"/>
      <c r="N413" s="625"/>
      <c r="O413" s="625"/>
      <c r="P413" s="625"/>
      <c r="Q413" s="625"/>
      <c r="R413" s="625"/>
      <c r="S413" s="625"/>
      <c r="T413" s="625"/>
      <c r="U413" s="625"/>
      <c r="V413" s="625"/>
      <c r="W413" s="625"/>
      <c r="X413" s="625"/>
      <c r="Y413" s="625"/>
      <c r="Z413" s="625"/>
    </row>
    <row r="414">
      <c r="A414" s="625"/>
      <c r="B414" s="625"/>
      <c r="C414" s="625"/>
      <c r="D414" s="625"/>
      <c r="E414" s="625"/>
      <c r="F414" s="625"/>
      <c r="G414" s="625"/>
      <c r="H414" s="625"/>
      <c r="I414" s="625"/>
      <c r="J414" s="625"/>
      <c r="K414" s="625"/>
      <c r="L414" s="625"/>
      <c r="M414" s="625"/>
      <c r="N414" s="625"/>
      <c r="O414" s="625"/>
      <c r="P414" s="625"/>
      <c r="Q414" s="625"/>
      <c r="R414" s="625"/>
      <c r="S414" s="625"/>
      <c r="T414" s="625"/>
      <c r="U414" s="625"/>
      <c r="V414" s="625"/>
      <c r="W414" s="625"/>
      <c r="X414" s="625"/>
      <c r="Y414" s="625"/>
      <c r="Z414" s="625"/>
    </row>
    <row r="415">
      <c r="A415" s="625"/>
      <c r="B415" s="625"/>
      <c r="C415" s="625"/>
      <c r="D415" s="625"/>
      <c r="E415" s="625"/>
      <c r="F415" s="625"/>
      <c r="G415" s="625"/>
      <c r="H415" s="625"/>
      <c r="I415" s="625"/>
      <c r="J415" s="625"/>
      <c r="K415" s="625"/>
      <c r="L415" s="625"/>
      <c r="M415" s="625"/>
      <c r="N415" s="625"/>
      <c r="O415" s="625"/>
      <c r="P415" s="625"/>
      <c r="Q415" s="625"/>
      <c r="R415" s="625"/>
      <c r="S415" s="625"/>
      <c r="T415" s="625"/>
      <c r="U415" s="625"/>
      <c r="V415" s="625"/>
      <c r="W415" s="625"/>
      <c r="X415" s="625"/>
      <c r="Y415" s="625"/>
      <c r="Z415" s="625"/>
    </row>
    <row r="416">
      <c r="A416" s="625"/>
      <c r="B416" s="625"/>
      <c r="C416" s="625"/>
      <c r="D416" s="625"/>
      <c r="E416" s="625"/>
      <c r="F416" s="625"/>
      <c r="G416" s="625"/>
      <c r="H416" s="625"/>
      <c r="I416" s="625"/>
      <c r="J416" s="625"/>
      <c r="K416" s="625"/>
      <c r="L416" s="625"/>
      <c r="M416" s="625"/>
      <c r="N416" s="625"/>
      <c r="O416" s="625"/>
      <c r="P416" s="625"/>
      <c r="Q416" s="625"/>
      <c r="R416" s="625"/>
      <c r="S416" s="625"/>
      <c r="T416" s="625"/>
      <c r="U416" s="625"/>
      <c r="V416" s="625"/>
      <c r="W416" s="625"/>
      <c r="X416" s="625"/>
      <c r="Y416" s="625"/>
      <c r="Z416" s="625"/>
    </row>
    <row r="417">
      <c r="A417" s="625"/>
      <c r="B417" s="625"/>
      <c r="C417" s="625"/>
      <c r="D417" s="625"/>
      <c r="E417" s="625"/>
      <c r="F417" s="625"/>
      <c r="G417" s="625"/>
      <c r="H417" s="625"/>
      <c r="I417" s="625"/>
      <c r="J417" s="625"/>
      <c r="K417" s="625"/>
      <c r="L417" s="625"/>
      <c r="M417" s="625"/>
      <c r="N417" s="625"/>
      <c r="O417" s="625"/>
      <c r="P417" s="625"/>
      <c r="Q417" s="625"/>
      <c r="R417" s="625"/>
      <c r="S417" s="625"/>
      <c r="T417" s="625"/>
      <c r="U417" s="625"/>
      <c r="V417" s="625"/>
      <c r="W417" s="625"/>
      <c r="X417" s="625"/>
      <c r="Y417" s="625"/>
      <c r="Z417" s="625"/>
    </row>
    <row r="418">
      <c r="A418" s="625"/>
      <c r="B418" s="625"/>
      <c r="C418" s="625"/>
      <c r="D418" s="625"/>
      <c r="E418" s="625"/>
      <c r="F418" s="625"/>
      <c r="G418" s="625"/>
      <c r="H418" s="625"/>
      <c r="I418" s="625"/>
      <c r="J418" s="625"/>
      <c r="K418" s="625"/>
      <c r="L418" s="625"/>
      <c r="M418" s="625"/>
      <c r="N418" s="625"/>
      <c r="O418" s="625"/>
      <c r="P418" s="625"/>
      <c r="Q418" s="625"/>
      <c r="R418" s="625"/>
      <c r="S418" s="625"/>
      <c r="T418" s="625"/>
      <c r="U418" s="625"/>
      <c r="V418" s="625"/>
      <c r="W418" s="625"/>
      <c r="X418" s="625"/>
      <c r="Y418" s="625"/>
      <c r="Z418" s="625"/>
    </row>
    <row r="419">
      <c r="A419" s="625"/>
      <c r="B419" s="625"/>
      <c r="C419" s="625"/>
      <c r="D419" s="625"/>
      <c r="E419" s="625"/>
      <c r="F419" s="625"/>
      <c r="G419" s="625"/>
      <c r="H419" s="625"/>
      <c r="I419" s="625"/>
      <c r="J419" s="625"/>
      <c r="K419" s="625"/>
      <c r="L419" s="625"/>
      <c r="M419" s="625"/>
      <c r="N419" s="625"/>
      <c r="O419" s="625"/>
      <c r="P419" s="625"/>
      <c r="Q419" s="625"/>
      <c r="R419" s="625"/>
      <c r="S419" s="625"/>
      <c r="T419" s="625"/>
      <c r="U419" s="625"/>
      <c r="V419" s="625"/>
      <c r="W419" s="625"/>
      <c r="X419" s="625"/>
      <c r="Y419" s="625"/>
      <c r="Z419" s="625"/>
    </row>
    <row r="420">
      <c r="A420" s="625"/>
      <c r="B420" s="625"/>
      <c r="C420" s="625"/>
      <c r="D420" s="625"/>
      <c r="E420" s="625"/>
      <c r="F420" s="625"/>
      <c r="G420" s="625"/>
      <c r="H420" s="625"/>
      <c r="I420" s="625"/>
      <c r="J420" s="625"/>
      <c r="K420" s="625"/>
      <c r="L420" s="625"/>
      <c r="M420" s="625"/>
      <c r="N420" s="625"/>
      <c r="O420" s="625"/>
      <c r="P420" s="625"/>
      <c r="Q420" s="625"/>
      <c r="R420" s="625"/>
      <c r="S420" s="625"/>
      <c r="T420" s="625"/>
      <c r="U420" s="625"/>
      <c r="V420" s="625"/>
      <c r="W420" s="625"/>
      <c r="X420" s="625"/>
      <c r="Y420" s="625"/>
      <c r="Z420" s="625"/>
    </row>
    <row r="421">
      <c r="A421" s="625"/>
      <c r="B421" s="625"/>
      <c r="C421" s="625"/>
      <c r="D421" s="625"/>
      <c r="E421" s="625"/>
      <c r="F421" s="625"/>
      <c r="G421" s="625"/>
      <c r="H421" s="625"/>
      <c r="I421" s="625"/>
      <c r="J421" s="625"/>
      <c r="K421" s="625"/>
      <c r="L421" s="625"/>
      <c r="M421" s="625"/>
      <c r="N421" s="625"/>
      <c r="O421" s="625"/>
      <c r="P421" s="625"/>
      <c r="Q421" s="625"/>
      <c r="R421" s="625"/>
      <c r="S421" s="625"/>
      <c r="T421" s="625"/>
      <c r="U421" s="625"/>
      <c r="V421" s="625"/>
      <c r="W421" s="625"/>
      <c r="X421" s="625"/>
      <c r="Y421" s="625"/>
      <c r="Z421" s="625"/>
    </row>
    <row r="422">
      <c r="A422" s="625"/>
      <c r="B422" s="625"/>
      <c r="C422" s="625"/>
      <c r="D422" s="625"/>
      <c r="E422" s="625"/>
      <c r="F422" s="625"/>
      <c r="G422" s="625"/>
      <c r="H422" s="625"/>
      <c r="I422" s="625"/>
      <c r="J422" s="625"/>
      <c r="K422" s="625"/>
      <c r="L422" s="625"/>
      <c r="M422" s="625"/>
      <c r="N422" s="625"/>
      <c r="O422" s="625"/>
      <c r="P422" s="625"/>
      <c r="Q422" s="625"/>
      <c r="R422" s="625"/>
      <c r="S422" s="625"/>
      <c r="T422" s="625"/>
      <c r="U422" s="625"/>
      <c r="V422" s="625"/>
      <c r="W422" s="625"/>
      <c r="X422" s="625"/>
      <c r="Y422" s="625"/>
      <c r="Z422" s="625"/>
    </row>
    <row r="423">
      <c r="A423" s="625"/>
      <c r="B423" s="625"/>
      <c r="C423" s="625"/>
      <c r="D423" s="625"/>
      <c r="E423" s="625"/>
      <c r="F423" s="625"/>
      <c r="G423" s="625"/>
      <c r="H423" s="625"/>
      <c r="I423" s="625"/>
      <c r="J423" s="625"/>
      <c r="K423" s="625"/>
      <c r="L423" s="625"/>
      <c r="M423" s="625"/>
      <c r="N423" s="625"/>
      <c r="O423" s="625"/>
      <c r="P423" s="625"/>
      <c r="Q423" s="625"/>
      <c r="R423" s="625"/>
      <c r="S423" s="625"/>
      <c r="T423" s="625"/>
      <c r="U423" s="625"/>
      <c r="V423" s="625"/>
      <c r="W423" s="625"/>
      <c r="X423" s="625"/>
      <c r="Y423" s="625"/>
      <c r="Z423" s="625"/>
    </row>
    <row r="424">
      <c r="A424" s="625"/>
      <c r="B424" s="625"/>
      <c r="C424" s="625"/>
      <c r="D424" s="625"/>
      <c r="E424" s="625"/>
      <c r="F424" s="625"/>
      <c r="G424" s="625"/>
      <c r="H424" s="625"/>
      <c r="I424" s="625"/>
      <c r="J424" s="625"/>
      <c r="K424" s="625"/>
      <c r="L424" s="625"/>
      <c r="M424" s="625"/>
      <c r="N424" s="625"/>
      <c r="O424" s="625"/>
      <c r="P424" s="625"/>
      <c r="Q424" s="625"/>
      <c r="R424" s="625"/>
      <c r="S424" s="625"/>
      <c r="T424" s="625"/>
      <c r="U424" s="625"/>
      <c r="V424" s="625"/>
      <c r="W424" s="625"/>
      <c r="X424" s="625"/>
      <c r="Y424" s="625"/>
      <c r="Z424" s="625"/>
    </row>
    <row r="425">
      <c r="A425" s="625"/>
      <c r="B425" s="625"/>
      <c r="C425" s="625"/>
      <c r="D425" s="625"/>
      <c r="E425" s="625"/>
      <c r="F425" s="625"/>
      <c r="G425" s="625"/>
      <c r="H425" s="625"/>
      <c r="I425" s="625"/>
      <c r="J425" s="625"/>
      <c r="K425" s="625"/>
      <c r="L425" s="625"/>
      <c r="M425" s="625"/>
      <c r="N425" s="625"/>
      <c r="O425" s="625"/>
      <c r="P425" s="625"/>
      <c r="Q425" s="625"/>
      <c r="R425" s="625"/>
      <c r="S425" s="625"/>
      <c r="T425" s="625"/>
      <c r="U425" s="625"/>
      <c r="V425" s="625"/>
      <c r="W425" s="625"/>
      <c r="X425" s="625"/>
      <c r="Y425" s="625"/>
      <c r="Z425" s="625"/>
    </row>
    <row r="426">
      <c r="A426" s="625"/>
      <c r="B426" s="625"/>
      <c r="C426" s="625"/>
      <c r="D426" s="625"/>
      <c r="E426" s="625"/>
      <c r="F426" s="625"/>
      <c r="G426" s="625"/>
      <c r="H426" s="625"/>
      <c r="I426" s="625"/>
      <c r="J426" s="625"/>
      <c r="K426" s="625"/>
      <c r="L426" s="625"/>
      <c r="M426" s="625"/>
      <c r="N426" s="625"/>
      <c r="O426" s="625"/>
      <c r="P426" s="625"/>
      <c r="Q426" s="625"/>
      <c r="R426" s="625"/>
      <c r="S426" s="625"/>
      <c r="T426" s="625"/>
      <c r="U426" s="625"/>
      <c r="V426" s="625"/>
      <c r="W426" s="625"/>
      <c r="X426" s="625"/>
      <c r="Y426" s="625"/>
      <c r="Z426" s="625"/>
    </row>
    <row r="427">
      <c r="A427" s="625"/>
      <c r="B427" s="625"/>
      <c r="C427" s="625"/>
      <c r="D427" s="625"/>
      <c r="E427" s="625"/>
      <c r="F427" s="625"/>
      <c r="G427" s="625"/>
      <c r="H427" s="625"/>
      <c r="I427" s="625"/>
      <c r="J427" s="625"/>
      <c r="K427" s="625"/>
      <c r="L427" s="625"/>
      <c r="M427" s="625"/>
      <c r="N427" s="625"/>
      <c r="O427" s="625"/>
      <c r="P427" s="625"/>
      <c r="Q427" s="625"/>
      <c r="R427" s="625"/>
      <c r="S427" s="625"/>
      <c r="T427" s="625"/>
      <c r="U427" s="625"/>
      <c r="V427" s="625"/>
      <c r="W427" s="625"/>
      <c r="X427" s="625"/>
      <c r="Y427" s="625"/>
      <c r="Z427" s="625"/>
    </row>
    <row r="428">
      <c r="A428" s="625"/>
      <c r="B428" s="625"/>
      <c r="C428" s="625"/>
      <c r="D428" s="625"/>
      <c r="E428" s="625"/>
      <c r="F428" s="625"/>
      <c r="G428" s="625"/>
      <c r="H428" s="625"/>
      <c r="I428" s="625"/>
      <c r="J428" s="625"/>
      <c r="K428" s="625"/>
      <c r="L428" s="625"/>
      <c r="M428" s="625"/>
      <c r="N428" s="625"/>
      <c r="O428" s="625"/>
      <c r="P428" s="625"/>
      <c r="Q428" s="625"/>
      <c r="R428" s="625"/>
      <c r="S428" s="625"/>
      <c r="T428" s="625"/>
      <c r="U428" s="625"/>
      <c r="V428" s="625"/>
      <c r="W428" s="625"/>
      <c r="X428" s="625"/>
      <c r="Y428" s="625"/>
      <c r="Z428" s="625"/>
    </row>
    <row r="429">
      <c r="A429" s="625"/>
      <c r="B429" s="625"/>
      <c r="C429" s="625"/>
      <c r="D429" s="625"/>
      <c r="E429" s="625"/>
      <c r="F429" s="625"/>
      <c r="G429" s="625"/>
      <c r="H429" s="625"/>
      <c r="I429" s="625"/>
      <c r="J429" s="625"/>
      <c r="K429" s="625"/>
      <c r="L429" s="625"/>
      <c r="M429" s="625"/>
      <c r="N429" s="625"/>
      <c r="O429" s="625"/>
      <c r="P429" s="625"/>
      <c r="Q429" s="625"/>
      <c r="R429" s="625"/>
      <c r="S429" s="625"/>
      <c r="T429" s="625"/>
      <c r="U429" s="625"/>
      <c r="V429" s="625"/>
      <c r="W429" s="625"/>
      <c r="X429" s="625"/>
      <c r="Y429" s="625"/>
      <c r="Z429" s="625"/>
    </row>
    <row r="430">
      <c r="A430" s="625"/>
      <c r="B430" s="625"/>
      <c r="C430" s="625"/>
      <c r="D430" s="625"/>
      <c r="E430" s="625"/>
      <c r="F430" s="625"/>
      <c r="G430" s="625"/>
      <c r="H430" s="625"/>
      <c r="I430" s="625"/>
      <c r="J430" s="625"/>
      <c r="K430" s="625"/>
      <c r="L430" s="625"/>
      <c r="M430" s="625"/>
      <c r="N430" s="625"/>
      <c r="O430" s="625"/>
      <c r="P430" s="625"/>
      <c r="Q430" s="625"/>
      <c r="R430" s="625"/>
      <c r="S430" s="625"/>
      <c r="T430" s="625"/>
      <c r="U430" s="625"/>
      <c r="V430" s="625"/>
      <c r="W430" s="625"/>
      <c r="X430" s="625"/>
      <c r="Y430" s="625"/>
      <c r="Z430" s="625"/>
    </row>
    <row r="431">
      <c r="A431" s="625"/>
      <c r="B431" s="625"/>
      <c r="C431" s="625"/>
      <c r="D431" s="625"/>
      <c r="E431" s="625"/>
      <c r="F431" s="625"/>
      <c r="G431" s="625"/>
      <c r="H431" s="625"/>
      <c r="I431" s="625"/>
      <c r="J431" s="625"/>
      <c r="K431" s="625"/>
      <c r="L431" s="625"/>
      <c r="M431" s="625"/>
      <c r="N431" s="625"/>
      <c r="O431" s="625"/>
      <c r="P431" s="625"/>
      <c r="Q431" s="625"/>
      <c r="R431" s="625"/>
      <c r="S431" s="625"/>
      <c r="T431" s="625"/>
      <c r="U431" s="625"/>
      <c r="V431" s="625"/>
      <c r="W431" s="625"/>
      <c r="X431" s="625"/>
      <c r="Y431" s="625"/>
      <c r="Z431" s="625"/>
    </row>
    <row r="432">
      <c r="A432" s="625"/>
      <c r="B432" s="625"/>
      <c r="C432" s="625"/>
      <c r="D432" s="625"/>
      <c r="E432" s="625"/>
      <c r="F432" s="625"/>
      <c r="G432" s="625"/>
      <c r="H432" s="625"/>
      <c r="I432" s="625"/>
      <c r="J432" s="625"/>
      <c r="K432" s="625"/>
      <c r="L432" s="625"/>
      <c r="M432" s="625"/>
      <c r="N432" s="625"/>
      <c r="O432" s="625"/>
      <c r="P432" s="625"/>
      <c r="Q432" s="625"/>
      <c r="R432" s="625"/>
      <c r="S432" s="625"/>
      <c r="T432" s="625"/>
      <c r="U432" s="625"/>
      <c r="V432" s="625"/>
      <c r="W432" s="625"/>
      <c r="X432" s="625"/>
      <c r="Y432" s="625"/>
      <c r="Z432" s="625"/>
    </row>
    <row r="433">
      <c r="A433" s="625"/>
      <c r="B433" s="625"/>
      <c r="C433" s="625"/>
      <c r="D433" s="625"/>
      <c r="E433" s="625"/>
      <c r="F433" s="625"/>
      <c r="G433" s="625"/>
      <c r="H433" s="625"/>
      <c r="I433" s="625"/>
      <c r="J433" s="625"/>
      <c r="K433" s="625"/>
      <c r="L433" s="625"/>
      <c r="M433" s="625"/>
      <c r="N433" s="625"/>
      <c r="O433" s="625"/>
      <c r="P433" s="625"/>
      <c r="Q433" s="625"/>
      <c r="R433" s="625"/>
      <c r="S433" s="625"/>
      <c r="T433" s="625"/>
      <c r="U433" s="625"/>
      <c r="V433" s="625"/>
      <c r="W433" s="625"/>
      <c r="X433" s="625"/>
      <c r="Y433" s="625"/>
      <c r="Z433" s="625"/>
    </row>
    <row r="434">
      <c r="A434" s="625"/>
      <c r="B434" s="625"/>
      <c r="C434" s="625"/>
      <c r="D434" s="625"/>
      <c r="E434" s="625"/>
      <c r="F434" s="625"/>
      <c r="G434" s="625"/>
      <c r="H434" s="625"/>
      <c r="I434" s="625"/>
      <c r="J434" s="625"/>
      <c r="K434" s="625"/>
      <c r="L434" s="625"/>
      <c r="M434" s="625"/>
      <c r="N434" s="625"/>
      <c r="O434" s="625"/>
      <c r="P434" s="625"/>
      <c r="Q434" s="625"/>
      <c r="R434" s="625"/>
      <c r="S434" s="625"/>
      <c r="T434" s="625"/>
      <c r="U434" s="625"/>
      <c r="V434" s="625"/>
      <c r="W434" s="625"/>
      <c r="X434" s="625"/>
      <c r="Y434" s="625"/>
      <c r="Z434" s="625"/>
    </row>
    <row r="435">
      <c r="A435" s="625"/>
      <c r="B435" s="625"/>
      <c r="C435" s="625"/>
      <c r="D435" s="625"/>
      <c r="E435" s="625"/>
      <c r="F435" s="625"/>
      <c r="G435" s="625"/>
      <c r="H435" s="625"/>
      <c r="I435" s="625"/>
      <c r="J435" s="625"/>
      <c r="K435" s="625"/>
      <c r="L435" s="625"/>
      <c r="M435" s="625"/>
      <c r="N435" s="625"/>
      <c r="O435" s="625"/>
      <c r="P435" s="625"/>
      <c r="Q435" s="625"/>
      <c r="R435" s="625"/>
      <c r="S435" s="625"/>
      <c r="T435" s="625"/>
      <c r="U435" s="625"/>
      <c r="V435" s="625"/>
      <c r="W435" s="625"/>
      <c r="X435" s="625"/>
      <c r="Y435" s="625"/>
      <c r="Z435" s="625"/>
    </row>
    <row r="436">
      <c r="A436" s="625"/>
      <c r="B436" s="625"/>
      <c r="C436" s="625"/>
      <c r="D436" s="625"/>
      <c r="E436" s="625"/>
      <c r="F436" s="625"/>
      <c r="G436" s="625"/>
      <c r="H436" s="625"/>
      <c r="I436" s="625"/>
      <c r="J436" s="625"/>
      <c r="K436" s="625"/>
      <c r="L436" s="625"/>
      <c r="M436" s="625"/>
      <c r="N436" s="625"/>
      <c r="O436" s="625"/>
      <c r="P436" s="625"/>
      <c r="Q436" s="625"/>
      <c r="R436" s="625"/>
      <c r="S436" s="625"/>
      <c r="T436" s="625"/>
      <c r="U436" s="625"/>
      <c r="V436" s="625"/>
      <c r="W436" s="625"/>
      <c r="X436" s="625"/>
      <c r="Y436" s="625"/>
      <c r="Z436" s="625"/>
    </row>
    <row r="437">
      <c r="A437" s="625"/>
      <c r="B437" s="625"/>
      <c r="C437" s="625"/>
      <c r="D437" s="625"/>
      <c r="E437" s="625"/>
      <c r="F437" s="625"/>
      <c r="G437" s="625"/>
      <c r="H437" s="625"/>
      <c r="I437" s="625"/>
      <c r="J437" s="625"/>
      <c r="K437" s="625"/>
      <c r="L437" s="625"/>
      <c r="M437" s="625"/>
      <c r="N437" s="625"/>
      <c r="O437" s="625"/>
      <c r="P437" s="625"/>
      <c r="Q437" s="625"/>
      <c r="R437" s="625"/>
      <c r="S437" s="625"/>
      <c r="T437" s="625"/>
      <c r="U437" s="625"/>
      <c r="V437" s="625"/>
      <c r="W437" s="625"/>
      <c r="X437" s="625"/>
      <c r="Y437" s="625"/>
      <c r="Z437" s="625"/>
    </row>
    <row r="438">
      <c r="A438" s="625"/>
      <c r="B438" s="625"/>
      <c r="C438" s="625"/>
      <c r="D438" s="625"/>
      <c r="E438" s="625"/>
      <c r="F438" s="625"/>
      <c r="G438" s="625"/>
      <c r="H438" s="625"/>
      <c r="I438" s="625"/>
      <c r="J438" s="625"/>
      <c r="K438" s="625"/>
      <c r="L438" s="625"/>
      <c r="M438" s="625"/>
      <c r="N438" s="625"/>
      <c r="O438" s="625"/>
      <c r="P438" s="625"/>
      <c r="Q438" s="625"/>
      <c r="R438" s="625"/>
      <c r="S438" s="625"/>
      <c r="T438" s="625"/>
      <c r="U438" s="625"/>
      <c r="V438" s="625"/>
      <c r="W438" s="625"/>
      <c r="X438" s="625"/>
      <c r="Y438" s="625"/>
      <c r="Z438" s="625"/>
    </row>
    <row r="439">
      <c r="A439" s="625"/>
      <c r="B439" s="625"/>
      <c r="C439" s="625"/>
      <c r="D439" s="625"/>
      <c r="E439" s="625"/>
      <c r="F439" s="625"/>
      <c r="G439" s="625"/>
      <c r="H439" s="625"/>
      <c r="I439" s="625"/>
      <c r="J439" s="625"/>
      <c r="K439" s="625"/>
      <c r="L439" s="625"/>
      <c r="M439" s="625"/>
      <c r="N439" s="625"/>
      <c r="O439" s="625"/>
      <c r="P439" s="625"/>
      <c r="Q439" s="625"/>
      <c r="R439" s="625"/>
      <c r="S439" s="625"/>
      <c r="T439" s="625"/>
      <c r="U439" s="625"/>
      <c r="V439" s="625"/>
      <c r="W439" s="625"/>
      <c r="X439" s="625"/>
      <c r="Y439" s="625"/>
      <c r="Z439" s="625"/>
    </row>
    <row r="440">
      <c r="A440" s="625"/>
      <c r="B440" s="625"/>
      <c r="C440" s="625"/>
      <c r="D440" s="625"/>
      <c r="E440" s="625"/>
      <c r="F440" s="625"/>
      <c r="G440" s="625"/>
      <c r="H440" s="625"/>
      <c r="I440" s="625"/>
      <c r="J440" s="625"/>
      <c r="K440" s="625"/>
      <c r="L440" s="625"/>
      <c r="M440" s="625"/>
      <c r="N440" s="625"/>
      <c r="O440" s="625"/>
      <c r="P440" s="625"/>
      <c r="Q440" s="625"/>
      <c r="R440" s="625"/>
      <c r="S440" s="625"/>
      <c r="T440" s="625"/>
      <c r="U440" s="625"/>
      <c r="V440" s="625"/>
      <c r="W440" s="625"/>
      <c r="X440" s="625"/>
      <c r="Y440" s="625"/>
      <c r="Z440" s="625"/>
    </row>
    <row r="441">
      <c r="A441" s="625"/>
      <c r="B441" s="625"/>
      <c r="C441" s="625"/>
      <c r="D441" s="625"/>
      <c r="E441" s="625"/>
      <c r="F441" s="625"/>
      <c r="G441" s="625"/>
      <c r="H441" s="625"/>
      <c r="I441" s="625"/>
      <c r="J441" s="625"/>
      <c r="K441" s="625"/>
      <c r="L441" s="625"/>
      <c r="M441" s="625"/>
      <c r="N441" s="625"/>
      <c r="O441" s="625"/>
      <c r="P441" s="625"/>
      <c r="Q441" s="625"/>
      <c r="R441" s="625"/>
      <c r="S441" s="625"/>
      <c r="T441" s="625"/>
      <c r="U441" s="625"/>
      <c r="V441" s="625"/>
      <c r="W441" s="625"/>
      <c r="X441" s="625"/>
      <c r="Y441" s="625"/>
      <c r="Z441" s="625"/>
    </row>
    <row r="442">
      <c r="A442" s="625"/>
      <c r="B442" s="625"/>
      <c r="C442" s="625"/>
      <c r="D442" s="625"/>
      <c r="E442" s="625"/>
      <c r="F442" s="625"/>
      <c r="G442" s="625"/>
      <c r="H442" s="625"/>
      <c r="I442" s="625"/>
      <c r="J442" s="625"/>
      <c r="K442" s="625"/>
      <c r="L442" s="625"/>
      <c r="M442" s="625"/>
      <c r="N442" s="625"/>
      <c r="O442" s="625"/>
      <c r="P442" s="625"/>
      <c r="Q442" s="625"/>
      <c r="R442" s="625"/>
      <c r="S442" s="625"/>
      <c r="T442" s="625"/>
      <c r="U442" s="625"/>
      <c r="V442" s="625"/>
      <c r="W442" s="625"/>
      <c r="X442" s="625"/>
      <c r="Y442" s="625"/>
      <c r="Z442" s="625"/>
    </row>
    <row r="443">
      <c r="A443" s="625"/>
      <c r="B443" s="625"/>
      <c r="C443" s="625"/>
      <c r="D443" s="625"/>
      <c r="E443" s="625"/>
      <c r="F443" s="625"/>
      <c r="G443" s="625"/>
      <c r="H443" s="625"/>
      <c r="I443" s="625"/>
      <c r="J443" s="625"/>
      <c r="K443" s="625"/>
      <c r="L443" s="625"/>
      <c r="M443" s="625"/>
      <c r="N443" s="625"/>
      <c r="O443" s="625"/>
      <c r="P443" s="625"/>
      <c r="Q443" s="625"/>
      <c r="R443" s="625"/>
      <c r="S443" s="625"/>
      <c r="T443" s="625"/>
      <c r="U443" s="625"/>
      <c r="V443" s="625"/>
      <c r="W443" s="625"/>
      <c r="X443" s="625"/>
      <c r="Y443" s="625"/>
      <c r="Z443" s="625"/>
    </row>
    <row r="444">
      <c r="A444" s="625"/>
      <c r="B444" s="625"/>
      <c r="C444" s="625"/>
      <c r="D444" s="625"/>
      <c r="E444" s="625"/>
      <c r="F444" s="625"/>
      <c r="G444" s="625"/>
      <c r="H444" s="625"/>
      <c r="I444" s="625"/>
      <c r="J444" s="625"/>
      <c r="K444" s="625"/>
      <c r="L444" s="625"/>
      <c r="M444" s="625"/>
      <c r="N444" s="625"/>
      <c r="O444" s="625"/>
      <c r="P444" s="625"/>
      <c r="Q444" s="625"/>
      <c r="R444" s="625"/>
      <c r="S444" s="625"/>
      <c r="T444" s="625"/>
      <c r="U444" s="625"/>
      <c r="V444" s="625"/>
      <c r="W444" s="625"/>
      <c r="X444" s="625"/>
      <c r="Y444" s="625"/>
      <c r="Z444" s="625"/>
    </row>
    <row r="445">
      <c r="A445" s="625"/>
      <c r="B445" s="625"/>
      <c r="C445" s="625"/>
      <c r="D445" s="625"/>
      <c r="E445" s="625"/>
      <c r="F445" s="625"/>
      <c r="G445" s="625"/>
      <c r="H445" s="625"/>
      <c r="I445" s="625"/>
      <c r="J445" s="625"/>
      <c r="K445" s="625"/>
      <c r="L445" s="625"/>
      <c r="M445" s="625"/>
      <c r="N445" s="625"/>
      <c r="O445" s="625"/>
      <c r="P445" s="625"/>
      <c r="Q445" s="625"/>
      <c r="R445" s="625"/>
      <c r="S445" s="625"/>
      <c r="T445" s="625"/>
      <c r="U445" s="625"/>
      <c r="V445" s="625"/>
      <c r="W445" s="625"/>
      <c r="X445" s="625"/>
      <c r="Y445" s="625"/>
      <c r="Z445" s="625"/>
    </row>
    <row r="446">
      <c r="A446" s="625"/>
      <c r="B446" s="625"/>
      <c r="C446" s="625"/>
      <c r="D446" s="625"/>
      <c r="E446" s="625"/>
      <c r="F446" s="625"/>
      <c r="G446" s="625"/>
      <c r="H446" s="625"/>
      <c r="I446" s="625"/>
      <c r="J446" s="625"/>
      <c r="K446" s="625"/>
      <c r="L446" s="625"/>
      <c r="M446" s="625"/>
      <c r="N446" s="625"/>
      <c r="O446" s="625"/>
      <c r="P446" s="625"/>
      <c r="Q446" s="625"/>
      <c r="R446" s="625"/>
      <c r="S446" s="625"/>
      <c r="T446" s="625"/>
      <c r="U446" s="625"/>
      <c r="V446" s="625"/>
      <c r="W446" s="625"/>
      <c r="X446" s="625"/>
      <c r="Y446" s="625"/>
      <c r="Z446" s="625"/>
    </row>
    <row r="447">
      <c r="A447" s="625"/>
      <c r="B447" s="625"/>
      <c r="C447" s="625"/>
      <c r="D447" s="625"/>
      <c r="E447" s="625"/>
      <c r="F447" s="625"/>
      <c r="G447" s="625"/>
      <c r="H447" s="625"/>
      <c r="I447" s="625"/>
      <c r="J447" s="625"/>
      <c r="K447" s="625"/>
      <c r="L447" s="625"/>
      <c r="M447" s="625"/>
      <c r="N447" s="625"/>
      <c r="O447" s="625"/>
      <c r="P447" s="625"/>
      <c r="Q447" s="625"/>
      <c r="R447" s="625"/>
      <c r="S447" s="625"/>
      <c r="T447" s="625"/>
      <c r="U447" s="625"/>
      <c r="V447" s="625"/>
      <c r="W447" s="625"/>
      <c r="X447" s="625"/>
      <c r="Y447" s="625"/>
      <c r="Z447" s="625"/>
    </row>
    <row r="448">
      <c r="A448" s="625"/>
      <c r="B448" s="625"/>
      <c r="C448" s="625"/>
      <c r="D448" s="625"/>
      <c r="E448" s="625"/>
      <c r="F448" s="625"/>
      <c r="G448" s="625"/>
      <c r="H448" s="625"/>
      <c r="I448" s="625"/>
      <c r="J448" s="625"/>
      <c r="K448" s="625"/>
      <c r="L448" s="625"/>
      <c r="M448" s="625"/>
      <c r="N448" s="625"/>
      <c r="O448" s="625"/>
      <c r="P448" s="625"/>
      <c r="Q448" s="625"/>
      <c r="R448" s="625"/>
      <c r="S448" s="625"/>
      <c r="T448" s="625"/>
      <c r="U448" s="625"/>
      <c r="V448" s="625"/>
      <c r="W448" s="625"/>
      <c r="X448" s="625"/>
      <c r="Y448" s="625"/>
      <c r="Z448" s="625"/>
    </row>
    <row r="449">
      <c r="A449" s="625"/>
      <c r="B449" s="625"/>
      <c r="C449" s="625"/>
      <c r="D449" s="625"/>
      <c r="E449" s="625"/>
      <c r="F449" s="625"/>
      <c r="G449" s="625"/>
      <c r="H449" s="625"/>
      <c r="I449" s="625"/>
      <c r="J449" s="625"/>
      <c r="K449" s="625"/>
      <c r="L449" s="625"/>
      <c r="M449" s="625"/>
      <c r="N449" s="625"/>
      <c r="O449" s="625"/>
      <c r="P449" s="625"/>
      <c r="Q449" s="625"/>
      <c r="R449" s="625"/>
      <c r="S449" s="625"/>
      <c r="T449" s="625"/>
      <c r="U449" s="625"/>
      <c r="V449" s="625"/>
      <c r="W449" s="625"/>
      <c r="X449" s="625"/>
      <c r="Y449" s="625"/>
      <c r="Z449" s="625"/>
    </row>
    <row r="450">
      <c r="A450" s="625"/>
      <c r="B450" s="625"/>
      <c r="C450" s="625"/>
      <c r="D450" s="625"/>
      <c r="E450" s="625"/>
      <c r="F450" s="625"/>
      <c r="G450" s="625"/>
      <c r="H450" s="625"/>
      <c r="I450" s="625"/>
      <c r="J450" s="625"/>
      <c r="K450" s="625"/>
      <c r="L450" s="625"/>
      <c r="M450" s="625"/>
      <c r="N450" s="625"/>
      <c r="O450" s="625"/>
      <c r="P450" s="625"/>
      <c r="Q450" s="625"/>
      <c r="R450" s="625"/>
      <c r="S450" s="625"/>
      <c r="T450" s="625"/>
      <c r="U450" s="625"/>
      <c r="V450" s="625"/>
      <c r="W450" s="625"/>
      <c r="X450" s="625"/>
      <c r="Y450" s="625"/>
      <c r="Z450" s="625"/>
    </row>
    <row r="451">
      <c r="A451" s="625"/>
      <c r="B451" s="625"/>
      <c r="C451" s="625"/>
      <c r="D451" s="625"/>
      <c r="E451" s="625"/>
      <c r="F451" s="625"/>
      <c r="G451" s="625"/>
      <c r="H451" s="625"/>
      <c r="I451" s="625"/>
      <c r="J451" s="625"/>
      <c r="K451" s="625"/>
      <c r="L451" s="625"/>
      <c r="M451" s="625"/>
      <c r="N451" s="625"/>
      <c r="O451" s="625"/>
      <c r="P451" s="625"/>
      <c r="Q451" s="625"/>
      <c r="R451" s="625"/>
      <c r="S451" s="625"/>
      <c r="T451" s="625"/>
      <c r="U451" s="625"/>
      <c r="V451" s="625"/>
      <c r="W451" s="625"/>
      <c r="X451" s="625"/>
      <c r="Y451" s="625"/>
      <c r="Z451" s="625"/>
    </row>
    <row r="452">
      <c r="A452" s="625"/>
      <c r="B452" s="625"/>
      <c r="C452" s="625"/>
      <c r="D452" s="625"/>
      <c r="E452" s="625"/>
      <c r="F452" s="625"/>
      <c r="G452" s="625"/>
      <c r="H452" s="625"/>
      <c r="I452" s="625"/>
      <c r="J452" s="625"/>
      <c r="K452" s="625"/>
      <c r="L452" s="625"/>
      <c r="M452" s="625"/>
      <c r="N452" s="625"/>
      <c r="O452" s="625"/>
      <c r="P452" s="625"/>
      <c r="Q452" s="625"/>
      <c r="R452" s="625"/>
      <c r="S452" s="625"/>
      <c r="T452" s="625"/>
      <c r="U452" s="625"/>
      <c r="V452" s="625"/>
      <c r="W452" s="625"/>
      <c r="X452" s="625"/>
      <c r="Y452" s="625"/>
      <c r="Z452" s="625"/>
    </row>
    <row r="453">
      <c r="A453" s="625"/>
      <c r="B453" s="625"/>
      <c r="C453" s="625"/>
      <c r="D453" s="625"/>
      <c r="E453" s="625"/>
      <c r="F453" s="625"/>
      <c r="G453" s="625"/>
      <c r="H453" s="625"/>
      <c r="I453" s="625"/>
      <c r="J453" s="625"/>
      <c r="K453" s="625"/>
      <c r="L453" s="625"/>
      <c r="M453" s="625"/>
      <c r="N453" s="625"/>
      <c r="O453" s="625"/>
      <c r="P453" s="625"/>
      <c r="Q453" s="625"/>
      <c r="R453" s="625"/>
      <c r="S453" s="625"/>
      <c r="T453" s="625"/>
      <c r="U453" s="625"/>
      <c r="V453" s="625"/>
      <c r="W453" s="625"/>
      <c r="X453" s="625"/>
      <c r="Y453" s="625"/>
      <c r="Z453" s="625"/>
    </row>
    <row r="454">
      <c r="A454" s="625"/>
      <c r="B454" s="625"/>
      <c r="C454" s="625"/>
      <c r="D454" s="625"/>
      <c r="E454" s="625"/>
      <c r="F454" s="625"/>
      <c r="G454" s="625"/>
      <c r="H454" s="625"/>
      <c r="I454" s="625"/>
      <c r="J454" s="625"/>
      <c r="K454" s="625"/>
      <c r="L454" s="625"/>
      <c r="M454" s="625"/>
      <c r="N454" s="625"/>
      <c r="O454" s="625"/>
      <c r="P454" s="625"/>
      <c r="Q454" s="625"/>
      <c r="R454" s="625"/>
      <c r="S454" s="625"/>
      <c r="T454" s="625"/>
      <c r="U454" s="625"/>
      <c r="V454" s="625"/>
      <c r="W454" s="625"/>
      <c r="X454" s="625"/>
      <c r="Y454" s="625"/>
      <c r="Z454" s="625"/>
    </row>
    <row r="455">
      <c r="A455" s="625"/>
      <c r="B455" s="625"/>
      <c r="C455" s="625"/>
      <c r="D455" s="625"/>
      <c r="E455" s="625"/>
      <c r="F455" s="625"/>
      <c r="G455" s="625"/>
      <c r="H455" s="625"/>
      <c r="I455" s="625"/>
      <c r="J455" s="625"/>
      <c r="K455" s="625"/>
      <c r="L455" s="625"/>
      <c r="M455" s="625"/>
      <c r="N455" s="625"/>
      <c r="O455" s="625"/>
      <c r="P455" s="625"/>
      <c r="Q455" s="625"/>
      <c r="R455" s="625"/>
      <c r="S455" s="625"/>
      <c r="T455" s="625"/>
      <c r="U455" s="625"/>
      <c r="V455" s="625"/>
      <c r="W455" s="625"/>
      <c r="X455" s="625"/>
      <c r="Y455" s="625"/>
      <c r="Z455" s="625"/>
    </row>
    <row r="456">
      <c r="A456" s="625"/>
      <c r="B456" s="625"/>
      <c r="C456" s="625"/>
      <c r="D456" s="625"/>
      <c r="E456" s="625"/>
      <c r="F456" s="625"/>
      <c r="G456" s="625"/>
      <c r="H456" s="625"/>
      <c r="I456" s="625"/>
      <c r="J456" s="625"/>
      <c r="K456" s="625"/>
      <c r="L456" s="625"/>
      <c r="M456" s="625"/>
      <c r="N456" s="625"/>
      <c r="O456" s="625"/>
      <c r="P456" s="625"/>
      <c r="Q456" s="625"/>
      <c r="R456" s="625"/>
      <c r="S456" s="625"/>
      <c r="T456" s="625"/>
      <c r="U456" s="625"/>
      <c r="V456" s="625"/>
      <c r="W456" s="625"/>
      <c r="X456" s="625"/>
      <c r="Y456" s="625"/>
      <c r="Z456" s="625"/>
    </row>
    <row r="457">
      <c r="A457" s="625"/>
      <c r="B457" s="625"/>
      <c r="C457" s="625"/>
      <c r="D457" s="625"/>
      <c r="E457" s="625"/>
      <c r="F457" s="625"/>
      <c r="G457" s="625"/>
      <c r="H457" s="625"/>
      <c r="I457" s="625"/>
      <c r="J457" s="625"/>
      <c r="K457" s="625"/>
      <c r="L457" s="625"/>
      <c r="M457" s="625"/>
      <c r="N457" s="625"/>
      <c r="O457" s="625"/>
      <c r="P457" s="625"/>
      <c r="Q457" s="625"/>
      <c r="R457" s="625"/>
      <c r="S457" s="625"/>
      <c r="T457" s="625"/>
      <c r="U457" s="625"/>
      <c r="V457" s="625"/>
      <c r="W457" s="625"/>
      <c r="X457" s="625"/>
      <c r="Y457" s="625"/>
      <c r="Z457" s="625"/>
    </row>
    <row r="458">
      <c r="A458" s="625"/>
      <c r="B458" s="625"/>
      <c r="C458" s="625"/>
      <c r="D458" s="625"/>
      <c r="E458" s="625"/>
      <c r="F458" s="625"/>
      <c r="G458" s="625"/>
      <c r="H458" s="625"/>
      <c r="I458" s="625"/>
      <c r="J458" s="625"/>
      <c r="K458" s="625"/>
      <c r="L458" s="625"/>
      <c r="M458" s="625"/>
      <c r="N458" s="625"/>
      <c r="O458" s="625"/>
      <c r="P458" s="625"/>
      <c r="Q458" s="625"/>
      <c r="R458" s="625"/>
      <c r="S458" s="625"/>
      <c r="T458" s="625"/>
      <c r="U458" s="625"/>
      <c r="V458" s="625"/>
      <c r="W458" s="625"/>
      <c r="X458" s="625"/>
      <c r="Y458" s="625"/>
      <c r="Z458" s="625"/>
    </row>
    <row r="459">
      <c r="A459" s="625"/>
      <c r="B459" s="625"/>
      <c r="C459" s="625"/>
      <c r="D459" s="625"/>
      <c r="E459" s="625"/>
      <c r="F459" s="625"/>
      <c r="G459" s="625"/>
      <c r="H459" s="625"/>
      <c r="I459" s="625"/>
      <c r="J459" s="625"/>
      <c r="K459" s="625"/>
      <c r="L459" s="625"/>
      <c r="M459" s="625"/>
      <c r="N459" s="625"/>
      <c r="O459" s="625"/>
      <c r="P459" s="625"/>
      <c r="Q459" s="625"/>
      <c r="R459" s="625"/>
      <c r="S459" s="625"/>
      <c r="T459" s="625"/>
      <c r="U459" s="625"/>
      <c r="V459" s="625"/>
      <c r="W459" s="625"/>
      <c r="X459" s="625"/>
      <c r="Y459" s="625"/>
      <c r="Z459" s="625"/>
    </row>
    <row r="460">
      <c r="A460" s="625"/>
      <c r="B460" s="625"/>
      <c r="C460" s="625"/>
      <c r="D460" s="625"/>
      <c r="E460" s="625"/>
      <c r="F460" s="625"/>
      <c r="G460" s="625"/>
      <c r="H460" s="625"/>
      <c r="I460" s="625"/>
      <c r="J460" s="625"/>
      <c r="K460" s="625"/>
      <c r="L460" s="625"/>
      <c r="M460" s="625"/>
      <c r="N460" s="625"/>
      <c r="O460" s="625"/>
      <c r="P460" s="625"/>
      <c r="Q460" s="625"/>
      <c r="R460" s="625"/>
      <c r="S460" s="625"/>
      <c r="T460" s="625"/>
      <c r="U460" s="625"/>
      <c r="V460" s="625"/>
      <c r="W460" s="625"/>
      <c r="X460" s="625"/>
      <c r="Y460" s="625"/>
      <c r="Z460" s="625"/>
    </row>
    <row r="461">
      <c r="A461" s="625"/>
      <c r="B461" s="625"/>
      <c r="C461" s="625"/>
      <c r="D461" s="625"/>
      <c r="E461" s="625"/>
      <c r="F461" s="625"/>
      <c r="G461" s="625"/>
      <c r="H461" s="625"/>
      <c r="I461" s="625"/>
      <c r="J461" s="625"/>
      <c r="K461" s="625"/>
      <c r="L461" s="625"/>
      <c r="M461" s="625"/>
      <c r="N461" s="625"/>
      <c r="O461" s="625"/>
      <c r="P461" s="625"/>
      <c r="Q461" s="625"/>
      <c r="R461" s="625"/>
      <c r="S461" s="625"/>
      <c r="T461" s="625"/>
      <c r="U461" s="625"/>
      <c r="V461" s="625"/>
      <c r="W461" s="625"/>
      <c r="X461" s="625"/>
      <c r="Y461" s="625"/>
      <c r="Z461" s="625"/>
    </row>
    <row r="462">
      <c r="A462" s="625"/>
      <c r="B462" s="625"/>
      <c r="C462" s="625"/>
      <c r="D462" s="625"/>
      <c r="E462" s="625"/>
      <c r="F462" s="625"/>
      <c r="G462" s="625"/>
      <c r="H462" s="625"/>
      <c r="I462" s="625"/>
      <c r="J462" s="625"/>
      <c r="K462" s="625"/>
      <c r="L462" s="625"/>
      <c r="M462" s="625"/>
      <c r="N462" s="625"/>
      <c r="O462" s="625"/>
      <c r="P462" s="625"/>
      <c r="Q462" s="625"/>
      <c r="R462" s="625"/>
      <c r="S462" s="625"/>
      <c r="T462" s="625"/>
      <c r="U462" s="625"/>
      <c r="V462" s="625"/>
      <c r="W462" s="625"/>
      <c r="X462" s="625"/>
      <c r="Y462" s="625"/>
      <c r="Z462" s="625"/>
    </row>
    <row r="463">
      <c r="A463" s="625"/>
      <c r="B463" s="625"/>
      <c r="C463" s="625"/>
      <c r="D463" s="625"/>
      <c r="E463" s="625"/>
      <c r="F463" s="625"/>
      <c r="G463" s="625"/>
      <c r="H463" s="625"/>
      <c r="I463" s="625"/>
      <c r="J463" s="625"/>
      <c r="K463" s="625"/>
      <c r="L463" s="625"/>
      <c r="M463" s="625"/>
      <c r="N463" s="625"/>
      <c r="O463" s="625"/>
      <c r="P463" s="625"/>
      <c r="Q463" s="625"/>
      <c r="R463" s="625"/>
      <c r="S463" s="625"/>
      <c r="T463" s="625"/>
      <c r="U463" s="625"/>
      <c r="V463" s="625"/>
      <c r="W463" s="625"/>
      <c r="X463" s="625"/>
      <c r="Y463" s="625"/>
      <c r="Z463" s="625"/>
    </row>
    <row r="464">
      <c r="A464" s="625"/>
      <c r="B464" s="625"/>
      <c r="C464" s="625"/>
      <c r="D464" s="625"/>
      <c r="E464" s="625"/>
      <c r="F464" s="625"/>
      <c r="G464" s="625"/>
      <c r="H464" s="625"/>
      <c r="I464" s="625"/>
      <c r="J464" s="625"/>
      <c r="K464" s="625"/>
      <c r="L464" s="625"/>
      <c r="M464" s="625"/>
      <c r="N464" s="625"/>
      <c r="O464" s="625"/>
      <c r="P464" s="625"/>
      <c r="Q464" s="625"/>
      <c r="R464" s="625"/>
      <c r="S464" s="625"/>
      <c r="T464" s="625"/>
      <c r="U464" s="625"/>
      <c r="V464" s="625"/>
      <c r="W464" s="625"/>
      <c r="X464" s="625"/>
      <c r="Y464" s="625"/>
      <c r="Z464" s="625"/>
    </row>
    <row r="465">
      <c r="A465" s="625"/>
      <c r="B465" s="625"/>
      <c r="C465" s="625"/>
      <c r="D465" s="625"/>
      <c r="E465" s="625"/>
      <c r="F465" s="625"/>
      <c r="G465" s="625"/>
      <c r="H465" s="625"/>
      <c r="I465" s="625"/>
      <c r="J465" s="625"/>
      <c r="K465" s="625"/>
      <c r="L465" s="625"/>
      <c r="M465" s="625"/>
      <c r="N465" s="625"/>
      <c r="O465" s="625"/>
      <c r="P465" s="625"/>
      <c r="Q465" s="625"/>
      <c r="R465" s="625"/>
      <c r="S465" s="625"/>
      <c r="T465" s="625"/>
      <c r="U465" s="625"/>
      <c r="V465" s="625"/>
      <c r="W465" s="625"/>
      <c r="X465" s="625"/>
      <c r="Y465" s="625"/>
      <c r="Z465" s="625"/>
    </row>
    <row r="466">
      <c r="A466" s="625"/>
      <c r="B466" s="625"/>
      <c r="C466" s="625"/>
      <c r="D466" s="625"/>
      <c r="E466" s="625"/>
      <c r="F466" s="625"/>
      <c r="G466" s="625"/>
      <c r="H466" s="625"/>
      <c r="I466" s="625"/>
      <c r="J466" s="625"/>
      <c r="K466" s="625"/>
      <c r="L466" s="625"/>
      <c r="M466" s="625"/>
      <c r="N466" s="625"/>
      <c r="O466" s="625"/>
      <c r="P466" s="625"/>
      <c r="Q466" s="625"/>
      <c r="R466" s="625"/>
      <c r="S466" s="625"/>
      <c r="T466" s="625"/>
      <c r="U466" s="625"/>
      <c r="V466" s="625"/>
      <c r="W466" s="625"/>
      <c r="X466" s="625"/>
      <c r="Y466" s="625"/>
      <c r="Z466" s="625"/>
    </row>
    <row r="467">
      <c r="A467" s="625"/>
      <c r="B467" s="625"/>
      <c r="C467" s="625"/>
      <c r="D467" s="625"/>
      <c r="E467" s="625"/>
      <c r="F467" s="625"/>
      <c r="G467" s="625"/>
      <c r="H467" s="625"/>
      <c r="I467" s="625"/>
      <c r="J467" s="625"/>
      <c r="K467" s="625"/>
      <c r="L467" s="625"/>
      <c r="M467" s="625"/>
      <c r="N467" s="625"/>
      <c r="O467" s="625"/>
      <c r="P467" s="625"/>
      <c r="Q467" s="625"/>
      <c r="R467" s="625"/>
      <c r="S467" s="625"/>
      <c r="T467" s="625"/>
      <c r="U467" s="625"/>
      <c r="V467" s="625"/>
      <c r="W467" s="625"/>
      <c r="X467" s="625"/>
      <c r="Y467" s="625"/>
      <c r="Z467" s="625"/>
    </row>
    <row r="468">
      <c r="A468" s="625"/>
      <c r="B468" s="625"/>
      <c r="C468" s="625"/>
      <c r="D468" s="625"/>
      <c r="E468" s="625"/>
      <c r="F468" s="625"/>
      <c r="G468" s="625"/>
      <c r="H468" s="625"/>
      <c r="I468" s="625"/>
      <c r="J468" s="625"/>
      <c r="K468" s="625"/>
      <c r="L468" s="625"/>
      <c r="M468" s="625"/>
      <c r="N468" s="625"/>
      <c r="O468" s="625"/>
      <c r="P468" s="625"/>
      <c r="Q468" s="625"/>
      <c r="R468" s="625"/>
      <c r="S468" s="625"/>
      <c r="T468" s="625"/>
      <c r="U468" s="625"/>
      <c r="V468" s="625"/>
      <c r="W468" s="625"/>
      <c r="X468" s="625"/>
      <c r="Y468" s="625"/>
      <c r="Z468" s="625"/>
    </row>
    <row r="469">
      <c r="A469" s="625"/>
      <c r="B469" s="625"/>
      <c r="C469" s="625"/>
      <c r="D469" s="625"/>
      <c r="E469" s="625"/>
      <c r="F469" s="625"/>
      <c r="G469" s="625"/>
      <c r="H469" s="625"/>
      <c r="I469" s="625"/>
      <c r="J469" s="625"/>
      <c r="K469" s="625"/>
      <c r="L469" s="625"/>
      <c r="M469" s="625"/>
      <c r="N469" s="625"/>
      <c r="O469" s="625"/>
      <c r="P469" s="625"/>
      <c r="Q469" s="625"/>
      <c r="R469" s="625"/>
      <c r="S469" s="625"/>
      <c r="T469" s="625"/>
      <c r="U469" s="625"/>
      <c r="V469" s="625"/>
      <c r="W469" s="625"/>
      <c r="X469" s="625"/>
      <c r="Y469" s="625"/>
      <c r="Z469" s="625"/>
    </row>
    <row r="470">
      <c r="A470" s="625"/>
      <c r="B470" s="625"/>
      <c r="C470" s="625"/>
      <c r="D470" s="625"/>
      <c r="E470" s="625"/>
      <c r="F470" s="625"/>
      <c r="G470" s="625"/>
      <c r="H470" s="625"/>
      <c r="I470" s="625"/>
      <c r="J470" s="625"/>
      <c r="K470" s="625"/>
      <c r="L470" s="625"/>
      <c r="M470" s="625"/>
      <c r="N470" s="625"/>
      <c r="O470" s="625"/>
      <c r="P470" s="625"/>
      <c r="Q470" s="625"/>
      <c r="R470" s="625"/>
      <c r="S470" s="625"/>
      <c r="T470" s="625"/>
      <c r="U470" s="625"/>
      <c r="V470" s="625"/>
      <c r="W470" s="625"/>
      <c r="X470" s="625"/>
      <c r="Y470" s="625"/>
      <c r="Z470" s="625"/>
    </row>
    <row r="471">
      <c r="A471" s="625"/>
      <c r="B471" s="625"/>
      <c r="C471" s="625"/>
      <c r="D471" s="625"/>
      <c r="E471" s="625"/>
      <c r="F471" s="625"/>
      <c r="G471" s="625"/>
      <c r="H471" s="625"/>
      <c r="I471" s="625"/>
      <c r="J471" s="625"/>
      <c r="K471" s="625"/>
      <c r="L471" s="625"/>
      <c r="M471" s="625"/>
      <c r="N471" s="625"/>
      <c r="O471" s="625"/>
      <c r="P471" s="625"/>
      <c r="Q471" s="625"/>
      <c r="R471" s="625"/>
      <c r="S471" s="625"/>
      <c r="T471" s="625"/>
      <c r="U471" s="625"/>
      <c r="V471" s="625"/>
      <c r="W471" s="625"/>
      <c r="X471" s="625"/>
      <c r="Y471" s="625"/>
      <c r="Z471" s="625"/>
    </row>
    <row r="472">
      <c r="A472" s="625"/>
      <c r="B472" s="625"/>
      <c r="C472" s="625"/>
      <c r="D472" s="625"/>
      <c r="E472" s="625"/>
      <c r="F472" s="625"/>
      <c r="G472" s="625"/>
      <c r="H472" s="625"/>
      <c r="I472" s="625"/>
      <c r="J472" s="625"/>
      <c r="K472" s="625"/>
      <c r="L472" s="625"/>
      <c r="M472" s="625"/>
      <c r="N472" s="625"/>
      <c r="O472" s="625"/>
      <c r="P472" s="625"/>
      <c r="Q472" s="625"/>
      <c r="R472" s="625"/>
      <c r="S472" s="625"/>
      <c r="T472" s="625"/>
      <c r="U472" s="625"/>
      <c r="V472" s="625"/>
      <c r="W472" s="625"/>
      <c r="X472" s="625"/>
      <c r="Y472" s="625"/>
      <c r="Z472" s="625"/>
    </row>
    <row r="473">
      <c r="A473" s="625"/>
      <c r="B473" s="625"/>
      <c r="C473" s="625"/>
      <c r="D473" s="625"/>
      <c r="E473" s="625"/>
      <c r="F473" s="625"/>
      <c r="G473" s="625"/>
      <c r="H473" s="625"/>
      <c r="I473" s="625"/>
      <c r="J473" s="625"/>
      <c r="K473" s="625"/>
      <c r="L473" s="625"/>
      <c r="M473" s="625"/>
      <c r="N473" s="625"/>
      <c r="O473" s="625"/>
      <c r="P473" s="625"/>
      <c r="Q473" s="625"/>
      <c r="R473" s="625"/>
      <c r="S473" s="625"/>
      <c r="T473" s="625"/>
      <c r="U473" s="625"/>
      <c r="V473" s="625"/>
      <c r="W473" s="625"/>
      <c r="X473" s="625"/>
      <c r="Y473" s="625"/>
      <c r="Z473" s="625"/>
    </row>
    <row r="474">
      <c r="A474" s="625"/>
      <c r="B474" s="625"/>
      <c r="C474" s="625"/>
      <c r="D474" s="625"/>
      <c r="E474" s="625"/>
      <c r="F474" s="625"/>
      <c r="G474" s="625"/>
      <c r="H474" s="625"/>
      <c r="I474" s="625"/>
      <c r="J474" s="625"/>
      <c r="K474" s="625"/>
      <c r="L474" s="625"/>
      <c r="M474" s="625"/>
      <c r="N474" s="625"/>
      <c r="O474" s="625"/>
      <c r="P474" s="625"/>
      <c r="Q474" s="625"/>
      <c r="R474" s="625"/>
      <c r="S474" s="625"/>
      <c r="T474" s="625"/>
      <c r="U474" s="625"/>
      <c r="V474" s="625"/>
      <c r="W474" s="625"/>
      <c r="X474" s="625"/>
      <c r="Y474" s="625"/>
      <c r="Z474" s="625"/>
    </row>
    <row r="475">
      <c r="A475" s="625"/>
      <c r="B475" s="625"/>
      <c r="C475" s="625"/>
      <c r="D475" s="625"/>
      <c r="E475" s="625"/>
      <c r="F475" s="625"/>
      <c r="G475" s="625"/>
      <c r="H475" s="625"/>
      <c r="I475" s="625"/>
      <c r="J475" s="625"/>
      <c r="K475" s="625"/>
      <c r="L475" s="625"/>
      <c r="M475" s="625"/>
      <c r="N475" s="625"/>
      <c r="O475" s="625"/>
      <c r="P475" s="625"/>
      <c r="Q475" s="625"/>
      <c r="R475" s="625"/>
      <c r="S475" s="625"/>
      <c r="T475" s="625"/>
      <c r="U475" s="625"/>
      <c r="V475" s="625"/>
      <c r="W475" s="625"/>
      <c r="X475" s="625"/>
      <c r="Y475" s="625"/>
      <c r="Z475" s="625"/>
    </row>
    <row r="476">
      <c r="A476" s="625"/>
      <c r="B476" s="625"/>
      <c r="C476" s="625"/>
      <c r="D476" s="625"/>
      <c r="E476" s="625"/>
      <c r="F476" s="625"/>
      <c r="G476" s="625"/>
      <c r="H476" s="625"/>
      <c r="I476" s="625"/>
      <c r="J476" s="625"/>
      <c r="K476" s="625"/>
      <c r="L476" s="625"/>
      <c r="M476" s="625"/>
      <c r="N476" s="625"/>
      <c r="O476" s="625"/>
      <c r="P476" s="625"/>
      <c r="Q476" s="625"/>
      <c r="R476" s="625"/>
      <c r="S476" s="625"/>
      <c r="T476" s="625"/>
      <c r="U476" s="625"/>
      <c r="V476" s="625"/>
      <c r="W476" s="625"/>
      <c r="X476" s="625"/>
      <c r="Y476" s="625"/>
      <c r="Z476" s="625"/>
    </row>
    <row r="477">
      <c r="A477" s="625"/>
      <c r="B477" s="625"/>
      <c r="C477" s="625"/>
      <c r="D477" s="625"/>
      <c r="E477" s="625"/>
      <c r="F477" s="625"/>
      <c r="G477" s="625"/>
      <c r="H477" s="625"/>
      <c r="I477" s="625"/>
      <c r="J477" s="625"/>
      <c r="K477" s="625"/>
      <c r="L477" s="625"/>
      <c r="M477" s="625"/>
      <c r="N477" s="625"/>
      <c r="O477" s="625"/>
      <c r="P477" s="625"/>
      <c r="Q477" s="625"/>
      <c r="R477" s="625"/>
      <c r="S477" s="625"/>
      <c r="T477" s="625"/>
      <c r="U477" s="625"/>
      <c r="V477" s="625"/>
      <c r="W477" s="625"/>
      <c r="X477" s="625"/>
      <c r="Y477" s="625"/>
      <c r="Z477" s="625"/>
    </row>
    <row r="478">
      <c r="A478" s="625"/>
      <c r="B478" s="625"/>
      <c r="C478" s="625"/>
      <c r="D478" s="625"/>
      <c r="E478" s="625"/>
      <c r="F478" s="625"/>
      <c r="G478" s="625"/>
      <c r="H478" s="625"/>
      <c r="I478" s="625"/>
      <c r="J478" s="625"/>
      <c r="K478" s="625"/>
      <c r="L478" s="625"/>
      <c r="M478" s="625"/>
      <c r="N478" s="625"/>
      <c r="O478" s="625"/>
      <c r="P478" s="625"/>
      <c r="Q478" s="625"/>
      <c r="R478" s="625"/>
      <c r="S478" s="625"/>
      <c r="T478" s="625"/>
      <c r="U478" s="625"/>
      <c r="V478" s="625"/>
      <c r="W478" s="625"/>
      <c r="X478" s="625"/>
      <c r="Y478" s="625"/>
      <c r="Z478" s="625"/>
    </row>
    <row r="479">
      <c r="A479" s="625"/>
      <c r="B479" s="625"/>
      <c r="C479" s="625"/>
      <c r="D479" s="625"/>
      <c r="E479" s="625"/>
      <c r="F479" s="625"/>
      <c r="G479" s="625"/>
      <c r="H479" s="625"/>
      <c r="I479" s="625"/>
      <c r="J479" s="625"/>
      <c r="K479" s="625"/>
      <c r="L479" s="625"/>
      <c r="M479" s="625"/>
      <c r="N479" s="625"/>
      <c r="O479" s="625"/>
      <c r="P479" s="625"/>
      <c r="Q479" s="625"/>
      <c r="R479" s="625"/>
      <c r="S479" s="625"/>
      <c r="T479" s="625"/>
      <c r="U479" s="625"/>
      <c r="V479" s="625"/>
      <c r="W479" s="625"/>
      <c r="X479" s="625"/>
      <c r="Y479" s="625"/>
      <c r="Z479" s="625"/>
    </row>
    <row r="480">
      <c r="A480" s="625"/>
      <c r="B480" s="625"/>
      <c r="C480" s="625"/>
      <c r="D480" s="625"/>
      <c r="E480" s="625"/>
      <c r="F480" s="625"/>
      <c r="G480" s="625"/>
      <c r="H480" s="625"/>
      <c r="I480" s="625"/>
      <c r="J480" s="625"/>
      <c r="K480" s="625"/>
      <c r="L480" s="625"/>
      <c r="M480" s="625"/>
      <c r="N480" s="625"/>
      <c r="O480" s="625"/>
      <c r="P480" s="625"/>
      <c r="Q480" s="625"/>
      <c r="R480" s="625"/>
      <c r="S480" s="625"/>
      <c r="T480" s="625"/>
      <c r="U480" s="625"/>
      <c r="V480" s="625"/>
      <c r="W480" s="625"/>
      <c r="X480" s="625"/>
      <c r="Y480" s="625"/>
      <c r="Z480" s="625"/>
    </row>
    <row r="481">
      <c r="A481" s="625"/>
      <c r="B481" s="625"/>
      <c r="C481" s="625"/>
      <c r="D481" s="625"/>
      <c r="E481" s="625"/>
      <c r="F481" s="625"/>
      <c r="G481" s="625"/>
      <c r="H481" s="625"/>
      <c r="I481" s="625"/>
      <c r="J481" s="625"/>
      <c r="K481" s="625"/>
      <c r="L481" s="625"/>
      <c r="M481" s="625"/>
      <c r="N481" s="625"/>
      <c r="O481" s="625"/>
      <c r="P481" s="625"/>
      <c r="Q481" s="625"/>
      <c r="R481" s="625"/>
      <c r="S481" s="625"/>
      <c r="T481" s="625"/>
      <c r="U481" s="625"/>
      <c r="V481" s="625"/>
      <c r="W481" s="625"/>
      <c r="X481" s="625"/>
      <c r="Y481" s="625"/>
      <c r="Z481" s="625"/>
    </row>
    <row r="482">
      <c r="A482" s="625"/>
      <c r="B482" s="625"/>
      <c r="C482" s="625"/>
      <c r="D482" s="625"/>
      <c r="E482" s="625"/>
      <c r="F482" s="625"/>
      <c r="G482" s="625"/>
      <c r="H482" s="625"/>
      <c r="I482" s="625"/>
      <c r="J482" s="625"/>
      <c r="K482" s="625"/>
      <c r="L482" s="625"/>
      <c r="M482" s="625"/>
      <c r="N482" s="625"/>
      <c r="O482" s="625"/>
      <c r="P482" s="625"/>
      <c r="Q482" s="625"/>
      <c r="R482" s="625"/>
      <c r="S482" s="625"/>
      <c r="T482" s="625"/>
      <c r="U482" s="625"/>
      <c r="V482" s="625"/>
      <c r="W482" s="625"/>
      <c r="X482" s="625"/>
      <c r="Y482" s="625"/>
      <c r="Z482" s="625"/>
    </row>
    <row r="483">
      <c r="A483" s="625"/>
      <c r="B483" s="625"/>
      <c r="C483" s="625"/>
      <c r="D483" s="625"/>
      <c r="E483" s="625"/>
      <c r="F483" s="625"/>
      <c r="G483" s="625"/>
      <c r="H483" s="625"/>
      <c r="I483" s="625"/>
      <c r="J483" s="625"/>
      <c r="K483" s="625"/>
      <c r="L483" s="625"/>
      <c r="M483" s="625"/>
      <c r="N483" s="625"/>
      <c r="O483" s="625"/>
      <c r="P483" s="625"/>
      <c r="Q483" s="625"/>
      <c r="R483" s="625"/>
      <c r="S483" s="625"/>
      <c r="T483" s="625"/>
      <c r="U483" s="625"/>
      <c r="V483" s="625"/>
      <c r="W483" s="625"/>
      <c r="X483" s="625"/>
      <c r="Y483" s="625"/>
      <c r="Z483" s="625"/>
    </row>
    <row r="484">
      <c r="A484" s="625"/>
      <c r="B484" s="625"/>
      <c r="C484" s="625"/>
      <c r="D484" s="625"/>
      <c r="E484" s="625"/>
      <c r="F484" s="625"/>
      <c r="G484" s="625"/>
      <c r="H484" s="625"/>
      <c r="I484" s="625"/>
      <c r="J484" s="625"/>
      <c r="K484" s="625"/>
      <c r="L484" s="625"/>
      <c r="M484" s="625"/>
      <c r="N484" s="625"/>
      <c r="O484" s="625"/>
      <c r="P484" s="625"/>
      <c r="Q484" s="625"/>
      <c r="R484" s="625"/>
      <c r="S484" s="625"/>
      <c r="T484" s="625"/>
      <c r="U484" s="625"/>
      <c r="V484" s="625"/>
      <c r="W484" s="625"/>
      <c r="X484" s="625"/>
      <c r="Y484" s="625"/>
      <c r="Z484" s="625"/>
    </row>
    <row r="485">
      <c r="A485" s="625"/>
      <c r="B485" s="625"/>
      <c r="C485" s="625"/>
      <c r="D485" s="625"/>
      <c r="E485" s="625"/>
      <c r="F485" s="625"/>
      <c r="G485" s="625"/>
      <c r="H485" s="625"/>
      <c r="I485" s="625"/>
      <c r="J485" s="625"/>
      <c r="K485" s="625"/>
      <c r="L485" s="625"/>
      <c r="M485" s="625"/>
      <c r="N485" s="625"/>
      <c r="O485" s="625"/>
      <c r="P485" s="625"/>
      <c r="Q485" s="625"/>
      <c r="R485" s="625"/>
      <c r="S485" s="625"/>
      <c r="T485" s="625"/>
      <c r="U485" s="625"/>
      <c r="V485" s="625"/>
      <c r="W485" s="625"/>
      <c r="X485" s="625"/>
      <c r="Y485" s="625"/>
      <c r="Z485" s="625"/>
    </row>
    <row r="486">
      <c r="A486" s="625"/>
      <c r="B486" s="625"/>
      <c r="C486" s="625"/>
      <c r="D486" s="625"/>
      <c r="E486" s="625"/>
      <c r="F486" s="625"/>
      <c r="G486" s="625"/>
      <c r="H486" s="625"/>
      <c r="I486" s="625"/>
      <c r="J486" s="625"/>
      <c r="K486" s="625"/>
      <c r="L486" s="625"/>
      <c r="M486" s="625"/>
      <c r="N486" s="625"/>
      <c r="O486" s="625"/>
      <c r="P486" s="625"/>
      <c r="Q486" s="625"/>
      <c r="R486" s="625"/>
      <c r="S486" s="625"/>
      <c r="T486" s="625"/>
      <c r="U486" s="625"/>
      <c r="V486" s="625"/>
      <c r="W486" s="625"/>
      <c r="X486" s="625"/>
      <c r="Y486" s="625"/>
      <c r="Z486" s="625"/>
    </row>
    <row r="487">
      <c r="A487" s="625"/>
      <c r="B487" s="625"/>
      <c r="C487" s="625"/>
      <c r="D487" s="625"/>
      <c r="E487" s="625"/>
      <c r="F487" s="625"/>
      <c r="G487" s="625"/>
      <c r="H487" s="625"/>
      <c r="I487" s="625"/>
      <c r="J487" s="625"/>
      <c r="K487" s="625"/>
      <c r="L487" s="625"/>
      <c r="M487" s="625"/>
      <c r="N487" s="625"/>
      <c r="O487" s="625"/>
      <c r="P487" s="625"/>
      <c r="Q487" s="625"/>
      <c r="R487" s="625"/>
      <c r="S487" s="625"/>
      <c r="T487" s="625"/>
      <c r="U487" s="625"/>
      <c r="V487" s="625"/>
      <c r="W487" s="625"/>
      <c r="X487" s="625"/>
      <c r="Y487" s="625"/>
      <c r="Z487" s="625"/>
    </row>
    <row r="488">
      <c r="A488" s="625"/>
      <c r="B488" s="625"/>
      <c r="C488" s="625"/>
      <c r="D488" s="625"/>
      <c r="E488" s="625"/>
      <c r="F488" s="625"/>
      <c r="G488" s="625"/>
      <c r="H488" s="625"/>
      <c r="I488" s="625"/>
      <c r="J488" s="625"/>
      <c r="K488" s="625"/>
      <c r="L488" s="625"/>
      <c r="M488" s="625"/>
      <c r="N488" s="625"/>
      <c r="O488" s="625"/>
      <c r="P488" s="625"/>
      <c r="Q488" s="625"/>
      <c r="R488" s="625"/>
      <c r="S488" s="625"/>
      <c r="T488" s="625"/>
      <c r="U488" s="625"/>
      <c r="V488" s="625"/>
      <c r="W488" s="625"/>
      <c r="X488" s="625"/>
      <c r="Y488" s="625"/>
      <c r="Z488" s="625"/>
    </row>
    <row r="489">
      <c r="A489" s="625"/>
      <c r="B489" s="625"/>
      <c r="C489" s="625"/>
      <c r="D489" s="625"/>
      <c r="E489" s="625"/>
      <c r="F489" s="625"/>
      <c r="G489" s="625"/>
      <c r="H489" s="625"/>
      <c r="I489" s="625"/>
      <c r="J489" s="625"/>
      <c r="K489" s="625"/>
      <c r="L489" s="625"/>
      <c r="M489" s="625"/>
      <c r="N489" s="625"/>
      <c r="O489" s="625"/>
      <c r="P489" s="625"/>
      <c r="Q489" s="625"/>
      <c r="R489" s="625"/>
      <c r="S489" s="625"/>
      <c r="T489" s="625"/>
      <c r="U489" s="625"/>
      <c r="V489" s="625"/>
      <c r="W489" s="625"/>
      <c r="X489" s="625"/>
      <c r="Y489" s="625"/>
      <c r="Z489" s="625"/>
    </row>
    <row r="490">
      <c r="A490" s="625"/>
      <c r="B490" s="625"/>
      <c r="C490" s="625"/>
      <c r="D490" s="625"/>
      <c r="E490" s="625"/>
      <c r="F490" s="625"/>
      <c r="G490" s="625"/>
      <c r="H490" s="625"/>
      <c r="I490" s="625"/>
      <c r="J490" s="625"/>
      <c r="K490" s="625"/>
      <c r="L490" s="625"/>
      <c r="M490" s="625"/>
      <c r="N490" s="625"/>
      <c r="O490" s="625"/>
      <c r="P490" s="625"/>
      <c r="Q490" s="625"/>
      <c r="R490" s="625"/>
      <c r="S490" s="625"/>
      <c r="T490" s="625"/>
      <c r="U490" s="625"/>
      <c r="V490" s="625"/>
      <c r="W490" s="625"/>
      <c r="X490" s="625"/>
      <c r="Y490" s="625"/>
      <c r="Z490" s="625"/>
    </row>
    <row r="491">
      <c r="A491" s="625"/>
      <c r="B491" s="625"/>
      <c r="C491" s="625"/>
      <c r="D491" s="625"/>
      <c r="E491" s="625"/>
      <c r="F491" s="625"/>
      <c r="G491" s="625"/>
      <c r="H491" s="625"/>
      <c r="I491" s="625"/>
      <c r="J491" s="625"/>
      <c r="K491" s="625"/>
      <c r="L491" s="625"/>
      <c r="M491" s="625"/>
      <c r="N491" s="625"/>
      <c r="O491" s="625"/>
      <c r="P491" s="625"/>
      <c r="Q491" s="625"/>
      <c r="R491" s="625"/>
      <c r="S491" s="625"/>
      <c r="T491" s="625"/>
      <c r="U491" s="625"/>
      <c r="V491" s="625"/>
      <c r="W491" s="625"/>
      <c r="X491" s="625"/>
      <c r="Y491" s="625"/>
      <c r="Z491" s="625"/>
    </row>
    <row r="492">
      <c r="A492" s="625"/>
      <c r="B492" s="625"/>
      <c r="C492" s="625"/>
      <c r="D492" s="625"/>
      <c r="E492" s="625"/>
      <c r="F492" s="625"/>
      <c r="G492" s="625"/>
      <c r="H492" s="625"/>
      <c r="I492" s="625"/>
      <c r="J492" s="625"/>
      <c r="K492" s="625"/>
      <c r="L492" s="625"/>
      <c r="M492" s="625"/>
      <c r="N492" s="625"/>
      <c r="O492" s="625"/>
      <c r="P492" s="625"/>
      <c r="Q492" s="625"/>
      <c r="R492" s="625"/>
      <c r="S492" s="625"/>
      <c r="T492" s="625"/>
      <c r="U492" s="625"/>
      <c r="V492" s="625"/>
      <c r="W492" s="625"/>
      <c r="X492" s="625"/>
      <c r="Y492" s="625"/>
      <c r="Z492" s="625"/>
    </row>
    <row r="493">
      <c r="A493" s="625"/>
      <c r="B493" s="625"/>
      <c r="C493" s="625"/>
      <c r="D493" s="625"/>
      <c r="E493" s="625"/>
      <c r="F493" s="625"/>
      <c r="G493" s="625"/>
      <c r="H493" s="625"/>
      <c r="I493" s="625"/>
      <c r="J493" s="625"/>
      <c r="K493" s="625"/>
      <c r="L493" s="625"/>
      <c r="M493" s="625"/>
      <c r="N493" s="625"/>
      <c r="O493" s="625"/>
      <c r="P493" s="625"/>
      <c r="Q493" s="625"/>
      <c r="R493" s="625"/>
      <c r="S493" s="625"/>
      <c r="T493" s="625"/>
      <c r="U493" s="625"/>
      <c r="V493" s="625"/>
      <c r="W493" s="625"/>
      <c r="X493" s="625"/>
      <c r="Y493" s="625"/>
      <c r="Z493" s="625"/>
    </row>
    <row r="494">
      <c r="A494" s="625"/>
      <c r="B494" s="625"/>
      <c r="C494" s="625"/>
      <c r="D494" s="625"/>
      <c r="E494" s="625"/>
      <c r="F494" s="625"/>
      <c r="G494" s="625"/>
      <c r="H494" s="625"/>
      <c r="I494" s="625"/>
      <c r="J494" s="625"/>
      <c r="K494" s="625"/>
      <c r="L494" s="625"/>
      <c r="M494" s="625"/>
      <c r="N494" s="625"/>
      <c r="O494" s="625"/>
      <c r="P494" s="625"/>
      <c r="Q494" s="625"/>
      <c r="R494" s="625"/>
      <c r="S494" s="625"/>
      <c r="T494" s="625"/>
      <c r="U494" s="625"/>
      <c r="V494" s="625"/>
      <c r="W494" s="625"/>
      <c r="X494" s="625"/>
      <c r="Y494" s="625"/>
      <c r="Z494" s="625"/>
    </row>
    <row r="495">
      <c r="A495" s="625"/>
      <c r="B495" s="625"/>
      <c r="C495" s="625"/>
      <c r="D495" s="625"/>
      <c r="E495" s="625"/>
      <c r="F495" s="625"/>
      <c r="G495" s="625"/>
      <c r="H495" s="625"/>
      <c r="I495" s="625"/>
      <c r="J495" s="625"/>
      <c r="K495" s="625"/>
      <c r="L495" s="625"/>
      <c r="M495" s="625"/>
      <c r="N495" s="625"/>
      <c r="O495" s="625"/>
      <c r="P495" s="625"/>
      <c r="Q495" s="625"/>
      <c r="R495" s="625"/>
      <c r="S495" s="625"/>
      <c r="T495" s="625"/>
      <c r="U495" s="625"/>
      <c r="V495" s="625"/>
      <c r="W495" s="625"/>
      <c r="X495" s="625"/>
      <c r="Y495" s="625"/>
      <c r="Z495" s="625"/>
    </row>
    <row r="496">
      <c r="A496" s="625"/>
      <c r="B496" s="625"/>
      <c r="C496" s="625"/>
      <c r="D496" s="625"/>
      <c r="E496" s="625"/>
      <c r="F496" s="625"/>
      <c r="G496" s="625"/>
      <c r="H496" s="625"/>
      <c r="I496" s="625"/>
      <c r="J496" s="625"/>
      <c r="K496" s="625"/>
      <c r="L496" s="625"/>
      <c r="M496" s="625"/>
      <c r="N496" s="625"/>
      <c r="O496" s="625"/>
      <c r="P496" s="625"/>
      <c r="Q496" s="625"/>
      <c r="R496" s="625"/>
      <c r="S496" s="625"/>
      <c r="T496" s="625"/>
      <c r="U496" s="625"/>
      <c r="V496" s="625"/>
      <c r="W496" s="625"/>
      <c r="X496" s="625"/>
      <c r="Y496" s="625"/>
      <c r="Z496" s="625"/>
    </row>
    <row r="497">
      <c r="A497" s="625"/>
      <c r="B497" s="625"/>
      <c r="C497" s="625"/>
      <c r="D497" s="625"/>
      <c r="E497" s="625"/>
      <c r="F497" s="625"/>
      <c r="G497" s="625"/>
      <c r="H497" s="625"/>
      <c r="I497" s="625"/>
      <c r="J497" s="625"/>
      <c r="K497" s="625"/>
      <c r="L497" s="625"/>
      <c r="M497" s="625"/>
      <c r="N497" s="625"/>
      <c r="O497" s="625"/>
      <c r="P497" s="625"/>
      <c r="Q497" s="625"/>
      <c r="R497" s="625"/>
      <c r="S497" s="625"/>
      <c r="T497" s="625"/>
      <c r="U497" s="625"/>
      <c r="V497" s="625"/>
      <c r="W497" s="625"/>
      <c r="X497" s="625"/>
      <c r="Y497" s="625"/>
      <c r="Z497" s="625"/>
    </row>
    <row r="498">
      <c r="A498" s="625"/>
      <c r="B498" s="625"/>
      <c r="C498" s="625"/>
      <c r="D498" s="625"/>
      <c r="E498" s="625"/>
      <c r="F498" s="625"/>
      <c r="G498" s="625"/>
      <c r="H498" s="625"/>
      <c r="I498" s="625"/>
      <c r="J498" s="625"/>
      <c r="K498" s="625"/>
      <c r="L498" s="625"/>
      <c r="M498" s="625"/>
      <c r="N498" s="625"/>
      <c r="O498" s="625"/>
      <c r="P498" s="625"/>
      <c r="Q498" s="625"/>
      <c r="R498" s="625"/>
      <c r="S498" s="625"/>
      <c r="T498" s="625"/>
      <c r="U498" s="625"/>
      <c r="V498" s="625"/>
      <c r="W498" s="625"/>
      <c r="X498" s="625"/>
      <c r="Y498" s="625"/>
      <c r="Z498" s="625"/>
    </row>
    <row r="499">
      <c r="A499" s="625"/>
      <c r="B499" s="625"/>
      <c r="C499" s="625"/>
      <c r="D499" s="625"/>
      <c r="E499" s="625"/>
      <c r="F499" s="625"/>
      <c r="G499" s="625"/>
      <c r="H499" s="625"/>
      <c r="I499" s="625"/>
      <c r="J499" s="625"/>
      <c r="K499" s="625"/>
      <c r="L499" s="625"/>
      <c r="M499" s="625"/>
      <c r="N499" s="625"/>
      <c r="O499" s="625"/>
      <c r="P499" s="625"/>
      <c r="Q499" s="625"/>
      <c r="R499" s="625"/>
      <c r="S499" s="625"/>
      <c r="T499" s="625"/>
      <c r="U499" s="625"/>
      <c r="V499" s="625"/>
      <c r="W499" s="625"/>
      <c r="X499" s="625"/>
      <c r="Y499" s="625"/>
      <c r="Z499" s="625"/>
    </row>
    <row r="500">
      <c r="A500" s="625"/>
      <c r="B500" s="625"/>
      <c r="C500" s="625"/>
      <c r="D500" s="625"/>
      <c r="E500" s="625"/>
      <c r="F500" s="625"/>
      <c r="G500" s="625"/>
      <c r="H500" s="625"/>
      <c r="I500" s="625"/>
      <c r="J500" s="625"/>
      <c r="K500" s="625"/>
      <c r="L500" s="625"/>
      <c r="M500" s="625"/>
      <c r="N500" s="625"/>
      <c r="O500" s="625"/>
      <c r="P500" s="625"/>
      <c r="Q500" s="625"/>
      <c r="R500" s="625"/>
      <c r="S500" s="625"/>
      <c r="T500" s="625"/>
      <c r="U500" s="625"/>
      <c r="V500" s="625"/>
      <c r="W500" s="625"/>
      <c r="X500" s="625"/>
      <c r="Y500" s="625"/>
      <c r="Z500" s="625"/>
    </row>
    <row r="501">
      <c r="A501" s="625"/>
      <c r="B501" s="625"/>
      <c r="C501" s="625"/>
      <c r="D501" s="625"/>
      <c r="E501" s="625"/>
      <c r="F501" s="625"/>
      <c r="G501" s="625"/>
      <c r="H501" s="625"/>
      <c r="I501" s="625"/>
      <c r="J501" s="625"/>
      <c r="K501" s="625"/>
      <c r="L501" s="625"/>
      <c r="M501" s="625"/>
      <c r="N501" s="625"/>
      <c r="O501" s="625"/>
      <c r="P501" s="625"/>
      <c r="Q501" s="625"/>
      <c r="R501" s="625"/>
      <c r="S501" s="625"/>
      <c r="T501" s="625"/>
      <c r="U501" s="625"/>
      <c r="V501" s="625"/>
      <c r="W501" s="625"/>
      <c r="X501" s="625"/>
      <c r="Y501" s="625"/>
      <c r="Z501" s="625"/>
    </row>
    <row r="502">
      <c r="A502" s="625"/>
      <c r="B502" s="625"/>
      <c r="C502" s="625"/>
      <c r="D502" s="625"/>
      <c r="E502" s="625"/>
      <c r="F502" s="625"/>
      <c r="G502" s="625"/>
      <c r="H502" s="625"/>
      <c r="I502" s="625"/>
      <c r="J502" s="625"/>
      <c r="K502" s="625"/>
      <c r="L502" s="625"/>
      <c r="M502" s="625"/>
      <c r="N502" s="625"/>
      <c r="O502" s="625"/>
      <c r="P502" s="625"/>
      <c r="Q502" s="625"/>
      <c r="R502" s="625"/>
      <c r="S502" s="625"/>
      <c r="T502" s="625"/>
      <c r="U502" s="625"/>
      <c r="V502" s="625"/>
      <c r="W502" s="625"/>
      <c r="X502" s="625"/>
      <c r="Y502" s="625"/>
      <c r="Z502" s="625"/>
    </row>
    <row r="503">
      <c r="A503" s="625"/>
      <c r="B503" s="625"/>
      <c r="C503" s="625"/>
      <c r="D503" s="625"/>
      <c r="E503" s="625"/>
      <c r="F503" s="625"/>
      <c r="G503" s="625"/>
      <c r="H503" s="625"/>
      <c r="I503" s="625"/>
      <c r="J503" s="625"/>
      <c r="K503" s="625"/>
      <c r="L503" s="625"/>
      <c r="M503" s="625"/>
      <c r="N503" s="625"/>
      <c r="O503" s="625"/>
      <c r="P503" s="625"/>
      <c r="Q503" s="625"/>
      <c r="R503" s="625"/>
      <c r="S503" s="625"/>
      <c r="T503" s="625"/>
      <c r="U503" s="625"/>
      <c r="V503" s="625"/>
      <c r="W503" s="625"/>
      <c r="X503" s="625"/>
      <c r="Y503" s="625"/>
      <c r="Z503" s="625"/>
    </row>
    <row r="504">
      <c r="A504" s="625"/>
      <c r="B504" s="625"/>
      <c r="C504" s="625"/>
      <c r="D504" s="625"/>
      <c r="E504" s="625"/>
      <c r="F504" s="625"/>
      <c r="G504" s="625"/>
      <c r="H504" s="625"/>
      <c r="I504" s="625"/>
      <c r="J504" s="625"/>
      <c r="K504" s="625"/>
      <c r="L504" s="625"/>
      <c r="M504" s="625"/>
      <c r="N504" s="625"/>
      <c r="O504" s="625"/>
      <c r="P504" s="625"/>
      <c r="Q504" s="625"/>
      <c r="R504" s="625"/>
      <c r="S504" s="625"/>
      <c r="T504" s="625"/>
      <c r="U504" s="625"/>
      <c r="V504" s="625"/>
      <c r="W504" s="625"/>
      <c r="X504" s="625"/>
      <c r="Y504" s="625"/>
      <c r="Z504" s="625"/>
    </row>
    <row r="505">
      <c r="A505" s="625"/>
      <c r="B505" s="625"/>
      <c r="C505" s="625"/>
      <c r="D505" s="625"/>
      <c r="E505" s="625"/>
      <c r="F505" s="625"/>
      <c r="G505" s="625"/>
      <c r="H505" s="625"/>
      <c r="I505" s="625"/>
      <c r="J505" s="625"/>
      <c r="K505" s="625"/>
      <c r="L505" s="625"/>
      <c r="M505" s="625"/>
      <c r="N505" s="625"/>
      <c r="O505" s="625"/>
      <c r="P505" s="625"/>
      <c r="Q505" s="625"/>
      <c r="R505" s="625"/>
      <c r="S505" s="625"/>
      <c r="T505" s="625"/>
      <c r="U505" s="625"/>
      <c r="V505" s="625"/>
      <c r="W505" s="625"/>
      <c r="X505" s="625"/>
      <c r="Y505" s="625"/>
      <c r="Z505" s="625"/>
    </row>
    <row r="506">
      <c r="A506" s="625"/>
      <c r="B506" s="625"/>
      <c r="C506" s="625"/>
      <c r="D506" s="625"/>
      <c r="E506" s="625"/>
      <c r="F506" s="625"/>
      <c r="G506" s="625"/>
      <c r="H506" s="625"/>
      <c r="I506" s="625"/>
      <c r="J506" s="625"/>
      <c r="K506" s="625"/>
      <c r="L506" s="625"/>
      <c r="M506" s="625"/>
      <c r="N506" s="625"/>
      <c r="O506" s="625"/>
      <c r="P506" s="625"/>
      <c r="Q506" s="625"/>
      <c r="R506" s="625"/>
      <c r="S506" s="625"/>
      <c r="T506" s="625"/>
      <c r="U506" s="625"/>
      <c r="V506" s="625"/>
      <c r="W506" s="625"/>
      <c r="X506" s="625"/>
      <c r="Y506" s="625"/>
      <c r="Z506" s="625"/>
    </row>
    <row r="507">
      <c r="A507" s="625"/>
      <c r="B507" s="625"/>
      <c r="C507" s="625"/>
      <c r="D507" s="625"/>
      <c r="E507" s="625"/>
      <c r="F507" s="625"/>
      <c r="G507" s="625"/>
      <c r="H507" s="625"/>
      <c r="I507" s="625"/>
      <c r="J507" s="625"/>
      <c r="K507" s="625"/>
      <c r="L507" s="625"/>
      <c r="M507" s="625"/>
      <c r="N507" s="625"/>
      <c r="O507" s="625"/>
      <c r="P507" s="625"/>
      <c r="Q507" s="625"/>
      <c r="R507" s="625"/>
      <c r="S507" s="625"/>
      <c r="T507" s="625"/>
      <c r="U507" s="625"/>
      <c r="V507" s="625"/>
      <c r="W507" s="625"/>
      <c r="X507" s="625"/>
      <c r="Y507" s="625"/>
      <c r="Z507" s="625"/>
    </row>
    <row r="508">
      <c r="A508" s="625"/>
      <c r="B508" s="625"/>
      <c r="C508" s="625"/>
      <c r="D508" s="625"/>
      <c r="E508" s="625"/>
      <c r="F508" s="625"/>
      <c r="G508" s="625"/>
      <c r="H508" s="625"/>
      <c r="I508" s="625"/>
      <c r="J508" s="625"/>
      <c r="K508" s="625"/>
      <c r="L508" s="625"/>
      <c r="M508" s="625"/>
      <c r="N508" s="625"/>
      <c r="O508" s="625"/>
      <c r="P508" s="625"/>
      <c r="Q508" s="625"/>
      <c r="R508" s="625"/>
      <c r="S508" s="625"/>
      <c r="T508" s="625"/>
      <c r="U508" s="625"/>
      <c r="V508" s="625"/>
      <c r="W508" s="625"/>
      <c r="X508" s="625"/>
      <c r="Y508" s="625"/>
      <c r="Z508" s="625"/>
    </row>
    <row r="509">
      <c r="A509" s="625"/>
      <c r="B509" s="625"/>
      <c r="C509" s="625"/>
      <c r="D509" s="625"/>
      <c r="E509" s="625"/>
      <c r="F509" s="625"/>
      <c r="G509" s="625"/>
      <c r="H509" s="625"/>
      <c r="I509" s="625"/>
      <c r="J509" s="625"/>
      <c r="K509" s="625"/>
      <c r="L509" s="625"/>
      <c r="M509" s="625"/>
      <c r="N509" s="625"/>
      <c r="O509" s="625"/>
      <c r="P509" s="625"/>
      <c r="Q509" s="625"/>
      <c r="R509" s="625"/>
      <c r="S509" s="625"/>
      <c r="T509" s="625"/>
      <c r="U509" s="625"/>
      <c r="V509" s="625"/>
      <c r="W509" s="625"/>
      <c r="X509" s="625"/>
      <c r="Y509" s="625"/>
      <c r="Z509" s="625"/>
    </row>
    <row r="510">
      <c r="A510" s="625"/>
      <c r="B510" s="625"/>
      <c r="C510" s="625"/>
      <c r="D510" s="625"/>
      <c r="E510" s="625"/>
      <c r="F510" s="625"/>
      <c r="G510" s="625"/>
      <c r="H510" s="625"/>
      <c r="I510" s="625"/>
      <c r="J510" s="625"/>
      <c r="K510" s="625"/>
      <c r="L510" s="625"/>
      <c r="M510" s="625"/>
      <c r="N510" s="625"/>
      <c r="O510" s="625"/>
      <c r="P510" s="625"/>
      <c r="Q510" s="625"/>
      <c r="R510" s="625"/>
      <c r="S510" s="625"/>
      <c r="T510" s="625"/>
      <c r="U510" s="625"/>
      <c r="V510" s="625"/>
      <c r="W510" s="625"/>
      <c r="X510" s="625"/>
      <c r="Y510" s="625"/>
      <c r="Z510" s="625"/>
    </row>
    <row r="511">
      <c r="A511" s="625"/>
      <c r="B511" s="625"/>
      <c r="C511" s="625"/>
      <c r="D511" s="625"/>
      <c r="E511" s="625"/>
      <c r="F511" s="625"/>
      <c r="G511" s="625"/>
      <c r="H511" s="625"/>
      <c r="I511" s="625"/>
      <c r="J511" s="625"/>
      <c r="K511" s="625"/>
      <c r="L511" s="625"/>
      <c r="M511" s="625"/>
      <c r="N511" s="625"/>
      <c r="O511" s="625"/>
      <c r="P511" s="625"/>
      <c r="Q511" s="625"/>
      <c r="R511" s="625"/>
      <c r="S511" s="625"/>
      <c r="T511" s="625"/>
      <c r="U511" s="625"/>
      <c r="V511" s="625"/>
      <c r="W511" s="625"/>
      <c r="X511" s="625"/>
      <c r="Y511" s="625"/>
      <c r="Z511" s="625"/>
    </row>
    <row r="512">
      <c r="A512" s="625"/>
      <c r="B512" s="625"/>
      <c r="C512" s="625"/>
      <c r="D512" s="625"/>
      <c r="E512" s="625"/>
      <c r="F512" s="625"/>
      <c r="G512" s="625"/>
      <c r="H512" s="625"/>
      <c r="I512" s="625"/>
      <c r="J512" s="625"/>
      <c r="K512" s="625"/>
      <c r="L512" s="625"/>
      <c r="M512" s="625"/>
      <c r="N512" s="625"/>
      <c r="O512" s="625"/>
      <c r="P512" s="625"/>
      <c r="Q512" s="625"/>
      <c r="R512" s="625"/>
      <c r="S512" s="625"/>
      <c r="T512" s="625"/>
      <c r="U512" s="625"/>
      <c r="V512" s="625"/>
      <c r="W512" s="625"/>
      <c r="X512" s="625"/>
      <c r="Y512" s="625"/>
      <c r="Z512" s="625"/>
    </row>
    <row r="513">
      <c r="A513" s="625"/>
      <c r="B513" s="625"/>
      <c r="C513" s="625"/>
      <c r="D513" s="625"/>
      <c r="E513" s="625"/>
      <c r="F513" s="625"/>
      <c r="G513" s="625"/>
      <c r="H513" s="625"/>
      <c r="I513" s="625"/>
      <c r="J513" s="625"/>
      <c r="K513" s="625"/>
      <c r="L513" s="625"/>
      <c r="M513" s="625"/>
      <c r="N513" s="625"/>
      <c r="O513" s="625"/>
      <c r="P513" s="625"/>
      <c r="Q513" s="625"/>
      <c r="R513" s="625"/>
      <c r="S513" s="625"/>
      <c r="T513" s="625"/>
      <c r="U513" s="625"/>
      <c r="V513" s="625"/>
      <c r="W513" s="625"/>
      <c r="X513" s="625"/>
      <c r="Y513" s="625"/>
      <c r="Z513" s="625"/>
    </row>
    <row r="514">
      <c r="A514" s="625"/>
      <c r="B514" s="625"/>
      <c r="C514" s="625"/>
      <c r="D514" s="625"/>
      <c r="E514" s="625"/>
      <c r="F514" s="625"/>
      <c r="G514" s="625"/>
      <c r="H514" s="625"/>
      <c r="I514" s="625"/>
      <c r="J514" s="625"/>
      <c r="K514" s="625"/>
      <c r="L514" s="625"/>
      <c r="M514" s="625"/>
      <c r="N514" s="625"/>
      <c r="O514" s="625"/>
      <c r="P514" s="625"/>
      <c r="Q514" s="625"/>
      <c r="R514" s="625"/>
      <c r="S514" s="625"/>
      <c r="T514" s="625"/>
      <c r="U514" s="625"/>
      <c r="V514" s="625"/>
      <c r="W514" s="625"/>
      <c r="X514" s="625"/>
      <c r="Y514" s="625"/>
      <c r="Z514" s="625"/>
    </row>
    <row r="515">
      <c r="A515" s="625"/>
      <c r="B515" s="625"/>
      <c r="C515" s="625"/>
      <c r="D515" s="625"/>
      <c r="E515" s="625"/>
      <c r="F515" s="625"/>
      <c r="G515" s="625"/>
      <c r="H515" s="625"/>
      <c r="I515" s="625"/>
      <c r="J515" s="625"/>
      <c r="K515" s="625"/>
      <c r="L515" s="625"/>
      <c r="M515" s="625"/>
      <c r="N515" s="625"/>
      <c r="O515" s="625"/>
      <c r="P515" s="625"/>
      <c r="Q515" s="625"/>
      <c r="R515" s="625"/>
      <c r="S515" s="625"/>
      <c r="T515" s="625"/>
      <c r="U515" s="625"/>
      <c r="V515" s="625"/>
      <c r="W515" s="625"/>
      <c r="X515" s="625"/>
      <c r="Y515" s="625"/>
      <c r="Z515" s="625"/>
    </row>
    <row r="516">
      <c r="A516" s="625"/>
      <c r="B516" s="625"/>
      <c r="C516" s="625"/>
      <c r="D516" s="625"/>
      <c r="E516" s="625"/>
      <c r="F516" s="625"/>
      <c r="G516" s="625"/>
      <c r="H516" s="625"/>
      <c r="I516" s="625"/>
      <c r="J516" s="625"/>
      <c r="K516" s="625"/>
      <c r="L516" s="625"/>
      <c r="M516" s="625"/>
      <c r="N516" s="625"/>
      <c r="O516" s="625"/>
      <c r="P516" s="625"/>
      <c r="Q516" s="625"/>
      <c r="R516" s="625"/>
      <c r="S516" s="625"/>
      <c r="T516" s="625"/>
      <c r="U516" s="625"/>
      <c r="V516" s="625"/>
      <c r="W516" s="625"/>
      <c r="X516" s="625"/>
      <c r="Y516" s="625"/>
      <c r="Z516" s="625"/>
    </row>
    <row r="517">
      <c r="A517" s="625"/>
      <c r="B517" s="625"/>
      <c r="C517" s="625"/>
      <c r="D517" s="625"/>
      <c r="E517" s="625"/>
      <c r="F517" s="625"/>
      <c r="G517" s="625"/>
      <c r="H517" s="625"/>
      <c r="I517" s="625"/>
      <c r="J517" s="625"/>
      <c r="K517" s="625"/>
      <c r="L517" s="625"/>
      <c r="M517" s="625"/>
      <c r="N517" s="625"/>
      <c r="O517" s="625"/>
      <c r="P517" s="625"/>
      <c r="Q517" s="625"/>
      <c r="R517" s="625"/>
      <c r="S517" s="625"/>
      <c r="T517" s="625"/>
      <c r="U517" s="625"/>
      <c r="V517" s="625"/>
      <c r="W517" s="625"/>
      <c r="X517" s="625"/>
      <c r="Y517" s="625"/>
      <c r="Z517" s="625"/>
    </row>
    <row r="518">
      <c r="A518" s="625"/>
      <c r="B518" s="625"/>
      <c r="C518" s="625"/>
      <c r="D518" s="625"/>
      <c r="E518" s="625"/>
      <c r="F518" s="625"/>
      <c r="G518" s="625"/>
      <c r="H518" s="625"/>
      <c r="I518" s="625"/>
      <c r="J518" s="625"/>
      <c r="K518" s="625"/>
      <c r="L518" s="625"/>
      <c r="M518" s="625"/>
      <c r="N518" s="625"/>
      <c r="O518" s="625"/>
      <c r="P518" s="625"/>
      <c r="Q518" s="625"/>
      <c r="R518" s="625"/>
      <c r="S518" s="625"/>
      <c r="T518" s="625"/>
      <c r="U518" s="625"/>
      <c r="V518" s="625"/>
      <c r="W518" s="625"/>
      <c r="X518" s="625"/>
      <c r="Y518" s="625"/>
      <c r="Z518" s="625"/>
    </row>
    <row r="519">
      <c r="A519" s="625"/>
      <c r="B519" s="625"/>
      <c r="C519" s="625"/>
      <c r="D519" s="625"/>
      <c r="E519" s="625"/>
      <c r="F519" s="625"/>
      <c r="G519" s="625"/>
      <c r="H519" s="625"/>
      <c r="I519" s="625"/>
      <c r="J519" s="625"/>
      <c r="K519" s="625"/>
      <c r="L519" s="625"/>
      <c r="M519" s="625"/>
      <c r="N519" s="625"/>
      <c r="O519" s="625"/>
      <c r="P519" s="625"/>
      <c r="Q519" s="625"/>
      <c r="R519" s="625"/>
      <c r="S519" s="625"/>
      <c r="T519" s="625"/>
      <c r="U519" s="625"/>
      <c r="V519" s="625"/>
      <c r="W519" s="625"/>
      <c r="X519" s="625"/>
      <c r="Y519" s="625"/>
      <c r="Z519" s="625"/>
    </row>
    <row r="520">
      <c r="A520" s="625"/>
      <c r="B520" s="625"/>
      <c r="C520" s="625"/>
      <c r="D520" s="625"/>
      <c r="E520" s="625"/>
      <c r="F520" s="625"/>
      <c r="G520" s="625"/>
      <c r="H520" s="625"/>
      <c r="I520" s="625"/>
      <c r="J520" s="625"/>
      <c r="K520" s="625"/>
      <c r="L520" s="625"/>
      <c r="M520" s="625"/>
      <c r="N520" s="625"/>
      <c r="O520" s="625"/>
      <c r="P520" s="625"/>
      <c r="Q520" s="625"/>
      <c r="R520" s="625"/>
      <c r="S520" s="625"/>
      <c r="T520" s="625"/>
      <c r="U520" s="625"/>
      <c r="V520" s="625"/>
      <c r="W520" s="625"/>
      <c r="X520" s="625"/>
      <c r="Y520" s="625"/>
      <c r="Z520" s="625"/>
    </row>
    <row r="521">
      <c r="A521" s="625"/>
      <c r="B521" s="625"/>
      <c r="C521" s="625"/>
      <c r="D521" s="625"/>
      <c r="E521" s="625"/>
      <c r="F521" s="625"/>
      <c r="G521" s="625"/>
      <c r="H521" s="625"/>
      <c r="I521" s="625"/>
      <c r="J521" s="625"/>
      <c r="K521" s="625"/>
      <c r="L521" s="625"/>
      <c r="M521" s="625"/>
      <c r="N521" s="625"/>
      <c r="O521" s="625"/>
      <c r="P521" s="625"/>
      <c r="Q521" s="625"/>
      <c r="R521" s="625"/>
      <c r="S521" s="625"/>
      <c r="T521" s="625"/>
      <c r="U521" s="625"/>
      <c r="V521" s="625"/>
      <c r="W521" s="625"/>
      <c r="X521" s="625"/>
      <c r="Y521" s="625"/>
      <c r="Z521" s="625"/>
    </row>
    <row r="522">
      <c r="A522" s="625"/>
      <c r="B522" s="625"/>
      <c r="C522" s="625"/>
      <c r="D522" s="625"/>
      <c r="E522" s="625"/>
      <c r="F522" s="625"/>
      <c r="G522" s="625"/>
      <c r="H522" s="625"/>
      <c r="I522" s="625"/>
      <c r="J522" s="625"/>
      <c r="K522" s="625"/>
      <c r="L522" s="625"/>
      <c r="M522" s="625"/>
      <c r="N522" s="625"/>
      <c r="O522" s="625"/>
      <c r="P522" s="625"/>
      <c r="Q522" s="625"/>
      <c r="R522" s="625"/>
      <c r="S522" s="625"/>
      <c r="T522" s="625"/>
      <c r="U522" s="625"/>
      <c r="V522" s="625"/>
      <c r="W522" s="625"/>
      <c r="X522" s="625"/>
      <c r="Y522" s="625"/>
      <c r="Z522" s="625"/>
    </row>
    <row r="523">
      <c r="A523" s="625"/>
      <c r="B523" s="625"/>
      <c r="C523" s="625"/>
      <c r="D523" s="625"/>
      <c r="E523" s="625"/>
      <c r="F523" s="625"/>
      <c r="G523" s="625"/>
      <c r="H523" s="625"/>
      <c r="I523" s="625"/>
      <c r="J523" s="625"/>
      <c r="K523" s="625"/>
      <c r="L523" s="625"/>
      <c r="M523" s="625"/>
      <c r="N523" s="625"/>
      <c r="O523" s="625"/>
      <c r="P523" s="625"/>
      <c r="Q523" s="625"/>
      <c r="R523" s="625"/>
      <c r="S523" s="625"/>
      <c r="T523" s="625"/>
      <c r="U523" s="625"/>
      <c r="V523" s="625"/>
      <c r="W523" s="625"/>
      <c r="X523" s="625"/>
      <c r="Y523" s="625"/>
      <c r="Z523" s="625"/>
    </row>
    <row r="524">
      <c r="A524" s="625"/>
      <c r="B524" s="625"/>
      <c r="C524" s="625"/>
      <c r="D524" s="625"/>
      <c r="E524" s="625"/>
      <c r="F524" s="625"/>
      <c r="G524" s="625"/>
      <c r="H524" s="625"/>
      <c r="I524" s="625"/>
      <c r="J524" s="625"/>
      <c r="K524" s="625"/>
      <c r="L524" s="625"/>
      <c r="M524" s="625"/>
      <c r="N524" s="625"/>
      <c r="O524" s="625"/>
      <c r="P524" s="625"/>
      <c r="Q524" s="625"/>
      <c r="R524" s="625"/>
      <c r="S524" s="625"/>
      <c r="T524" s="625"/>
      <c r="U524" s="625"/>
      <c r="V524" s="625"/>
      <c r="W524" s="625"/>
      <c r="X524" s="625"/>
      <c r="Y524" s="625"/>
      <c r="Z524" s="625"/>
    </row>
    <row r="525">
      <c r="A525" s="625"/>
      <c r="B525" s="625"/>
      <c r="C525" s="625"/>
      <c r="D525" s="625"/>
      <c r="E525" s="625"/>
      <c r="F525" s="625"/>
      <c r="G525" s="625"/>
      <c r="H525" s="625"/>
      <c r="I525" s="625"/>
      <c r="J525" s="625"/>
      <c r="K525" s="625"/>
      <c r="L525" s="625"/>
      <c r="M525" s="625"/>
      <c r="N525" s="625"/>
      <c r="O525" s="625"/>
      <c r="P525" s="625"/>
      <c r="Q525" s="625"/>
      <c r="R525" s="625"/>
      <c r="S525" s="625"/>
      <c r="T525" s="625"/>
      <c r="U525" s="625"/>
      <c r="V525" s="625"/>
      <c r="W525" s="625"/>
      <c r="X525" s="625"/>
      <c r="Y525" s="625"/>
      <c r="Z525" s="625"/>
    </row>
    <row r="526">
      <c r="A526" s="625"/>
      <c r="B526" s="625"/>
      <c r="C526" s="625"/>
      <c r="D526" s="625"/>
      <c r="E526" s="625"/>
      <c r="F526" s="625"/>
      <c r="G526" s="625"/>
      <c r="H526" s="625"/>
      <c r="I526" s="625"/>
      <c r="J526" s="625"/>
      <c r="K526" s="625"/>
      <c r="L526" s="625"/>
      <c r="M526" s="625"/>
      <c r="N526" s="625"/>
      <c r="O526" s="625"/>
      <c r="P526" s="625"/>
      <c r="Q526" s="625"/>
      <c r="R526" s="625"/>
      <c r="S526" s="625"/>
      <c r="T526" s="625"/>
      <c r="U526" s="625"/>
      <c r="V526" s="625"/>
      <c r="W526" s="625"/>
      <c r="X526" s="625"/>
      <c r="Y526" s="625"/>
      <c r="Z526" s="625"/>
    </row>
    <row r="527">
      <c r="A527" s="625"/>
      <c r="B527" s="625"/>
      <c r="C527" s="625"/>
      <c r="D527" s="625"/>
      <c r="E527" s="625"/>
      <c r="F527" s="625"/>
      <c r="G527" s="625"/>
      <c r="H527" s="625"/>
      <c r="I527" s="625"/>
      <c r="J527" s="625"/>
      <c r="K527" s="625"/>
      <c r="L527" s="625"/>
      <c r="M527" s="625"/>
      <c r="N527" s="625"/>
      <c r="O527" s="625"/>
      <c r="P527" s="625"/>
      <c r="Q527" s="625"/>
      <c r="R527" s="625"/>
      <c r="S527" s="625"/>
      <c r="T527" s="625"/>
      <c r="U527" s="625"/>
      <c r="V527" s="625"/>
      <c r="W527" s="625"/>
      <c r="X527" s="625"/>
      <c r="Y527" s="625"/>
      <c r="Z527" s="625"/>
    </row>
    <row r="528">
      <c r="A528" s="625"/>
      <c r="B528" s="625"/>
      <c r="C528" s="625"/>
      <c r="D528" s="625"/>
      <c r="E528" s="625"/>
      <c r="F528" s="625"/>
      <c r="G528" s="625"/>
      <c r="H528" s="625"/>
      <c r="I528" s="625"/>
      <c r="J528" s="625"/>
      <c r="K528" s="625"/>
      <c r="L528" s="625"/>
      <c r="M528" s="625"/>
      <c r="N528" s="625"/>
      <c r="O528" s="625"/>
      <c r="P528" s="625"/>
      <c r="Q528" s="625"/>
      <c r="R528" s="625"/>
      <c r="S528" s="625"/>
      <c r="T528" s="625"/>
      <c r="U528" s="625"/>
      <c r="V528" s="625"/>
      <c r="W528" s="625"/>
      <c r="X528" s="625"/>
      <c r="Y528" s="625"/>
      <c r="Z528" s="625"/>
    </row>
    <row r="529">
      <c r="A529" s="625"/>
      <c r="B529" s="625"/>
      <c r="C529" s="625"/>
      <c r="D529" s="625"/>
      <c r="E529" s="625"/>
      <c r="F529" s="625"/>
      <c r="G529" s="625"/>
      <c r="H529" s="625"/>
      <c r="I529" s="625"/>
      <c r="J529" s="625"/>
      <c r="K529" s="625"/>
      <c r="L529" s="625"/>
      <c r="M529" s="625"/>
      <c r="N529" s="625"/>
      <c r="O529" s="625"/>
      <c r="P529" s="625"/>
      <c r="Q529" s="625"/>
      <c r="R529" s="625"/>
      <c r="S529" s="625"/>
      <c r="T529" s="625"/>
      <c r="U529" s="625"/>
      <c r="V529" s="625"/>
      <c r="W529" s="625"/>
      <c r="X529" s="625"/>
      <c r="Y529" s="625"/>
      <c r="Z529" s="625"/>
    </row>
    <row r="530">
      <c r="A530" s="625"/>
      <c r="B530" s="625"/>
      <c r="C530" s="625"/>
      <c r="D530" s="625"/>
      <c r="E530" s="625"/>
      <c r="F530" s="625"/>
      <c r="G530" s="625"/>
      <c r="H530" s="625"/>
      <c r="I530" s="625"/>
      <c r="J530" s="625"/>
      <c r="K530" s="625"/>
      <c r="L530" s="625"/>
      <c r="M530" s="625"/>
      <c r="N530" s="625"/>
      <c r="O530" s="625"/>
      <c r="P530" s="625"/>
      <c r="Q530" s="625"/>
      <c r="R530" s="625"/>
      <c r="S530" s="625"/>
      <c r="T530" s="625"/>
      <c r="U530" s="625"/>
      <c r="V530" s="625"/>
      <c r="W530" s="625"/>
      <c r="X530" s="625"/>
      <c r="Y530" s="625"/>
      <c r="Z530" s="625"/>
    </row>
    <row r="531">
      <c r="A531" s="625"/>
      <c r="B531" s="625"/>
      <c r="C531" s="625"/>
      <c r="D531" s="625"/>
      <c r="E531" s="625"/>
      <c r="F531" s="625"/>
      <c r="G531" s="625"/>
      <c r="H531" s="625"/>
      <c r="I531" s="625"/>
      <c r="J531" s="625"/>
      <c r="K531" s="625"/>
      <c r="L531" s="625"/>
      <c r="M531" s="625"/>
      <c r="N531" s="625"/>
      <c r="O531" s="625"/>
      <c r="P531" s="625"/>
      <c r="Q531" s="625"/>
      <c r="R531" s="625"/>
      <c r="S531" s="625"/>
      <c r="T531" s="625"/>
      <c r="U531" s="625"/>
      <c r="V531" s="625"/>
      <c r="W531" s="625"/>
      <c r="X531" s="625"/>
      <c r="Y531" s="625"/>
      <c r="Z531" s="625"/>
    </row>
    <row r="532">
      <c r="A532" s="625"/>
      <c r="B532" s="625"/>
      <c r="C532" s="625"/>
      <c r="D532" s="625"/>
      <c r="E532" s="625"/>
      <c r="F532" s="625"/>
      <c r="G532" s="625"/>
      <c r="H532" s="625"/>
      <c r="I532" s="625"/>
      <c r="J532" s="625"/>
      <c r="K532" s="625"/>
      <c r="L532" s="625"/>
      <c r="M532" s="625"/>
      <c r="N532" s="625"/>
      <c r="O532" s="625"/>
      <c r="P532" s="625"/>
      <c r="Q532" s="625"/>
      <c r="R532" s="625"/>
      <c r="S532" s="625"/>
      <c r="T532" s="625"/>
      <c r="U532" s="625"/>
      <c r="V532" s="625"/>
      <c r="W532" s="625"/>
      <c r="X532" s="625"/>
      <c r="Y532" s="625"/>
      <c r="Z532" s="625"/>
    </row>
    <row r="533">
      <c r="A533" s="625"/>
      <c r="B533" s="625"/>
      <c r="C533" s="625"/>
      <c r="D533" s="625"/>
      <c r="E533" s="625"/>
      <c r="F533" s="625"/>
      <c r="G533" s="625"/>
      <c r="H533" s="625"/>
      <c r="I533" s="625"/>
      <c r="J533" s="625"/>
      <c r="K533" s="625"/>
      <c r="L533" s="625"/>
      <c r="M533" s="625"/>
      <c r="N533" s="625"/>
      <c r="O533" s="625"/>
      <c r="P533" s="625"/>
      <c r="Q533" s="625"/>
      <c r="R533" s="625"/>
      <c r="S533" s="625"/>
      <c r="T533" s="625"/>
      <c r="U533" s="625"/>
      <c r="V533" s="625"/>
      <c r="W533" s="625"/>
      <c r="X533" s="625"/>
      <c r="Y533" s="625"/>
      <c r="Z533" s="625"/>
    </row>
    <row r="534">
      <c r="A534" s="625"/>
      <c r="B534" s="625"/>
      <c r="C534" s="625"/>
      <c r="D534" s="625"/>
      <c r="E534" s="625"/>
      <c r="F534" s="625"/>
      <c r="G534" s="625"/>
      <c r="H534" s="625"/>
      <c r="I534" s="625"/>
      <c r="J534" s="625"/>
      <c r="K534" s="625"/>
      <c r="L534" s="625"/>
      <c r="M534" s="625"/>
      <c r="N534" s="625"/>
      <c r="O534" s="625"/>
      <c r="P534" s="625"/>
      <c r="Q534" s="625"/>
      <c r="R534" s="625"/>
      <c r="S534" s="625"/>
      <c r="T534" s="625"/>
      <c r="U534" s="625"/>
      <c r="V534" s="625"/>
      <c r="W534" s="625"/>
      <c r="X534" s="625"/>
      <c r="Y534" s="625"/>
      <c r="Z534" s="625"/>
    </row>
    <row r="535">
      <c r="A535" s="625"/>
      <c r="B535" s="625"/>
      <c r="C535" s="625"/>
      <c r="D535" s="625"/>
      <c r="E535" s="625"/>
      <c r="F535" s="625"/>
      <c r="G535" s="625"/>
      <c r="H535" s="625"/>
      <c r="I535" s="625"/>
      <c r="J535" s="625"/>
      <c r="K535" s="625"/>
      <c r="L535" s="625"/>
      <c r="M535" s="625"/>
      <c r="N535" s="625"/>
      <c r="O535" s="625"/>
      <c r="P535" s="625"/>
      <c r="Q535" s="625"/>
      <c r="R535" s="625"/>
      <c r="S535" s="625"/>
      <c r="T535" s="625"/>
      <c r="U535" s="625"/>
      <c r="V535" s="625"/>
      <c r="W535" s="625"/>
      <c r="X535" s="625"/>
      <c r="Y535" s="625"/>
      <c r="Z535" s="625"/>
    </row>
    <row r="536">
      <c r="A536" s="625"/>
      <c r="B536" s="625"/>
      <c r="C536" s="625"/>
      <c r="D536" s="625"/>
      <c r="E536" s="625"/>
      <c r="F536" s="625"/>
      <c r="G536" s="625"/>
      <c r="H536" s="625"/>
      <c r="I536" s="625"/>
      <c r="J536" s="625"/>
      <c r="K536" s="625"/>
      <c r="L536" s="625"/>
      <c r="M536" s="625"/>
      <c r="N536" s="625"/>
      <c r="O536" s="625"/>
      <c r="P536" s="625"/>
      <c r="Q536" s="625"/>
      <c r="R536" s="625"/>
      <c r="S536" s="625"/>
      <c r="T536" s="625"/>
      <c r="U536" s="625"/>
      <c r="V536" s="625"/>
      <c r="W536" s="625"/>
      <c r="X536" s="625"/>
      <c r="Y536" s="625"/>
      <c r="Z536" s="625"/>
    </row>
    <row r="537">
      <c r="A537" s="625"/>
      <c r="B537" s="625"/>
      <c r="C537" s="625"/>
      <c r="D537" s="625"/>
      <c r="E537" s="625"/>
      <c r="F537" s="625"/>
      <c r="G537" s="625"/>
      <c r="H537" s="625"/>
      <c r="I537" s="625"/>
      <c r="J537" s="625"/>
      <c r="K537" s="625"/>
      <c r="L537" s="625"/>
      <c r="M537" s="625"/>
      <c r="N537" s="625"/>
      <c r="O537" s="625"/>
      <c r="P537" s="625"/>
      <c r="Q537" s="625"/>
      <c r="R537" s="625"/>
      <c r="S537" s="625"/>
      <c r="T537" s="625"/>
      <c r="U537" s="625"/>
      <c r="V537" s="625"/>
      <c r="W537" s="625"/>
      <c r="X537" s="625"/>
      <c r="Y537" s="625"/>
      <c r="Z537" s="625"/>
    </row>
    <row r="538">
      <c r="A538" s="625"/>
      <c r="B538" s="625"/>
      <c r="C538" s="625"/>
      <c r="D538" s="625"/>
      <c r="E538" s="625"/>
      <c r="F538" s="625"/>
      <c r="G538" s="625"/>
      <c r="H538" s="625"/>
      <c r="I538" s="625"/>
      <c r="J538" s="625"/>
      <c r="K538" s="625"/>
      <c r="L538" s="625"/>
      <c r="M538" s="625"/>
      <c r="N538" s="625"/>
      <c r="O538" s="625"/>
      <c r="P538" s="625"/>
      <c r="Q538" s="625"/>
      <c r="R538" s="625"/>
      <c r="S538" s="625"/>
      <c r="T538" s="625"/>
      <c r="U538" s="625"/>
      <c r="V538" s="625"/>
      <c r="W538" s="625"/>
      <c r="X538" s="625"/>
      <c r="Y538" s="625"/>
      <c r="Z538" s="625"/>
    </row>
    <row r="539">
      <c r="A539" s="625"/>
      <c r="B539" s="625"/>
      <c r="C539" s="625"/>
      <c r="D539" s="625"/>
      <c r="E539" s="625"/>
      <c r="F539" s="625"/>
      <c r="G539" s="625"/>
      <c r="H539" s="625"/>
      <c r="I539" s="625"/>
      <c r="J539" s="625"/>
      <c r="K539" s="625"/>
      <c r="L539" s="625"/>
      <c r="M539" s="625"/>
      <c r="N539" s="625"/>
      <c r="O539" s="625"/>
      <c r="P539" s="625"/>
      <c r="Q539" s="625"/>
      <c r="R539" s="625"/>
      <c r="S539" s="625"/>
      <c r="T539" s="625"/>
      <c r="U539" s="625"/>
      <c r="V539" s="625"/>
      <c r="W539" s="625"/>
      <c r="X539" s="625"/>
      <c r="Y539" s="625"/>
      <c r="Z539" s="625"/>
    </row>
    <row r="540">
      <c r="A540" s="625"/>
      <c r="B540" s="625"/>
      <c r="C540" s="625"/>
      <c r="D540" s="625"/>
      <c r="E540" s="625"/>
      <c r="F540" s="625"/>
      <c r="G540" s="625"/>
      <c r="H540" s="625"/>
      <c r="I540" s="625"/>
      <c r="J540" s="625"/>
      <c r="K540" s="625"/>
      <c r="L540" s="625"/>
      <c r="M540" s="625"/>
      <c r="N540" s="625"/>
      <c r="O540" s="625"/>
      <c r="P540" s="625"/>
      <c r="Q540" s="625"/>
      <c r="R540" s="625"/>
      <c r="S540" s="625"/>
      <c r="T540" s="625"/>
      <c r="U540" s="625"/>
      <c r="V540" s="625"/>
      <c r="W540" s="625"/>
      <c r="X540" s="625"/>
      <c r="Y540" s="625"/>
      <c r="Z540" s="625"/>
    </row>
    <row r="541">
      <c r="A541" s="625"/>
      <c r="B541" s="625"/>
      <c r="C541" s="625"/>
      <c r="D541" s="625"/>
      <c r="E541" s="625"/>
      <c r="F541" s="625"/>
      <c r="G541" s="625"/>
      <c r="H541" s="625"/>
      <c r="I541" s="625"/>
      <c r="J541" s="625"/>
      <c r="K541" s="625"/>
      <c r="L541" s="625"/>
      <c r="M541" s="625"/>
      <c r="N541" s="625"/>
      <c r="O541" s="625"/>
      <c r="P541" s="625"/>
      <c r="Q541" s="625"/>
      <c r="R541" s="625"/>
      <c r="S541" s="625"/>
      <c r="T541" s="625"/>
      <c r="U541" s="625"/>
      <c r="V541" s="625"/>
      <c r="W541" s="625"/>
      <c r="X541" s="625"/>
      <c r="Y541" s="625"/>
      <c r="Z541" s="625"/>
    </row>
    <row r="542">
      <c r="A542" s="625"/>
      <c r="B542" s="625"/>
      <c r="C542" s="625"/>
      <c r="D542" s="625"/>
      <c r="E542" s="625"/>
      <c r="F542" s="625"/>
      <c r="G542" s="625"/>
      <c r="H542" s="625"/>
      <c r="I542" s="625"/>
      <c r="J542" s="625"/>
      <c r="K542" s="625"/>
      <c r="L542" s="625"/>
      <c r="M542" s="625"/>
      <c r="N542" s="625"/>
      <c r="O542" s="625"/>
      <c r="P542" s="625"/>
      <c r="Q542" s="625"/>
      <c r="R542" s="625"/>
      <c r="S542" s="625"/>
      <c r="T542" s="625"/>
      <c r="U542" s="625"/>
      <c r="V542" s="625"/>
      <c r="W542" s="625"/>
      <c r="X542" s="625"/>
      <c r="Y542" s="625"/>
      <c r="Z542" s="625"/>
    </row>
    <row r="543">
      <c r="A543" s="625"/>
      <c r="B543" s="625"/>
      <c r="C543" s="625"/>
      <c r="D543" s="625"/>
      <c r="E543" s="625"/>
      <c r="F543" s="625"/>
      <c r="G543" s="625"/>
      <c r="H543" s="625"/>
      <c r="I543" s="625"/>
      <c r="J543" s="625"/>
      <c r="K543" s="625"/>
      <c r="L543" s="625"/>
      <c r="M543" s="625"/>
      <c r="N543" s="625"/>
      <c r="O543" s="625"/>
      <c r="P543" s="625"/>
      <c r="Q543" s="625"/>
      <c r="R543" s="625"/>
      <c r="S543" s="625"/>
      <c r="T543" s="625"/>
      <c r="U543" s="625"/>
      <c r="V543" s="625"/>
      <c r="W543" s="625"/>
      <c r="X543" s="625"/>
      <c r="Y543" s="625"/>
      <c r="Z543" s="625"/>
    </row>
    <row r="544">
      <c r="A544" s="625"/>
      <c r="B544" s="625"/>
      <c r="C544" s="625"/>
      <c r="D544" s="625"/>
      <c r="E544" s="625"/>
      <c r="F544" s="625"/>
      <c r="G544" s="625"/>
      <c r="H544" s="625"/>
      <c r="I544" s="625"/>
      <c r="J544" s="625"/>
      <c r="K544" s="625"/>
      <c r="L544" s="625"/>
      <c r="M544" s="625"/>
      <c r="N544" s="625"/>
      <c r="O544" s="625"/>
      <c r="P544" s="625"/>
      <c r="Q544" s="625"/>
      <c r="R544" s="625"/>
      <c r="S544" s="625"/>
      <c r="T544" s="625"/>
      <c r="U544" s="625"/>
      <c r="V544" s="625"/>
      <c r="W544" s="625"/>
      <c r="X544" s="625"/>
      <c r="Y544" s="625"/>
      <c r="Z544" s="625"/>
    </row>
    <row r="545">
      <c r="A545" s="625"/>
      <c r="B545" s="625"/>
      <c r="C545" s="625"/>
      <c r="D545" s="625"/>
      <c r="E545" s="625"/>
      <c r="F545" s="625"/>
      <c r="G545" s="625"/>
      <c r="H545" s="625"/>
      <c r="I545" s="625"/>
      <c r="J545" s="625"/>
      <c r="K545" s="625"/>
      <c r="L545" s="625"/>
      <c r="M545" s="625"/>
      <c r="N545" s="625"/>
      <c r="O545" s="625"/>
      <c r="P545" s="625"/>
      <c r="Q545" s="625"/>
      <c r="R545" s="625"/>
      <c r="S545" s="625"/>
      <c r="T545" s="625"/>
      <c r="U545" s="625"/>
      <c r="V545" s="625"/>
      <c r="W545" s="625"/>
      <c r="X545" s="625"/>
      <c r="Y545" s="625"/>
      <c r="Z545" s="625"/>
    </row>
    <row r="546">
      <c r="A546" s="625"/>
      <c r="B546" s="625"/>
      <c r="C546" s="625"/>
      <c r="D546" s="625"/>
      <c r="E546" s="625"/>
      <c r="F546" s="625"/>
      <c r="G546" s="625"/>
      <c r="H546" s="625"/>
      <c r="I546" s="625"/>
      <c r="J546" s="625"/>
      <c r="K546" s="625"/>
      <c r="L546" s="625"/>
      <c r="M546" s="625"/>
      <c r="N546" s="625"/>
      <c r="O546" s="625"/>
      <c r="P546" s="625"/>
      <c r="Q546" s="625"/>
      <c r="R546" s="625"/>
      <c r="S546" s="625"/>
      <c r="T546" s="625"/>
      <c r="U546" s="625"/>
      <c r="V546" s="625"/>
      <c r="W546" s="625"/>
      <c r="X546" s="625"/>
      <c r="Y546" s="625"/>
      <c r="Z546" s="625"/>
    </row>
    <row r="547">
      <c r="A547" s="625"/>
      <c r="B547" s="625"/>
      <c r="C547" s="625"/>
      <c r="D547" s="625"/>
      <c r="E547" s="625"/>
      <c r="F547" s="625"/>
      <c r="G547" s="625"/>
      <c r="H547" s="625"/>
      <c r="I547" s="625"/>
      <c r="J547" s="625"/>
      <c r="K547" s="625"/>
      <c r="L547" s="625"/>
      <c r="M547" s="625"/>
      <c r="N547" s="625"/>
      <c r="O547" s="625"/>
      <c r="P547" s="625"/>
      <c r="Q547" s="625"/>
      <c r="R547" s="625"/>
      <c r="S547" s="625"/>
      <c r="T547" s="625"/>
      <c r="U547" s="625"/>
      <c r="V547" s="625"/>
      <c r="W547" s="625"/>
      <c r="X547" s="625"/>
      <c r="Y547" s="625"/>
      <c r="Z547" s="625"/>
    </row>
    <row r="548">
      <c r="A548" s="625"/>
      <c r="B548" s="625"/>
      <c r="C548" s="625"/>
      <c r="D548" s="625"/>
      <c r="E548" s="625"/>
      <c r="F548" s="625"/>
      <c r="G548" s="625"/>
      <c r="H548" s="625"/>
      <c r="I548" s="625"/>
      <c r="J548" s="625"/>
      <c r="K548" s="625"/>
      <c r="L548" s="625"/>
      <c r="M548" s="625"/>
      <c r="N548" s="625"/>
      <c r="O548" s="625"/>
      <c r="P548" s="625"/>
      <c r="Q548" s="625"/>
      <c r="R548" s="625"/>
      <c r="S548" s="625"/>
      <c r="T548" s="625"/>
      <c r="U548" s="625"/>
      <c r="V548" s="625"/>
      <c r="W548" s="625"/>
      <c r="X548" s="625"/>
      <c r="Y548" s="625"/>
      <c r="Z548" s="625"/>
    </row>
    <row r="549">
      <c r="A549" s="625"/>
      <c r="B549" s="625"/>
      <c r="C549" s="625"/>
      <c r="D549" s="625"/>
      <c r="E549" s="625"/>
      <c r="F549" s="625"/>
      <c r="G549" s="625"/>
      <c r="H549" s="625"/>
      <c r="I549" s="625"/>
      <c r="J549" s="625"/>
      <c r="K549" s="625"/>
      <c r="L549" s="625"/>
      <c r="M549" s="625"/>
      <c r="N549" s="625"/>
      <c r="O549" s="625"/>
      <c r="P549" s="625"/>
      <c r="Q549" s="625"/>
      <c r="R549" s="625"/>
      <c r="S549" s="625"/>
      <c r="T549" s="625"/>
      <c r="U549" s="625"/>
      <c r="V549" s="625"/>
      <c r="W549" s="625"/>
      <c r="X549" s="625"/>
      <c r="Y549" s="625"/>
      <c r="Z549" s="625"/>
    </row>
    <row r="550">
      <c r="A550" s="625"/>
      <c r="B550" s="625"/>
      <c r="C550" s="625"/>
      <c r="D550" s="625"/>
      <c r="E550" s="625"/>
      <c r="F550" s="625"/>
      <c r="G550" s="625"/>
      <c r="H550" s="625"/>
      <c r="I550" s="625"/>
      <c r="J550" s="625"/>
      <c r="K550" s="625"/>
      <c r="L550" s="625"/>
      <c r="M550" s="625"/>
      <c r="N550" s="625"/>
      <c r="O550" s="625"/>
      <c r="P550" s="625"/>
      <c r="Q550" s="625"/>
      <c r="R550" s="625"/>
      <c r="S550" s="625"/>
      <c r="T550" s="625"/>
      <c r="U550" s="625"/>
      <c r="V550" s="625"/>
      <c r="W550" s="625"/>
      <c r="X550" s="625"/>
      <c r="Y550" s="625"/>
      <c r="Z550" s="625"/>
    </row>
    <row r="551">
      <c r="A551" s="625"/>
      <c r="B551" s="625"/>
      <c r="C551" s="625"/>
      <c r="D551" s="625"/>
      <c r="E551" s="625"/>
      <c r="F551" s="625"/>
      <c r="G551" s="625"/>
      <c r="H551" s="625"/>
      <c r="I551" s="625"/>
      <c r="J551" s="625"/>
      <c r="K551" s="625"/>
      <c r="L551" s="625"/>
      <c r="M551" s="625"/>
      <c r="N551" s="625"/>
      <c r="O551" s="625"/>
      <c r="P551" s="625"/>
      <c r="Q551" s="625"/>
      <c r="R551" s="625"/>
      <c r="S551" s="625"/>
      <c r="T551" s="625"/>
      <c r="U551" s="625"/>
      <c r="V551" s="625"/>
      <c r="W551" s="625"/>
      <c r="X551" s="625"/>
      <c r="Y551" s="625"/>
      <c r="Z551" s="625"/>
    </row>
    <row r="552">
      <c r="A552" s="625"/>
      <c r="B552" s="625"/>
      <c r="C552" s="625"/>
      <c r="D552" s="625"/>
      <c r="E552" s="625"/>
      <c r="F552" s="625"/>
      <c r="G552" s="625"/>
      <c r="H552" s="625"/>
      <c r="I552" s="625"/>
      <c r="J552" s="625"/>
      <c r="K552" s="625"/>
      <c r="L552" s="625"/>
      <c r="M552" s="625"/>
      <c r="N552" s="625"/>
      <c r="O552" s="625"/>
      <c r="P552" s="625"/>
      <c r="Q552" s="625"/>
      <c r="R552" s="625"/>
      <c r="S552" s="625"/>
      <c r="T552" s="625"/>
      <c r="U552" s="625"/>
      <c r="V552" s="625"/>
      <c r="W552" s="625"/>
      <c r="X552" s="625"/>
      <c r="Y552" s="625"/>
      <c r="Z552" s="625"/>
    </row>
    <row r="553">
      <c r="A553" s="625"/>
      <c r="B553" s="625"/>
      <c r="C553" s="625"/>
      <c r="D553" s="625"/>
      <c r="E553" s="625"/>
      <c r="F553" s="625"/>
      <c r="G553" s="625"/>
      <c r="H553" s="625"/>
      <c r="I553" s="625"/>
      <c r="J553" s="625"/>
      <c r="K553" s="625"/>
      <c r="L553" s="625"/>
      <c r="M553" s="625"/>
      <c r="N553" s="625"/>
      <c r="O553" s="625"/>
      <c r="P553" s="625"/>
      <c r="Q553" s="625"/>
      <c r="R553" s="625"/>
      <c r="S553" s="625"/>
      <c r="T553" s="625"/>
      <c r="U553" s="625"/>
      <c r="V553" s="625"/>
      <c r="W553" s="625"/>
      <c r="X553" s="625"/>
      <c r="Y553" s="625"/>
      <c r="Z553" s="625"/>
    </row>
    <row r="554">
      <c r="A554" s="625"/>
      <c r="B554" s="625"/>
      <c r="C554" s="625"/>
      <c r="D554" s="625"/>
      <c r="E554" s="625"/>
      <c r="F554" s="625"/>
      <c r="G554" s="625"/>
      <c r="H554" s="625"/>
      <c r="I554" s="625"/>
      <c r="J554" s="625"/>
      <c r="K554" s="625"/>
      <c r="L554" s="625"/>
      <c r="M554" s="625"/>
      <c r="N554" s="625"/>
      <c r="O554" s="625"/>
      <c r="P554" s="625"/>
      <c r="Q554" s="625"/>
      <c r="R554" s="625"/>
      <c r="S554" s="625"/>
      <c r="T554" s="625"/>
      <c r="U554" s="625"/>
      <c r="V554" s="625"/>
      <c r="W554" s="625"/>
      <c r="X554" s="625"/>
      <c r="Y554" s="625"/>
      <c r="Z554" s="625"/>
    </row>
    <row r="555">
      <c r="A555" s="625"/>
      <c r="B555" s="625"/>
      <c r="C555" s="625"/>
      <c r="D555" s="625"/>
      <c r="E555" s="625"/>
      <c r="F555" s="625"/>
      <c r="G555" s="625"/>
      <c r="H555" s="625"/>
      <c r="I555" s="625"/>
      <c r="J555" s="625"/>
      <c r="K555" s="625"/>
      <c r="L555" s="625"/>
      <c r="M555" s="625"/>
      <c r="N555" s="625"/>
      <c r="O555" s="625"/>
      <c r="P555" s="625"/>
      <c r="Q555" s="625"/>
      <c r="R555" s="625"/>
      <c r="S555" s="625"/>
      <c r="T555" s="625"/>
      <c r="U555" s="625"/>
      <c r="V555" s="625"/>
      <c r="W555" s="625"/>
      <c r="X555" s="625"/>
      <c r="Y555" s="625"/>
      <c r="Z555" s="625"/>
    </row>
    <row r="556">
      <c r="A556" s="625"/>
      <c r="B556" s="625"/>
      <c r="C556" s="625"/>
      <c r="D556" s="625"/>
      <c r="E556" s="625"/>
      <c r="F556" s="625"/>
      <c r="G556" s="625"/>
      <c r="H556" s="625"/>
      <c r="I556" s="625"/>
      <c r="J556" s="625"/>
      <c r="K556" s="625"/>
      <c r="L556" s="625"/>
      <c r="M556" s="625"/>
      <c r="N556" s="625"/>
      <c r="O556" s="625"/>
      <c r="P556" s="625"/>
      <c r="Q556" s="625"/>
      <c r="R556" s="625"/>
      <c r="S556" s="625"/>
      <c r="T556" s="625"/>
      <c r="U556" s="625"/>
      <c r="V556" s="625"/>
      <c r="W556" s="625"/>
      <c r="X556" s="625"/>
      <c r="Y556" s="625"/>
      <c r="Z556" s="625"/>
    </row>
    <row r="557">
      <c r="A557" s="625"/>
      <c r="B557" s="625"/>
      <c r="C557" s="625"/>
      <c r="D557" s="625"/>
      <c r="E557" s="625"/>
      <c r="F557" s="625"/>
      <c r="G557" s="625"/>
      <c r="H557" s="625"/>
      <c r="I557" s="625"/>
      <c r="J557" s="625"/>
      <c r="K557" s="625"/>
      <c r="L557" s="625"/>
      <c r="M557" s="625"/>
      <c r="N557" s="625"/>
      <c r="O557" s="625"/>
      <c r="P557" s="625"/>
      <c r="Q557" s="625"/>
      <c r="R557" s="625"/>
      <c r="S557" s="625"/>
      <c r="T557" s="625"/>
      <c r="U557" s="625"/>
      <c r="V557" s="625"/>
      <c r="W557" s="625"/>
      <c r="X557" s="625"/>
      <c r="Y557" s="625"/>
      <c r="Z557" s="625"/>
    </row>
    <row r="558">
      <c r="A558" s="625"/>
      <c r="B558" s="625"/>
      <c r="C558" s="625"/>
      <c r="D558" s="625"/>
      <c r="E558" s="625"/>
      <c r="F558" s="625"/>
      <c r="G558" s="625"/>
      <c r="H558" s="625"/>
      <c r="I558" s="625"/>
      <c r="J558" s="625"/>
      <c r="K558" s="625"/>
      <c r="L558" s="625"/>
      <c r="M558" s="625"/>
      <c r="N558" s="625"/>
      <c r="O558" s="625"/>
      <c r="P558" s="625"/>
      <c r="Q558" s="625"/>
      <c r="R558" s="625"/>
      <c r="S558" s="625"/>
      <c r="T558" s="625"/>
      <c r="U558" s="625"/>
      <c r="V558" s="625"/>
      <c r="W558" s="625"/>
      <c r="X558" s="625"/>
      <c r="Y558" s="625"/>
      <c r="Z558" s="625"/>
    </row>
    <row r="559">
      <c r="A559" s="625"/>
      <c r="B559" s="625"/>
      <c r="C559" s="625"/>
      <c r="D559" s="625"/>
      <c r="E559" s="625"/>
      <c r="F559" s="625"/>
      <c r="G559" s="625"/>
      <c r="H559" s="625"/>
      <c r="I559" s="625"/>
      <c r="J559" s="625"/>
      <c r="K559" s="625"/>
      <c r="L559" s="625"/>
      <c r="M559" s="625"/>
      <c r="N559" s="625"/>
      <c r="O559" s="625"/>
      <c r="P559" s="625"/>
      <c r="Q559" s="625"/>
      <c r="R559" s="625"/>
      <c r="S559" s="625"/>
      <c r="T559" s="625"/>
      <c r="U559" s="625"/>
      <c r="V559" s="625"/>
      <c r="W559" s="625"/>
      <c r="X559" s="625"/>
      <c r="Y559" s="625"/>
      <c r="Z559" s="625"/>
    </row>
    <row r="560">
      <c r="A560" s="625"/>
      <c r="B560" s="625"/>
      <c r="C560" s="625"/>
      <c r="D560" s="625"/>
      <c r="E560" s="625"/>
      <c r="F560" s="625"/>
      <c r="G560" s="625"/>
      <c r="H560" s="625"/>
      <c r="I560" s="625"/>
      <c r="J560" s="625"/>
      <c r="K560" s="625"/>
      <c r="L560" s="625"/>
      <c r="M560" s="625"/>
      <c r="N560" s="625"/>
      <c r="O560" s="625"/>
      <c r="P560" s="625"/>
      <c r="Q560" s="625"/>
      <c r="R560" s="625"/>
      <c r="S560" s="625"/>
      <c r="T560" s="625"/>
      <c r="U560" s="625"/>
      <c r="V560" s="625"/>
      <c r="W560" s="625"/>
      <c r="X560" s="625"/>
      <c r="Y560" s="625"/>
      <c r="Z560" s="625"/>
    </row>
    <row r="561">
      <c r="A561" s="625"/>
      <c r="B561" s="625"/>
      <c r="C561" s="625"/>
      <c r="D561" s="625"/>
      <c r="E561" s="625"/>
      <c r="F561" s="625"/>
      <c r="G561" s="625"/>
      <c r="H561" s="625"/>
      <c r="I561" s="625"/>
      <c r="J561" s="625"/>
      <c r="K561" s="625"/>
      <c r="L561" s="625"/>
      <c r="M561" s="625"/>
      <c r="N561" s="625"/>
      <c r="O561" s="625"/>
      <c r="P561" s="625"/>
      <c r="Q561" s="625"/>
      <c r="R561" s="625"/>
      <c r="S561" s="625"/>
      <c r="T561" s="625"/>
      <c r="U561" s="625"/>
      <c r="V561" s="625"/>
      <c r="W561" s="625"/>
      <c r="X561" s="625"/>
      <c r="Y561" s="625"/>
      <c r="Z561" s="625"/>
    </row>
    <row r="562">
      <c r="A562" s="625"/>
      <c r="B562" s="625"/>
      <c r="C562" s="625"/>
      <c r="D562" s="625"/>
      <c r="E562" s="625"/>
      <c r="F562" s="625"/>
      <c r="G562" s="625"/>
      <c r="H562" s="625"/>
      <c r="I562" s="625"/>
      <c r="J562" s="625"/>
      <c r="K562" s="625"/>
      <c r="L562" s="625"/>
      <c r="M562" s="625"/>
      <c r="N562" s="625"/>
      <c r="O562" s="625"/>
      <c r="P562" s="625"/>
      <c r="Q562" s="625"/>
      <c r="R562" s="625"/>
      <c r="S562" s="625"/>
      <c r="T562" s="625"/>
      <c r="U562" s="625"/>
      <c r="V562" s="625"/>
      <c r="W562" s="625"/>
      <c r="X562" s="625"/>
      <c r="Y562" s="625"/>
      <c r="Z562" s="625"/>
    </row>
    <row r="563">
      <c r="A563" s="625"/>
      <c r="B563" s="625"/>
      <c r="C563" s="625"/>
      <c r="D563" s="625"/>
      <c r="E563" s="625"/>
      <c r="F563" s="625"/>
      <c r="G563" s="625"/>
      <c r="H563" s="625"/>
      <c r="I563" s="625"/>
      <c r="J563" s="625"/>
      <c r="K563" s="625"/>
      <c r="L563" s="625"/>
      <c r="M563" s="625"/>
      <c r="N563" s="625"/>
      <c r="O563" s="625"/>
      <c r="P563" s="625"/>
      <c r="Q563" s="625"/>
      <c r="R563" s="625"/>
      <c r="S563" s="625"/>
      <c r="T563" s="625"/>
      <c r="U563" s="625"/>
      <c r="V563" s="625"/>
      <c r="W563" s="625"/>
      <c r="X563" s="625"/>
      <c r="Y563" s="625"/>
      <c r="Z563" s="625"/>
    </row>
    <row r="564">
      <c r="A564" s="625"/>
      <c r="B564" s="625"/>
      <c r="C564" s="625"/>
      <c r="D564" s="625"/>
      <c r="E564" s="625"/>
      <c r="F564" s="625"/>
      <c r="G564" s="625"/>
      <c r="H564" s="625"/>
      <c r="I564" s="625"/>
      <c r="J564" s="625"/>
      <c r="K564" s="625"/>
      <c r="L564" s="625"/>
      <c r="M564" s="625"/>
      <c r="N564" s="625"/>
      <c r="O564" s="625"/>
      <c r="P564" s="625"/>
      <c r="Q564" s="625"/>
      <c r="R564" s="625"/>
      <c r="S564" s="625"/>
      <c r="T564" s="625"/>
      <c r="U564" s="625"/>
      <c r="V564" s="625"/>
      <c r="W564" s="625"/>
      <c r="X564" s="625"/>
      <c r="Y564" s="625"/>
      <c r="Z564" s="625"/>
    </row>
    <row r="565">
      <c r="A565" s="625"/>
      <c r="B565" s="625"/>
      <c r="C565" s="625"/>
      <c r="D565" s="625"/>
      <c r="E565" s="625"/>
      <c r="F565" s="625"/>
      <c r="G565" s="625"/>
      <c r="H565" s="625"/>
      <c r="I565" s="625"/>
      <c r="J565" s="625"/>
      <c r="K565" s="625"/>
      <c r="L565" s="625"/>
      <c r="M565" s="625"/>
      <c r="N565" s="625"/>
      <c r="O565" s="625"/>
      <c r="P565" s="625"/>
      <c r="Q565" s="625"/>
      <c r="R565" s="625"/>
      <c r="S565" s="625"/>
      <c r="T565" s="625"/>
      <c r="U565" s="625"/>
      <c r="V565" s="625"/>
      <c r="W565" s="625"/>
      <c r="X565" s="625"/>
      <c r="Y565" s="625"/>
      <c r="Z565" s="625"/>
    </row>
    <row r="566">
      <c r="A566" s="625"/>
      <c r="B566" s="625"/>
      <c r="C566" s="625"/>
      <c r="D566" s="625"/>
      <c r="E566" s="625"/>
      <c r="F566" s="625"/>
      <c r="G566" s="625"/>
      <c r="H566" s="625"/>
      <c r="I566" s="625"/>
      <c r="J566" s="625"/>
      <c r="K566" s="625"/>
      <c r="L566" s="625"/>
      <c r="M566" s="625"/>
      <c r="N566" s="625"/>
      <c r="O566" s="625"/>
      <c r="P566" s="625"/>
      <c r="Q566" s="625"/>
      <c r="R566" s="625"/>
      <c r="S566" s="625"/>
      <c r="T566" s="625"/>
      <c r="U566" s="625"/>
      <c r="V566" s="625"/>
      <c r="W566" s="625"/>
      <c r="X566" s="625"/>
      <c r="Y566" s="625"/>
      <c r="Z566" s="625"/>
    </row>
    <row r="567">
      <c r="A567" s="625"/>
      <c r="B567" s="625"/>
      <c r="C567" s="625"/>
      <c r="D567" s="625"/>
      <c r="E567" s="625"/>
      <c r="F567" s="625"/>
      <c r="G567" s="625"/>
      <c r="H567" s="625"/>
      <c r="I567" s="625"/>
      <c r="J567" s="625"/>
      <c r="K567" s="625"/>
      <c r="L567" s="625"/>
      <c r="M567" s="625"/>
      <c r="N567" s="625"/>
      <c r="O567" s="625"/>
      <c r="P567" s="625"/>
      <c r="Q567" s="625"/>
      <c r="R567" s="625"/>
      <c r="S567" s="625"/>
      <c r="T567" s="625"/>
      <c r="U567" s="625"/>
      <c r="V567" s="625"/>
      <c r="W567" s="625"/>
      <c r="X567" s="625"/>
      <c r="Y567" s="625"/>
      <c r="Z567" s="625"/>
    </row>
    <row r="568">
      <c r="A568" s="625"/>
      <c r="B568" s="625"/>
      <c r="C568" s="625"/>
      <c r="D568" s="625"/>
      <c r="E568" s="625"/>
      <c r="F568" s="625"/>
      <c r="G568" s="625"/>
      <c r="H568" s="625"/>
      <c r="I568" s="625"/>
      <c r="J568" s="625"/>
      <c r="K568" s="625"/>
      <c r="L568" s="625"/>
      <c r="M568" s="625"/>
      <c r="N568" s="625"/>
      <c r="O568" s="625"/>
      <c r="P568" s="625"/>
      <c r="Q568" s="625"/>
      <c r="R568" s="625"/>
      <c r="S568" s="625"/>
      <c r="T568" s="625"/>
      <c r="U568" s="625"/>
      <c r="V568" s="625"/>
      <c r="W568" s="625"/>
      <c r="X568" s="625"/>
      <c r="Y568" s="625"/>
      <c r="Z568" s="625"/>
    </row>
    <row r="569">
      <c r="A569" s="625"/>
      <c r="B569" s="625"/>
      <c r="C569" s="625"/>
      <c r="D569" s="625"/>
      <c r="E569" s="625"/>
      <c r="F569" s="625"/>
      <c r="G569" s="625"/>
      <c r="H569" s="625"/>
      <c r="I569" s="625"/>
      <c r="J569" s="625"/>
      <c r="K569" s="625"/>
      <c r="L569" s="625"/>
      <c r="M569" s="625"/>
      <c r="N569" s="625"/>
      <c r="O569" s="625"/>
      <c r="P569" s="625"/>
      <c r="Q569" s="625"/>
      <c r="R569" s="625"/>
      <c r="S569" s="625"/>
      <c r="T569" s="625"/>
      <c r="U569" s="625"/>
      <c r="V569" s="625"/>
      <c r="W569" s="625"/>
      <c r="X569" s="625"/>
      <c r="Y569" s="625"/>
      <c r="Z569" s="625"/>
    </row>
    <row r="570">
      <c r="A570" s="625"/>
      <c r="B570" s="625"/>
      <c r="C570" s="625"/>
      <c r="D570" s="625"/>
      <c r="E570" s="625"/>
      <c r="F570" s="625"/>
      <c r="G570" s="625"/>
      <c r="H570" s="625"/>
      <c r="I570" s="625"/>
      <c r="J570" s="625"/>
      <c r="K570" s="625"/>
      <c r="L570" s="625"/>
      <c r="M570" s="625"/>
      <c r="N570" s="625"/>
      <c r="O570" s="625"/>
      <c r="P570" s="625"/>
      <c r="Q570" s="625"/>
      <c r="R570" s="625"/>
      <c r="S570" s="625"/>
      <c r="T570" s="625"/>
      <c r="U570" s="625"/>
      <c r="V570" s="625"/>
      <c r="W570" s="625"/>
      <c r="X570" s="625"/>
      <c r="Y570" s="625"/>
      <c r="Z570" s="625"/>
    </row>
    <row r="571">
      <c r="A571" s="625"/>
      <c r="B571" s="625"/>
      <c r="C571" s="625"/>
      <c r="D571" s="625"/>
      <c r="E571" s="625"/>
      <c r="F571" s="625"/>
      <c r="G571" s="625"/>
      <c r="H571" s="625"/>
      <c r="I571" s="625"/>
      <c r="J571" s="625"/>
      <c r="K571" s="625"/>
      <c r="L571" s="625"/>
      <c r="M571" s="625"/>
      <c r="N571" s="625"/>
      <c r="O571" s="625"/>
      <c r="P571" s="625"/>
      <c r="Q571" s="625"/>
      <c r="R571" s="625"/>
      <c r="S571" s="625"/>
      <c r="T571" s="625"/>
      <c r="U571" s="625"/>
      <c r="V571" s="625"/>
      <c r="W571" s="625"/>
      <c r="X571" s="625"/>
      <c r="Y571" s="625"/>
      <c r="Z571" s="625"/>
    </row>
    <row r="572">
      <c r="A572" s="625"/>
      <c r="B572" s="625"/>
      <c r="C572" s="625"/>
      <c r="D572" s="625"/>
      <c r="E572" s="625"/>
      <c r="F572" s="625"/>
      <c r="G572" s="625"/>
      <c r="H572" s="625"/>
      <c r="I572" s="625"/>
      <c r="J572" s="625"/>
      <c r="K572" s="625"/>
      <c r="L572" s="625"/>
      <c r="M572" s="625"/>
      <c r="N572" s="625"/>
      <c r="O572" s="625"/>
      <c r="P572" s="625"/>
      <c r="Q572" s="625"/>
      <c r="R572" s="625"/>
      <c r="S572" s="625"/>
      <c r="T572" s="625"/>
      <c r="U572" s="625"/>
      <c r="V572" s="625"/>
      <c r="W572" s="625"/>
      <c r="X572" s="625"/>
      <c r="Y572" s="625"/>
      <c r="Z572" s="625"/>
    </row>
    <row r="573">
      <c r="A573" s="625"/>
      <c r="B573" s="625"/>
      <c r="C573" s="625"/>
      <c r="D573" s="625"/>
      <c r="E573" s="625"/>
      <c r="F573" s="625"/>
      <c r="G573" s="625"/>
      <c r="H573" s="625"/>
      <c r="I573" s="625"/>
      <c r="J573" s="625"/>
      <c r="K573" s="625"/>
      <c r="L573" s="625"/>
      <c r="M573" s="625"/>
      <c r="N573" s="625"/>
      <c r="O573" s="625"/>
      <c r="P573" s="625"/>
      <c r="Q573" s="625"/>
      <c r="R573" s="625"/>
      <c r="S573" s="625"/>
      <c r="T573" s="625"/>
      <c r="U573" s="625"/>
      <c r="V573" s="625"/>
      <c r="W573" s="625"/>
      <c r="X573" s="625"/>
      <c r="Y573" s="625"/>
      <c r="Z573" s="625"/>
    </row>
    <row r="574">
      <c r="A574" s="625"/>
      <c r="B574" s="625"/>
      <c r="C574" s="625"/>
      <c r="D574" s="625"/>
      <c r="E574" s="625"/>
      <c r="F574" s="625"/>
      <c r="G574" s="625"/>
      <c r="H574" s="625"/>
      <c r="I574" s="625"/>
      <c r="J574" s="625"/>
      <c r="K574" s="625"/>
      <c r="L574" s="625"/>
      <c r="M574" s="625"/>
      <c r="N574" s="625"/>
      <c r="O574" s="625"/>
      <c r="P574" s="625"/>
      <c r="Q574" s="625"/>
      <c r="R574" s="625"/>
      <c r="S574" s="625"/>
      <c r="T574" s="625"/>
      <c r="U574" s="625"/>
      <c r="V574" s="625"/>
      <c r="W574" s="625"/>
      <c r="X574" s="625"/>
      <c r="Y574" s="625"/>
      <c r="Z574" s="625"/>
    </row>
    <row r="575">
      <c r="A575" s="625"/>
      <c r="B575" s="625"/>
      <c r="C575" s="625"/>
      <c r="D575" s="625"/>
      <c r="E575" s="625"/>
      <c r="F575" s="625"/>
      <c r="G575" s="625"/>
      <c r="H575" s="625"/>
      <c r="I575" s="625"/>
      <c r="J575" s="625"/>
      <c r="K575" s="625"/>
      <c r="L575" s="625"/>
      <c r="M575" s="625"/>
      <c r="N575" s="625"/>
      <c r="O575" s="625"/>
      <c r="P575" s="625"/>
      <c r="Q575" s="625"/>
      <c r="R575" s="625"/>
      <c r="S575" s="625"/>
      <c r="T575" s="625"/>
      <c r="U575" s="625"/>
      <c r="V575" s="625"/>
      <c r="W575" s="625"/>
      <c r="X575" s="625"/>
      <c r="Y575" s="625"/>
      <c r="Z575" s="625"/>
    </row>
    <row r="576">
      <c r="A576" s="625"/>
      <c r="B576" s="625"/>
      <c r="C576" s="625"/>
      <c r="D576" s="625"/>
      <c r="E576" s="625"/>
      <c r="F576" s="625"/>
      <c r="G576" s="625"/>
      <c r="H576" s="625"/>
      <c r="I576" s="625"/>
      <c r="J576" s="625"/>
      <c r="K576" s="625"/>
      <c r="L576" s="625"/>
      <c r="M576" s="625"/>
      <c r="N576" s="625"/>
      <c r="O576" s="625"/>
      <c r="P576" s="625"/>
      <c r="Q576" s="625"/>
      <c r="R576" s="625"/>
      <c r="S576" s="625"/>
      <c r="T576" s="625"/>
      <c r="U576" s="625"/>
      <c r="V576" s="625"/>
      <c r="W576" s="625"/>
      <c r="X576" s="625"/>
      <c r="Y576" s="625"/>
      <c r="Z576" s="625"/>
    </row>
    <row r="577">
      <c r="A577" s="625"/>
      <c r="B577" s="625"/>
      <c r="C577" s="625"/>
      <c r="D577" s="625"/>
      <c r="E577" s="625"/>
      <c r="F577" s="625"/>
      <c r="G577" s="625"/>
      <c r="H577" s="625"/>
      <c r="I577" s="625"/>
      <c r="J577" s="625"/>
      <c r="K577" s="625"/>
      <c r="L577" s="625"/>
      <c r="M577" s="625"/>
      <c r="N577" s="625"/>
      <c r="O577" s="625"/>
      <c r="P577" s="625"/>
      <c r="Q577" s="625"/>
      <c r="R577" s="625"/>
      <c r="S577" s="625"/>
      <c r="T577" s="625"/>
      <c r="U577" s="625"/>
      <c r="V577" s="625"/>
      <c r="W577" s="625"/>
      <c r="X577" s="625"/>
      <c r="Y577" s="625"/>
      <c r="Z577" s="625"/>
    </row>
    <row r="578">
      <c r="A578" s="625"/>
      <c r="B578" s="625"/>
      <c r="C578" s="625"/>
      <c r="D578" s="625"/>
      <c r="E578" s="625"/>
      <c r="F578" s="625"/>
      <c r="G578" s="625"/>
      <c r="H578" s="625"/>
      <c r="I578" s="625"/>
      <c r="J578" s="625"/>
      <c r="K578" s="625"/>
      <c r="L578" s="625"/>
      <c r="M578" s="625"/>
      <c r="N578" s="625"/>
      <c r="O578" s="625"/>
      <c r="P578" s="625"/>
      <c r="Q578" s="625"/>
      <c r="R578" s="625"/>
      <c r="S578" s="625"/>
      <c r="T578" s="625"/>
      <c r="U578" s="625"/>
      <c r="V578" s="625"/>
      <c r="W578" s="625"/>
      <c r="X578" s="625"/>
      <c r="Y578" s="625"/>
      <c r="Z578" s="625"/>
    </row>
    <row r="579">
      <c r="A579" s="625"/>
      <c r="B579" s="625"/>
      <c r="C579" s="625"/>
      <c r="D579" s="625"/>
      <c r="E579" s="625"/>
      <c r="F579" s="625"/>
      <c r="G579" s="625"/>
      <c r="H579" s="625"/>
      <c r="I579" s="625"/>
      <c r="J579" s="625"/>
      <c r="K579" s="625"/>
      <c r="L579" s="625"/>
      <c r="M579" s="625"/>
      <c r="N579" s="625"/>
      <c r="O579" s="625"/>
      <c r="P579" s="625"/>
      <c r="Q579" s="625"/>
      <c r="R579" s="625"/>
      <c r="S579" s="625"/>
      <c r="T579" s="625"/>
      <c r="U579" s="625"/>
      <c r="V579" s="625"/>
      <c r="W579" s="625"/>
      <c r="X579" s="625"/>
      <c r="Y579" s="625"/>
      <c r="Z579" s="625"/>
    </row>
    <row r="580">
      <c r="A580" s="625"/>
      <c r="B580" s="625"/>
      <c r="C580" s="625"/>
      <c r="D580" s="625"/>
      <c r="E580" s="625"/>
      <c r="F580" s="625"/>
      <c r="G580" s="625"/>
      <c r="H580" s="625"/>
      <c r="I580" s="625"/>
      <c r="J580" s="625"/>
      <c r="K580" s="625"/>
      <c r="L580" s="625"/>
      <c r="M580" s="625"/>
      <c r="N580" s="625"/>
      <c r="O580" s="625"/>
      <c r="P580" s="625"/>
      <c r="Q580" s="625"/>
      <c r="R580" s="625"/>
      <c r="S580" s="625"/>
      <c r="T580" s="625"/>
      <c r="U580" s="625"/>
      <c r="V580" s="625"/>
      <c r="W580" s="625"/>
      <c r="X580" s="625"/>
      <c r="Y580" s="625"/>
      <c r="Z580" s="625"/>
    </row>
    <row r="581">
      <c r="A581" s="625"/>
      <c r="B581" s="625"/>
      <c r="C581" s="625"/>
      <c r="D581" s="625"/>
      <c r="E581" s="625"/>
      <c r="F581" s="625"/>
      <c r="G581" s="625"/>
      <c r="H581" s="625"/>
      <c r="I581" s="625"/>
      <c r="J581" s="625"/>
      <c r="K581" s="625"/>
      <c r="L581" s="625"/>
      <c r="M581" s="625"/>
      <c r="N581" s="625"/>
      <c r="O581" s="625"/>
      <c r="P581" s="625"/>
      <c r="Q581" s="625"/>
      <c r="R581" s="625"/>
      <c r="S581" s="625"/>
      <c r="T581" s="625"/>
      <c r="U581" s="625"/>
      <c r="V581" s="625"/>
      <c r="W581" s="625"/>
      <c r="X581" s="625"/>
      <c r="Y581" s="625"/>
      <c r="Z581" s="625"/>
    </row>
    <row r="582">
      <c r="A582" s="625"/>
      <c r="B582" s="625"/>
      <c r="C582" s="625"/>
      <c r="D582" s="625"/>
      <c r="E582" s="625"/>
      <c r="F582" s="625"/>
      <c r="G582" s="625"/>
      <c r="H582" s="625"/>
      <c r="I582" s="625"/>
      <c r="J582" s="625"/>
      <c r="K582" s="625"/>
      <c r="L582" s="625"/>
      <c r="M582" s="625"/>
      <c r="N582" s="625"/>
      <c r="O582" s="625"/>
      <c r="P582" s="625"/>
      <c r="Q582" s="625"/>
      <c r="R582" s="625"/>
      <c r="S582" s="625"/>
      <c r="T582" s="625"/>
      <c r="U582" s="625"/>
      <c r="V582" s="625"/>
      <c r="W582" s="625"/>
      <c r="X582" s="625"/>
      <c r="Y582" s="625"/>
      <c r="Z582" s="625"/>
    </row>
    <row r="583">
      <c r="A583" s="625"/>
      <c r="B583" s="625"/>
      <c r="C583" s="625"/>
      <c r="D583" s="625"/>
      <c r="E583" s="625"/>
      <c r="F583" s="625"/>
      <c r="G583" s="625"/>
      <c r="H583" s="625"/>
      <c r="I583" s="625"/>
      <c r="J583" s="625"/>
      <c r="K583" s="625"/>
      <c r="L583" s="625"/>
      <c r="M583" s="625"/>
      <c r="N583" s="625"/>
      <c r="O583" s="625"/>
      <c r="P583" s="625"/>
      <c r="Q583" s="625"/>
      <c r="R583" s="625"/>
      <c r="S583" s="625"/>
      <c r="T583" s="625"/>
      <c r="U583" s="625"/>
      <c r="V583" s="625"/>
      <c r="W583" s="625"/>
      <c r="X583" s="625"/>
      <c r="Y583" s="625"/>
      <c r="Z583" s="625"/>
    </row>
    <row r="584">
      <c r="A584" s="625"/>
      <c r="B584" s="625"/>
      <c r="C584" s="625"/>
      <c r="D584" s="625"/>
      <c r="E584" s="625"/>
      <c r="F584" s="625"/>
      <c r="G584" s="625"/>
      <c r="H584" s="625"/>
      <c r="I584" s="625"/>
      <c r="J584" s="625"/>
      <c r="K584" s="625"/>
      <c r="L584" s="625"/>
      <c r="M584" s="625"/>
      <c r="N584" s="625"/>
      <c r="O584" s="625"/>
      <c r="P584" s="625"/>
      <c r="Q584" s="625"/>
      <c r="R584" s="625"/>
      <c r="S584" s="625"/>
      <c r="T584" s="625"/>
      <c r="U584" s="625"/>
      <c r="V584" s="625"/>
      <c r="W584" s="625"/>
      <c r="X584" s="625"/>
      <c r="Y584" s="625"/>
      <c r="Z584" s="625"/>
    </row>
    <row r="585">
      <c r="A585" s="625"/>
      <c r="B585" s="625"/>
      <c r="C585" s="625"/>
      <c r="D585" s="625"/>
      <c r="E585" s="625"/>
      <c r="F585" s="625"/>
      <c r="G585" s="625"/>
      <c r="H585" s="625"/>
      <c r="I585" s="625"/>
      <c r="J585" s="625"/>
      <c r="K585" s="625"/>
      <c r="L585" s="625"/>
      <c r="M585" s="625"/>
      <c r="N585" s="625"/>
      <c r="O585" s="625"/>
      <c r="P585" s="625"/>
      <c r="Q585" s="625"/>
      <c r="R585" s="625"/>
      <c r="S585" s="625"/>
      <c r="T585" s="625"/>
      <c r="U585" s="625"/>
      <c r="V585" s="625"/>
      <c r="W585" s="625"/>
      <c r="X585" s="625"/>
      <c r="Y585" s="625"/>
      <c r="Z585" s="625"/>
    </row>
    <row r="586">
      <c r="A586" s="625"/>
      <c r="B586" s="625"/>
      <c r="C586" s="625"/>
      <c r="D586" s="625"/>
      <c r="E586" s="625"/>
      <c r="F586" s="625"/>
      <c r="G586" s="625"/>
      <c r="H586" s="625"/>
      <c r="I586" s="625"/>
      <c r="J586" s="625"/>
      <c r="K586" s="625"/>
      <c r="L586" s="625"/>
      <c r="M586" s="625"/>
      <c r="N586" s="625"/>
      <c r="O586" s="625"/>
      <c r="P586" s="625"/>
      <c r="Q586" s="625"/>
      <c r="R586" s="625"/>
      <c r="S586" s="625"/>
      <c r="T586" s="625"/>
      <c r="U586" s="625"/>
      <c r="V586" s="625"/>
      <c r="W586" s="625"/>
      <c r="X586" s="625"/>
      <c r="Y586" s="625"/>
      <c r="Z586" s="625"/>
    </row>
    <row r="587">
      <c r="A587" s="625"/>
      <c r="B587" s="625"/>
      <c r="C587" s="625"/>
      <c r="D587" s="625"/>
      <c r="E587" s="625"/>
      <c r="F587" s="625"/>
      <c r="G587" s="625"/>
      <c r="H587" s="625"/>
      <c r="I587" s="625"/>
      <c r="J587" s="625"/>
      <c r="K587" s="625"/>
      <c r="L587" s="625"/>
      <c r="M587" s="625"/>
      <c r="N587" s="625"/>
      <c r="O587" s="625"/>
      <c r="P587" s="625"/>
      <c r="Q587" s="625"/>
      <c r="R587" s="625"/>
      <c r="S587" s="625"/>
      <c r="T587" s="625"/>
      <c r="U587" s="625"/>
      <c r="V587" s="625"/>
      <c r="W587" s="625"/>
      <c r="X587" s="625"/>
      <c r="Y587" s="625"/>
      <c r="Z587" s="625"/>
    </row>
    <row r="588">
      <c r="A588" s="625"/>
      <c r="B588" s="625"/>
      <c r="C588" s="625"/>
      <c r="D588" s="625"/>
      <c r="E588" s="625"/>
      <c r="F588" s="625"/>
      <c r="G588" s="625"/>
      <c r="H588" s="625"/>
      <c r="I588" s="625"/>
      <c r="J588" s="625"/>
      <c r="K588" s="625"/>
      <c r="L588" s="625"/>
      <c r="M588" s="625"/>
      <c r="N588" s="625"/>
      <c r="O588" s="625"/>
      <c r="P588" s="625"/>
      <c r="Q588" s="625"/>
      <c r="R588" s="625"/>
      <c r="S588" s="625"/>
      <c r="T588" s="625"/>
      <c r="U588" s="625"/>
      <c r="V588" s="625"/>
      <c r="W588" s="625"/>
      <c r="X588" s="625"/>
      <c r="Y588" s="625"/>
      <c r="Z588" s="625"/>
    </row>
    <row r="589">
      <c r="A589" s="625"/>
      <c r="B589" s="625"/>
      <c r="C589" s="625"/>
      <c r="D589" s="625"/>
      <c r="E589" s="625"/>
      <c r="F589" s="625"/>
      <c r="G589" s="625"/>
      <c r="H589" s="625"/>
      <c r="I589" s="625"/>
      <c r="J589" s="625"/>
      <c r="K589" s="625"/>
      <c r="L589" s="625"/>
      <c r="M589" s="625"/>
      <c r="N589" s="625"/>
      <c r="O589" s="625"/>
      <c r="P589" s="625"/>
      <c r="Q589" s="625"/>
      <c r="R589" s="625"/>
      <c r="S589" s="625"/>
      <c r="T589" s="625"/>
      <c r="U589" s="625"/>
      <c r="V589" s="625"/>
      <c r="W589" s="625"/>
      <c r="X589" s="625"/>
      <c r="Y589" s="625"/>
      <c r="Z589" s="625"/>
    </row>
    <row r="590">
      <c r="A590" s="625"/>
      <c r="B590" s="625"/>
      <c r="C590" s="625"/>
      <c r="D590" s="625"/>
      <c r="E590" s="625"/>
      <c r="F590" s="625"/>
      <c r="G590" s="625"/>
      <c r="H590" s="625"/>
      <c r="I590" s="625"/>
      <c r="J590" s="625"/>
      <c r="K590" s="625"/>
      <c r="L590" s="625"/>
      <c r="M590" s="625"/>
      <c r="N590" s="625"/>
      <c r="O590" s="625"/>
      <c r="P590" s="625"/>
      <c r="Q590" s="625"/>
      <c r="R590" s="625"/>
      <c r="S590" s="625"/>
      <c r="T590" s="625"/>
      <c r="U590" s="625"/>
      <c r="V590" s="625"/>
      <c r="W590" s="625"/>
      <c r="X590" s="625"/>
      <c r="Y590" s="625"/>
      <c r="Z590" s="625"/>
    </row>
    <row r="591">
      <c r="A591" s="625"/>
      <c r="B591" s="625"/>
      <c r="C591" s="625"/>
      <c r="D591" s="625"/>
      <c r="E591" s="625"/>
      <c r="F591" s="625"/>
      <c r="G591" s="625"/>
      <c r="H591" s="625"/>
      <c r="I591" s="625"/>
      <c r="J591" s="625"/>
      <c r="K591" s="625"/>
      <c r="L591" s="625"/>
      <c r="M591" s="625"/>
      <c r="N591" s="625"/>
      <c r="O591" s="625"/>
      <c r="P591" s="625"/>
      <c r="Q591" s="625"/>
      <c r="R591" s="625"/>
      <c r="S591" s="625"/>
      <c r="T591" s="625"/>
      <c r="U591" s="625"/>
      <c r="V591" s="625"/>
      <c r="W591" s="625"/>
      <c r="X591" s="625"/>
      <c r="Y591" s="625"/>
      <c r="Z591" s="625"/>
    </row>
    <row r="592">
      <c r="A592" s="625"/>
      <c r="B592" s="625"/>
      <c r="C592" s="625"/>
      <c r="D592" s="625"/>
      <c r="E592" s="625"/>
      <c r="F592" s="625"/>
      <c r="G592" s="625"/>
      <c r="H592" s="625"/>
      <c r="I592" s="625"/>
      <c r="J592" s="625"/>
      <c r="K592" s="625"/>
      <c r="L592" s="625"/>
      <c r="M592" s="625"/>
      <c r="N592" s="625"/>
      <c r="O592" s="625"/>
      <c r="P592" s="625"/>
      <c r="Q592" s="625"/>
      <c r="R592" s="625"/>
      <c r="S592" s="625"/>
      <c r="T592" s="625"/>
      <c r="U592" s="625"/>
      <c r="V592" s="625"/>
      <c r="W592" s="625"/>
      <c r="X592" s="625"/>
      <c r="Y592" s="625"/>
      <c r="Z592" s="625"/>
    </row>
    <row r="593">
      <c r="A593" s="625"/>
      <c r="B593" s="625"/>
      <c r="C593" s="625"/>
      <c r="D593" s="625"/>
      <c r="E593" s="625"/>
      <c r="F593" s="625"/>
      <c r="G593" s="625"/>
      <c r="H593" s="625"/>
      <c r="I593" s="625"/>
      <c r="J593" s="625"/>
      <c r="K593" s="625"/>
      <c r="L593" s="625"/>
      <c r="M593" s="625"/>
      <c r="N593" s="625"/>
      <c r="O593" s="625"/>
      <c r="P593" s="625"/>
      <c r="Q593" s="625"/>
      <c r="R593" s="625"/>
      <c r="S593" s="625"/>
      <c r="T593" s="625"/>
      <c r="U593" s="625"/>
      <c r="V593" s="625"/>
      <c r="W593" s="625"/>
      <c r="X593" s="625"/>
      <c r="Y593" s="625"/>
      <c r="Z593" s="625"/>
    </row>
    <row r="594">
      <c r="A594" s="625"/>
      <c r="B594" s="625"/>
      <c r="C594" s="625"/>
      <c r="D594" s="625"/>
      <c r="E594" s="625"/>
      <c r="F594" s="625"/>
      <c r="G594" s="625"/>
      <c r="H594" s="625"/>
      <c r="I594" s="625"/>
      <c r="J594" s="625"/>
      <c r="K594" s="625"/>
      <c r="L594" s="625"/>
      <c r="M594" s="625"/>
      <c r="N594" s="625"/>
      <c r="O594" s="625"/>
      <c r="P594" s="625"/>
      <c r="Q594" s="625"/>
      <c r="R594" s="625"/>
      <c r="S594" s="625"/>
      <c r="T594" s="625"/>
      <c r="U594" s="625"/>
      <c r="V594" s="625"/>
      <c r="W594" s="625"/>
      <c r="X594" s="625"/>
      <c r="Y594" s="625"/>
      <c r="Z594" s="625"/>
    </row>
    <row r="595">
      <c r="A595" s="625"/>
      <c r="B595" s="625"/>
      <c r="C595" s="625"/>
      <c r="D595" s="625"/>
      <c r="E595" s="625"/>
      <c r="F595" s="625"/>
      <c r="G595" s="625"/>
      <c r="H595" s="625"/>
      <c r="I595" s="625"/>
      <c r="J595" s="625"/>
      <c r="K595" s="625"/>
      <c r="L595" s="625"/>
      <c r="M595" s="625"/>
      <c r="N595" s="625"/>
      <c r="O595" s="625"/>
      <c r="P595" s="625"/>
      <c r="Q595" s="625"/>
      <c r="R595" s="625"/>
      <c r="S595" s="625"/>
      <c r="T595" s="625"/>
      <c r="U595" s="625"/>
      <c r="V595" s="625"/>
      <c r="W595" s="625"/>
      <c r="X595" s="625"/>
      <c r="Y595" s="625"/>
      <c r="Z595" s="625"/>
    </row>
    <row r="596">
      <c r="A596" s="625"/>
      <c r="B596" s="625"/>
      <c r="C596" s="625"/>
      <c r="D596" s="625"/>
      <c r="E596" s="625"/>
      <c r="F596" s="625"/>
      <c r="G596" s="625"/>
      <c r="H596" s="625"/>
      <c r="I596" s="625"/>
      <c r="J596" s="625"/>
      <c r="K596" s="625"/>
      <c r="L596" s="625"/>
      <c r="M596" s="625"/>
      <c r="N596" s="625"/>
      <c r="O596" s="625"/>
      <c r="P596" s="625"/>
      <c r="Q596" s="625"/>
      <c r="R596" s="625"/>
      <c r="S596" s="625"/>
      <c r="T596" s="625"/>
      <c r="U596" s="625"/>
      <c r="V596" s="625"/>
      <c r="W596" s="625"/>
      <c r="X596" s="625"/>
      <c r="Y596" s="625"/>
      <c r="Z596" s="625"/>
    </row>
    <row r="597">
      <c r="A597" s="625"/>
      <c r="B597" s="625"/>
      <c r="C597" s="625"/>
      <c r="D597" s="625"/>
      <c r="E597" s="625"/>
      <c r="F597" s="625"/>
      <c r="G597" s="625"/>
      <c r="H597" s="625"/>
      <c r="I597" s="625"/>
      <c r="J597" s="625"/>
      <c r="K597" s="625"/>
      <c r="L597" s="625"/>
      <c r="M597" s="625"/>
      <c r="N597" s="625"/>
      <c r="O597" s="625"/>
      <c r="P597" s="625"/>
      <c r="Q597" s="625"/>
      <c r="R597" s="625"/>
      <c r="S597" s="625"/>
      <c r="T597" s="625"/>
      <c r="U597" s="625"/>
      <c r="V597" s="625"/>
      <c r="W597" s="625"/>
      <c r="X597" s="625"/>
      <c r="Y597" s="625"/>
      <c r="Z597" s="625"/>
    </row>
    <row r="598">
      <c r="A598" s="625"/>
      <c r="B598" s="625"/>
      <c r="C598" s="625"/>
      <c r="D598" s="625"/>
      <c r="E598" s="625"/>
      <c r="F598" s="625"/>
      <c r="G598" s="625"/>
      <c r="H598" s="625"/>
      <c r="I598" s="625"/>
      <c r="J598" s="625"/>
      <c r="K598" s="625"/>
      <c r="L598" s="625"/>
      <c r="M598" s="625"/>
      <c r="N598" s="625"/>
      <c r="O598" s="625"/>
      <c r="P598" s="625"/>
      <c r="Q598" s="625"/>
      <c r="R598" s="625"/>
      <c r="S598" s="625"/>
      <c r="T598" s="625"/>
      <c r="U598" s="625"/>
      <c r="V598" s="625"/>
      <c r="W598" s="625"/>
      <c r="X598" s="625"/>
      <c r="Y598" s="625"/>
      <c r="Z598" s="625"/>
    </row>
    <row r="599">
      <c r="A599" s="625"/>
      <c r="B599" s="625"/>
      <c r="C599" s="625"/>
      <c r="D599" s="625"/>
      <c r="E599" s="625"/>
      <c r="F599" s="625"/>
      <c r="G599" s="625"/>
      <c r="H599" s="625"/>
      <c r="I599" s="625"/>
      <c r="J599" s="625"/>
      <c r="K599" s="625"/>
      <c r="L599" s="625"/>
      <c r="M599" s="625"/>
      <c r="N599" s="625"/>
      <c r="O599" s="625"/>
      <c r="P599" s="625"/>
      <c r="Q599" s="625"/>
      <c r="R599" s="625"/>
      <c r="S599" s="625"/>
      <c r="T599" s="625"/>
      <c r="U599" s="625"/>
      <c r="V599" s="625"/>
      <c r="W599" s="625"/>
      <c r="X599" s="625"/>
      <c r="Y599" s="625"/>
      <c r="Z599" s="625"/>
    </row>
    <row r="600">
      <c r="A600" s="625"/>
      <c r="B600" s="625"/>
      <c r="C600" s="625"/>
      <c r="D600" s="625"/>
      <c r="E600" s="625"/>
      <c r="F600" s="625"/>
      <c r="G600" s="625"/>
      <c r="H600" s="625"/>
      <c r="I600" s="625"/>
      <c r="J600" s="625"/>
      <c r="K600" s="625"/>
      <c r="L600" s="625"/>
      <c r="M600" s="625"/>
      <c r="N600" s="625"/>
      <c r="O600" s="625"/>
      <c r="P600" s="625"/>
      <c r="Q600" s="625"/>
      <c r="R600" s="625"/>
      <c r="S600" s="625"/>
      <c r="T600" s="625"/>
      <c r="U600" s="625"/>
      <c r="V600" s="625"/>
      <c r="W600" s="625"/>
      <c r="X600" s="625"/>
      <c r="Y600" s="625"/>
      <c r="Z600" s="625"/>
    </row>
    <row r="601">
      <c r="A601" s="625"/>
      <c r="B601" s="625"/>
      <c r="C601" s="625"/>
      <c r="D601" s="625"/>
      <c r="E601" s="625"/>
      <c r="F601" s="625"/>
      <c r="G601" s="625"/>
      <c r="H601" s="625"/>
      <c r="I601" s="625"/>
      <c r="J601" s="625"/>
      <c r="K601" s="625"/>
      <c r="L601" s="625"/>
      <c r="M601" s="625"/>
      <c r="N601" s="625"/>
      <c r="O601" s="625"/>
      <c r="P601" s="625"/>
      <c r="Q601" s="625"/>
      <c r="R601" s="625"/>
      <c r="S601" s="625"/>
      <c r="T601" s="625"/>
      <c r="U601" s="625"/>
      <c r="V601" s="625"/>
      <c r="W601" s="625"/>
      <c r="X601" s="625"/>
      <c r="Y601" s="625"/>
      <c r="Z601" s="625"/>
    </row>
    <row r="602">
      <c r="A602" s="625"/>
      <c r="B602" s="625"/>
      <c r="C602" s="625"/>
      <c r="D602" s="625"/>
      <c r="E602" s="625"/>
      <c r="F602" s="625"/>
      <c r="G602" s="625"/>
      <c r="H602" s="625"/>
      <c r="I602" s="625"/>
      <c r="J602" s="625"/>
      <c r="K602" s="625"/>
      <c r="L602" s="625"/>
      <c r="M602" s="625"/>
      <c r="N602" s="625"/>
      <c r="O602" s="625"/>
      <c r="P602" s="625"/>
      <c r="Q602" s="625"/>
      <c r="R602" s="625"/>
      <c r="S602" s="625"/>
      <c r="T602" s="625"/>
      <c r="U602" s="625"/>
      <c r="V602" s="625"/>
      <c r="W602" s="625"/>
      <c r="X602" s="625"/>
      <c r="Y602" s="625"/>
      <c r="Z602" s="625"/>
    </row>
    <row r="603">
      <c r="A603" s="625"/>
      <c r="B603" s="625"/>
      <c r="C603" s="625"/>
      <c r="D603" s="625"/>
      <c r="E603" s="625"/>
      <c r="F603" s="625"/>
      <c r="G603" s="625"/>
      <c r="H603" s="625"/>
      <c r="I603" s="625"/>
      <c r="J603" s="625"/>
      <c r="K603" s="625"/>
      <c r="L603" s="625"/>
      <c r="M603" s="625"/>
      <c r="N603" s="625"/>
      <c r="O603" s="625"/>
      <c r="P603" s="625"/>
      <c r="Q603" s="625"/>
      <c r="R603" s="625"/>
      <c r="S603" s="625"/>
      <c r="T603" s="625"/>
      <c r="U603" s="625"/>
      <c r="V603" s="625"/>
      <c r="W603" s="625"/>
      <c r="X603" s="625"/>
      <c r="Y603" s="625"/>
      <c r="Z603" s="625"/>
    </row>
    <row r="604">
      <c r="A604" s="625"/>
      <c r="B604" s="625"/>
      <c r="C604" s="625"/>
      <c r="D604" s="625"/>
      <c r="E604" s="625"/>
      <c r="F604" s="625"/>
      <c r="G604" s="625"/>
      <c r="H604" s="625"/>
      <c r="I604" s="625"/>
      <c r="J604" s="625"/>
      <c r="K604" s="625"/>
      <c r="L604" s="625"/>
      <c r="M604" s="625"/>
      <c r="N604" s="625"/>
      <c r="O604" s="625"/>
      <c r="P604" s="625"/>
      <c r="Q604" s="625"/>
      <c r="R604" s="625"/>
      <c r="S604" s="625"/>
      <c r="T604" s="625"/>
      <c r="U604" s="625"/>
      <c r="V604" s="625"/>
      <c r="W604" s="625"/>
      <c r="X604" s="625"/>
      <c r="Y604" s="625"/>
      <c r="Z604" s="625"/>
    </row>
    <row r="605">
      <c r="A605" s="625"/>
      <c r="B605" s="625"/>
      <c r="C605" s="625"/>
      <c r="D605" s="625"/>
      <c r="E605" s="625"/>
      <c r="F605" s="625"/>
      <c r="G605" s="625"/>
      <c r="H605" s="625"/>
      <c r="I605" s="625"/>
      <c r="J605" s="625"/>
      <c r="K605" s="625"/>
      <c r="L605" s="625"/>
      <c r="M605" s="625"/>
      <c r="N605" s="625"/>
      <c r="O605" s="625"/>
      <c r="P605" s="625"/>
      <c r="Q605" s="625"/>
      <c r="R605" s="625"/>
      <c r="S605" s="625"/>
      <c r="T605" s="625"/>
      <c r="U605" s="625"/>
      <c r="V605" s="625"/>
      <c r="W605" s="625"/>
      <c r="X605" s="625"/>
      <c r="Y605" s="625"/>
      <c r="Z605" s="625"/>
    </row>
    <row r="606">
      <c r="A606" s="625"/>
      <c r="B606" s="625"/>
      <c r="C606" s="625"/>
      <c r="D606" s="625"/>
      <c r="E606" s="625"/>
      <c r="F606" s="625"/>
      <c r="G606" s="625"/>
      <c r="H606" s="625"/>
      <c r="I606" s="625"/>
      <c r="J606" s="625"/>
      <c r="K606" s="625"/>
      <c r="L606" s="625"/>
      <c r="M606" s="625"/>
      <c r="N606" s="625"/>
      <c r="O606" s="625"/>
      <c r="P606" s="625"/>
      <c r="Q606" s="625"/>
      <c r="R606" s="625"/>
      <c r="S606" s="625"/>
      <c r="T606" s="625"/>
      <c r="U606" s="625"/>
      <c r="V606" s="625"/>
      <c r="W606" s="625"/>
      <c r="X606" s="625"/>
      <c r="Y606" s="625"/>
      <c r="Z606" s="625"/>
    </row>
    <row r="607">
      <c r="A607" s="625"/>
      <c r="B607" s="625"/>
      <c r="C607" s="625"/>
      <c r="D607" s="625"/>
      <c r="E607" s="625"/>
      <c r="F607" s="625"/>
      <c r="G607" s="625"/>
      <c r="H607" s="625"/>
      <c r="I607" s="625"/>
      <c r="J607" s="625"/>
      <c r="K607" s="625"/>
      <c r="L607" s="625"/>
      <c r="M607" s="625"/>
      <c r="N607" s="625"/>
      <c r="O607" s="625"/>
      <c r="P607" s="625"/>
      <c r="Q607" s="625"/>
      <c r="R607" s="625"/>
      <c r="S607" s="625"/>
      <c r="T607" s="625"/>
      <c r="U607" s="625"/>
      <c r="V607" s="625"/>
      <c r="W607" s="625"/>
      <c r="X607" s="625"/>
      <c r="Y607" s="625"/>
      <c r="Z607" s="625"/>
    </row>
    <row r="608">
      <c r="A608" s="625"/>
      <c r="B608" s="625"/>
      <c r="C608" s="625"/>
      <c r="D608" s="625"/>
      <c r="E608" s="625"/>
      <c r="F608" s="625"/>
      <c r="G608" s="625"/>
      <c r="H608" s="625"/>
      <c r="I608" s="625"/>
      <c r="J608" s="625"/>
      <c r="K608" s="625"/>
      <c r="L608" s="625"/>
      <c r="M608" s="625"/>
      <c r="N608" s="625"/>
      <c r="O608" s="625"/>
      <c r="P608" s="625"/>
      <c r="Q608" s="625"/>
      <c r="R608" s="625"/>
      <c r="S608" s="625"/>
      <c r="T608" s="625"/>
      <c r="U608" s="625"/>
      <c r="V608" s="625"/>
      <c r="W608" s="625"/>
      <c r="X608" s="625"/>
      <c r="Y608" s="625"/>
      <c r="Z608" s="625"/>
    </row>
    <row r="609">
      <c r="A609" s="625"/>
      <c r="B609" s="625"/>
      <c r="C609" s="625"/>
      <c r="D609" s="625"/>
      <c r="E609" s="625"/>
      <c r="F609" s="625"/>
      <c r="G609" s="625"/>
      <c r="H609" s="625"/>
      <c r="I609" s="625"/>
      <c r="J609" s="625"/>
      <c r="K609" s="625"/>
      <c r="L609" s="625"/>
      <c r="M609" s="625"/>
      <c r="N609" s="625"/>
      <c r="O609" s="625"/>
      <c r="P609" s="625"/>
      <c r="Q609" s="625"/>
      <c r="R609" s="625"/>
      <c r="S609" s="625"/>
      <c r="T609" s="625"/>
      <c r="U609" s="625"/>
      <c r="V609" s="625"/>
      <c r="W609" s="625"/>
      <c r="X609" s="625"/>
      <c r="Y609" s="625"/>
      <c r="Z609" s="625"/>
    </row>
    <row r="610">
      <c r="A610" s="625"/>
      <c r="B610" s="625"/>
      <c r="C610" s="625"/>
      <c r="D610" s="625"/>
      <c r="E610" s="625"/>
      <c r="F610" s="625"/>
      <c r="G610" s="625"/>
      <c r="H610" s="625"/>
      <c r="I610" s="625"/>
      <c r="J610" s="625"/>
      <c r="K610" s="625"/>
      <c r="L610" s="625"/>
      <c r="M610" s="625"/>
      <c r="N610" s="625"/>
      <c r="O610" s="625"/>
      <c r="P610" s="625"/>
      <c r="Q610" s="625"/>
      <c r="R610" s="625"/>
      <c r="S610" s="625"/>
      <c r="T610" s="625"/>
      <c r="U610" s="625"/>
      <c r="V610" s="625"/>
      <c r="W610" s="625"/>
      <c r="X610" s="625"/>
      <c r="Y610" s="625"/>
      <c r="Z610" s="625"/>
    </row>
    <row r="611">
      <c r="A611" s="625"/>
      <c r="B611" s="625"/>
      <c r="C611" s="625"/>
      <c r="D611" s="625"/>
      <c r="E611" s="625"/>
      <c r="F611" s="625"/>
      <c r="G611" s="625"/>
      <c r="H611" s="625"/>
      <c r="I611" s="625"/>
      <c r="J611" s="625"/>
      <c r="K611" s="625"/>
      <c r="L611" s="625"/>
      <c r="M611" s="625"/>
      <c r="N611" s="625"/>
      <c r="O611" s="625"/>
      <c r="P611" s="625"/>
      <c r="Q611" s="625"/>
      <c r="R611" s="625"/>
      <c r="S611" s="625"/>
      <c r="T611" s="625"/>
      <c r="U611" s="625"/>
      <c r="V611" s="625"/>
      <c r="W611" s="625"/>
      <c r="X611" s="625"/>
      <c r="Y611" s="625"/>
      <c r="Z611" s="625"/>
    </row>
    <row r="612">
      <c r="A612" s="625"/>
      <c r="B612" s="625"/>
      <c r="C612" s="625"/>
      <c r="D612" s="625"/>
      <c r="E612" s="625"/>
      <c r="F612" s="625"/>
      <c r="G612" s="625"/>
      <c r="H612" s="625"/>
      <c r="I612" s="625"/>
      <c r="J612" s="625"/>
      <c r="K612" s="625"/>
      <c r="L612" s="625"/>
      <c r="M612" s="625"/>
      <c r="N612" s="625"/>
      <c r="O612" s="625"/>
      <c r="P612" s="625"/>
      <c r="Q612" s="625"/>
      <c r="R612" s="625"/>
      <c r="S612" s="625"/>
      <c r="T612" s="625"/>
      <c r="U612" s="625"/>
      <c r="V612" s="625"/>
      <c r="W612" s="625"/>
      <c r="X612" s="625"/>
      <c r="Y612" s="625"/>
      <c r="Z612" s="625"/>
    </row>
    <row r="613">
      <c r="A613" s="625"/>
      <c r="B613" s="625"/>
      <c r="C613" s="625"/>
      <c r="D613" s="625"/>
      <c r="E613" s="625"/>
      <c r="F613" s="625"/>
      <c r="G613" s="625"/>
      <c r="H613" s="625"/>
      <c r="I613" s="625"/>
      <c r="J613" s="625"/>
      <c r="K613" s="625"/>
      <c r="L613" s="625"/>
      <c r="M613" s="625"/>
      <c r="N613" s="625"/>
      <c r="O613" s="625"/>
      <c r="P613" s="625"/>
      <c r="Q613" s="625"/>
      <c r="R613" s="625"/>
      <c r="S613" s="625"/>
      <c r="T613" s="625"/>
      <c r="U613" s="625"/>
      <c r="V613" s="625"/>
      <c r="W613" s="625"/>
      <c r="X613" s="625"/>
      <c r="Y613" s="625"/>
      <c r="Z613" s="625"/>
    </row>
    <row r="614">
      <c r="A614" s="625"/>
      <c r="B614" s="625"/>
      <c r="C614" s="625"/>
      <c r="D614" s="625"/>
      <c r="E614" s="625"/>
      <c r="F614" s="625"/>
      <c r="G614" s="625"/>
      <c r="H614" s="625"/>
      <c r="I614" s="625"/>
      <c r="J614" s="625"/>
      <c r="K614" s="625"/>
      <c r="L614" s="625"/>
      <c r="M614" s="625"/>
      <c r="N614" s="625"/>
      <c r="O614" s="625"/>
      <c r="P614" s="625"/>
      <c r="Q614" s="625"/>
      <c r="R614" s="625"/>
      <c r="S614" s="625"/>
      <c r="T614" s="625"/>
      <c r="U614" s="625"/>
      <c r="V614" s="625"/>
      <c r="W614" s="625"/>
      <c r="X614" s="625"/>
      <c r="Y614" s="625"/>
      <c r="Z614" s="625"/>
    </row>
    <row r="615">
      <c r="A615" s="625"/>
      <c r="B615" s="625"/>
      <c r="C615" s="625"/>
      <c r="D615" s="625"/>
      <c r="E615" s="625"/>
      <c r="F615" s="625"/>
      <c r="G615" s="625"/>
      <c r="H615" s="625"/>
      <c r="I615" s="625"/>
      <c r="J615" s="625"/>
      <c r="K615" s="625"/>
      <c r="L615" s="625"/>
      <c r="M615" s="625"/>
      <c r="N615" s="625"/>
      <c r="O615" s="625"/>
      <c r="P615" s="625"/>
      <c r="Q615" s="625"/>
      <c r="R615" s="625"/>
      <c r="S615" s="625"/>
      <c r="T615" s="625"/>
      <c r="U615" s="625"/>
      <c r="V615" s="625"/>
      <c r="W615" s="625"/>
      <c r="X615" s="625"/>
      <c r="Y615" s="625"/>
      <c r="Z615" s="625"/>
    </row>
    <row r="616">
      <c r="A616" s="625"/>
      <c r="B616" s="625"/>
      <c r="C616" s="625"/>
      <c r="D616" s="625"/>
      <c r="E616" s="625"/>
      <c r="F616" s="625"/>
      <c r="G616" s="625"/>
      <c r="H616" s="625"/>
      <c r="I616" s="625"/>
      <c r="J616" s="625"/>
      <c r="K616" s="625"/>
      <c r="L616" s="625"/>
      <c r="M616" s="625"/>
      <c r="N616" s="625"/>
      <c r="O616" s="625"/>
      <c r="P616" s="625"/>
      <c r="Q616" s="625"/>
      <c r="R616" s="625"/>
      <c r="S616" s="625"/>
      <c r="T616" s="625"/>
      <c r="U616" s="625"/>
      <c r="V616" s="625"/>
      <c r="W616" s="625"/>
      <c r="X616" s="625"/>
      <c r="Y616" s="625"/>
      <c r="Z616" s="625"/>
    </row>
    <row r="617">
      <c r="A617" s="625"/>
      <c r="B617" s="625"/>
      <c r="C617" s="625"/>
      <c r="D617" s="625"/>
      <c r="E617" s="625"/>
      <c r="F617" s="625"/>
      <c r="G617" s="625"/>
      <c r="H617" s="625"/>
      <c r="I617" s="625"/>
      <c r="J617" s="625"/>
      <c r="K617" s="625"/>
      <c r="L617" s="625"/>
      <c r="M617" s="625"/>
      <c r="N617" s="625"/>
      <c r="O617" s="625"/>
      <c r="P617" s="625"/>
      <c r="Q617" s="625"/>
      <c r="R617" s="625"/>
      <c r="S617" s="625"/>
      <c r="T617" s="625"/>
      <c r="U617" s="625"/>
      <c r="V617" s="625"/>
      <c r="W617" s="625"/>
      <c r="X617" s="625"/>
      <c r="Y617" s="625"/>
      <c r="Z617" s="625"/>
    </row>
    <row r="618">
      <c r="A618" s="625"/>
      <c r="B618" s="625"/>
      <c r="C618" s="625"/>
      <c r="D618" s="625"/>
      <c r="E618" s="625"/>
      <c r="F618" s="625"/>
      <c r="G618" s="625"/>
      <c r="H618" s="625"/>
      <c r="I618" s="625"/>
      <c r="J618" s="625"/>
      <c r="K618" s="625"/>
      <c r="L618" s="625"/>
      <c r="M618" s="625"/>
      <c r="N618" s="625"/>
      <c r="O618" s="625"/>
      <c r="P618" s="625"/>
      <c r="Q618" s="625"/>
      <c r="R618" s="625"/>
      <c r="S618" s="625"/>
      <c r="T618" s="625"/>
      <c r="U618" s="625"/>
      <c r="V618" s="625"/>
      <c r="W618" s="625"/>
      <c r="X618" s="625"/>
      <c r="Y618" s="625"/>
      <c r="Z618" s="625"/>
    </row>
    <row r="619">
      <c r="A619" s="625"/>
      <c r="B619" s="625"/>
      <c r="C619" s="625"/>
      <c r="D619" s="625"/>
      <c r="E619" s="625"/>
      <c r="F619" s="625"/>
      <c r="G619" s="625"/>
      <c r="H619" s="625"/>
      <c r="I619" s="625"/>
      <c r="J619" s="625"/>
      <c r="K619" s="625"/>
      <c r="L619" s="625"/>
      <c r="M619" s="625"/>
      <c r="N619" s="625"/>
      <c r="O619" s="625"/>
      <c r="P619" s="625"/>
      <c r="Q619" s="625"/>
      <c r="R619" s="625"/>
      <c r="S619" s="625"/>
      <c r="T619" s="625"/>
      <c r="U619" s="625"/>
      <c r="V619" s="625"/>
      <c r="W619" s="625"/>
      <c r="X619" s="625"/>
      <c r="Y619" s="625"/>
      <c r="Z619" s="625"/>
    </row>
    <row r="620">
      <c r="A620" s="625"/>
      <c r="B620" s="625"/>
      <c r="C620" s="625"/>
      <c r="D620" s="625"/>
      <c r="E620" s="625"/>
      <c r="F620" s="625"/>
      <c r="G620" s="625"/>
      <c r="H620" s="625"/>
      <c r="I620" s="625"/>
      <c r="J620" s="625"/>
      <c r="K620" s="625"/>
      <c r="L620" s="625"/>
      <c r="M620" s="625"/>
      <c r="N620" s="625"/>
      <c r="O620" s="625"/>
      <c r="P620" s="625"/>
      <c r="Q620" s="625"/>
      <c r="R620" s="625"/>
      <c r="S620" s="625"/>
      <c r="T620" s="625"/>
      <c r="U620" s="625"/>
      <c r="V620" s="625"/>
      <c r="W620" s="625"/>
      <c r="X620" s="625"/>
      <c r="Y620" s="625"/>
      <c r="Z620" s="625"/>
    </row>
    <row r="621">
      <c r="A621" s="625"/>
      <c r="B621" s="625"/>
      <c r="C621" s="625"/>
      <c r="D621" s="625"/>
      <c r="E621" s="625"/>
      <c r="F621" s="625"/>
      <c r="G621" s="625"/>
      <c r="H621" s="625"/>
      <c r="I621" s="625"/>
      <c r="J621" s="625"/>
      <c r="K621" s="625"/>
      <c r="L621" s="625"/>
      <c r="M621" s="625"/>
      <c r="N621" s="625"/>
      <c r="O621" s="625"/>
      <c r="P621" s="625"/>
      <c r="Q621" s="625"/>
      <c r="R621" s="625"/>
      <c r="S621" s="625"/>
      <c r="T621" s="625"/>
      <c r="U621" s="625"/>
      <c r="V621" s="625"/>
      <c r="W621" s="625"/>
      <c r="X621" s="625"/>
      <c r="Y621" s="625"/>
      <c r="Z621" s="625"/>
    </row>
    <row r="622">
      <c r="A622" s="625"/>
      <c r="B622" s="625"/>
      <c r="C622" s="625"/>
      <c r="D622" s="625"/>
      <c r="E622" s="625"/>
      <c r="F622" s="625"/>
      <c r="G622" s="625"/>
      <c r="H622" s="625"/>
      <c r="I622" s="625"/>
      <c r="J622" s="625"/>
      <c r="K622" s="625"/>
      <c r="L622" s="625"/>
      <c r="M622" s="625"/>
      <c r="N622" s="625"/>
      <c r="O622" s="625"/>
      <c r="P622" s="625"/>
      <c r="Q622" s="625"/>
      <c r="R622" s="625"/>
      <c r="S622" s="625"/>
      <c r="T622" s="625"/>
      <c r="U622" s="625"/>
      <c r="V622" s="625"/>
      <c r="W622" s="625"/>
      <c r="X622" s="625"/>
      <c r="Y622" s="625"/>
      <c r="Z622" s="625"/>
    </row>
    <row r="623">
      <c r="A623" s="625"/>
      <c r="B623" s="625"/>
      <c r="C623" s="625"/>
      <c r="D623" s="625"/>
      <c r="E623" s="625"/>
      <c r="F623" s="625"/>
      <c r="G623" s="625"/>
      <c r="H623" s="625"/>
      <c r="I623" s="625"/>
      <c r="J623" s="625"/>
      <c r="K623" s="625"/>
      <c r="L623" s="625"/>
      <c r="M623" s="625"/>
      <c r="N623" s="625"/>
      <c r="O623" s="625"/>
      <c r="P623" s="625"/>
      <c r="Q623" s="625"/>
      <c r="R623" s="625"/>
      <c r="S623" s="625"/>
      <c r="T623" s="625"/>
      <c r="U623" s="625"/>
      <c r="V623" s="625"/>
      <c r="W623" s="625"/>
      <c r="X623" s="625"/>
      <c r="Y623" s="625"/>
      <c r="Z623" s="625"/>
    </row>
    <row r="624">
      <c r="A624" s="625"/>
      <c r="B624" s="625"/>
      <c r="C624" s="625"/>
      <c r="D624" s="625"/>
      <c r="E624" s="625"/>
      <c r="F624" s="625"/>
      <c r="G624" s="625"/>
      <c r="H624" s="625"/>
      <c r="I624" s="625"/>
      <c r="J624" s="625"/>
      <c r="K624" s="625"/>
      <c r="L624" s="625"/>
      <c r="M624" s="625"/>
      <c r="N624" s="625"/>
      <c r="O624" s="625"/>
      <c r="P624" s="625"/>
      <c r="Q624" s="625"/>
      <c r="R624" s="625"/>
      <c r="S624" s="625"/>
      <c r="T624" s="625"/>
      <c r="U624" s="625"/>
      <c r="V624" s="625"/>
      <c r="W624" s="625"/>
      <c r="X624" s="625"/>
      <c r="Y624" s="625"/>
      <c r="Z624" s="625"/>
    </row>
    <row r="625">
      <c r="A625" s="625"/>
      <c r="B625" s="625"/>
      <c r="C625" s="625"/>
      <c r="D625" s="625"/>
      <c r="E625" s="625"/>
      <c r="F625" s="625"/>
      <c r="G625" s="625"/>
      <c r="H625" s="625"/>
      <c r="I625" s="625"/>
      <c r="J625" s="625"/>
      <c r="K625" s="625"/>
      <c r="L625" s="625"/>
      <c r="M625" s="625"/>
      <c r="N625" s="625"/>
      <c r="O625" s="625"/>
      <c r="P625" s="625"/>
      <c r="Q625" s="625"/>
      <c r="R625" s="625"/>
      <c r="S625" s="625"/>
      <c r="T625" s="625"/>
      <c r="U625" s="625"/>
      <c r="V625" s="625"/>
      <c r="W625" s="625"/>
      <c r="X625" s="625"/>
      <c r="Y625" s="625"/>
      <c r="Z625" s="625"/>
    </row>
    <row r="626">
      <c r="A626" s="625"/>
      <c r="B626" s="625"/>
      <c r="C626" s="625"/>
      <c r="D626" s="625"/>
      <c r="E626" s="625"/>
      <c r="F626" s="625"/>
      <c r="G626" s="625"/>
      <c r="H626" s="625"/>
      <c r="I626" s="625"/>
      <c r="J626" s="625"/>
      <c r="K626" s="625"/>
      <c r="L626" s="625"/>
      <c r="M626" s="625"/>
      <c r="N626" s="625"/>
      <c r="O626" s="625"/>
      <c r="P626" s="625"/>
      <c r="Q626" s="625"/>
      <c r="R626" s="625"/>
      <c r="S626" s="625"/>
      <c r="T626" s="625"/>
      <c r="U626" s="625"/>
      <c r="V626" s="625"/>
      <c r="W626" s="625"/>
      <c r="X626" s="625"/>
      <c r="Y626" s="625"/>
      <c r="Z626" s="625"/>
    </row>
    <row r="627">
      <c r="A627" s="625"/>
      <c r="B627" s="625"/>
      <c r="C627" s="625"/>
      <c r="D627" s="625"/>
      <c r="E627" s="625"/>
      <c r="F627" s="625"/>
      <c r="G627" s="625"/>
      <c r="H627" s="625"/>
      <c r="I627" s="625"/>
      <c r="J627" s="625"/>
      <c r="K627" s="625"/>
      <c r="L627" s="625"/>
      <c r="M627" s="625"/>
      <c r="N627" s="625"/>
      <c r="O627" s="625"/>
      <c r="P627" s="625"/>
      <c r="Q627" s="625"/>
      <c r="R627" s="625"/>
      <c r="S627" s="625"/>
      <c r="T627" s="625"/>
      <c r="U627" s="625"/>
      <c r="V627" s="625"/>
      <c r="W627" s="625"/>
      <c r="X627" s="625"/>
      <c r="Y627" s="625"/>
      <c r="Z627" s="625"/>
    </row>
    <row r="628">
      <c r="A628" s="625"/>
      <c r="B628" s="625"/>
      <c r="C628" s="625"/>
      <c r="D628" s="625"/>
      <c r="E628" s="625"/>
      <c r="F628" s="625"/>
      <c r="G628" s="625"/>
      <c r="H628" s="625"/>
      <c r="I628" s="625"/>
      <c r="J628" s="625"/>
      <c r="K628" s="625"/>
      <c r="L628" s="625"/>
      <c r="M628" s="625"/>
      <c r="N628" s="625"/>
      <c r="O628" s="625"/>
      <c r="P628" s="625"/>
      <c r="Q628" s="625"/>
      <c r="R628" s="625"/>
      <c r="S628" s="625"/>
      <c r="T628" s="625"/>
      <c r="U628" s="625"/>
      <c r="V628" s="625"/>
      <c r="W628" s="625"/>
      <c r="X628" s="625"/>
      <c r="Y628" s="625"/>
      <c r="Z628" s="625"/>
    </row>
    <row r="629">
      <c r="A629" s="625"/>
      <c r="B629" s="625"/>
      <c r="C629" s="625"/>
      <c r="D629" s="625"/>
      <c r="E629" s="625"/>
      <c r="F629" s="625"/>
      <c r="G629" s="625"/>
      <c r="H629" s="625"/>
      <c r="I629" s="625"/>
      <c r="J629" s="625"/>
      <c r="K629" s="625"/>
      <c r="L629" s="625"/>
      <c r="M629" s="625"/>
      <c r="N629" s="625"/>
      <c r="O629" s="625"/>
      <c r="P629" s="625"/>
      <c r="Q629" s="625"/>
      <c r="R629" s="625"/>
      <c r="S629" s="625"/>
      <c r="T629" s="625"/>
      <c r="U629" s="625"/>
      <c r="V629" s="625"/>
      <c r="W629" s="625"/>
      <c r="X629" s="625"/>
      <c r="Y629" s="625"/>
      <c r="Z629" s="625"/>
    </row>
    <row r="630">
      <c r="A630" s="625"/>
      <c r="B630" s="625"/>
      <c r="C630" s="625"/>
      <c r="D630" s="625"/>
      <c r="E630" s="625"/>
      <c r="F630" s="625"/>
      <c r="G630" s="625"/>
      <c r="H630" s="625"/>
      <c r="I630" s="625"/>
      <c r="J630" s="625"/>
      <c r="K630" s="625"/>
      <c r="L630" s="625"/>
      <c r="M630" s="625"/>
      <c r="N630" s="625"/>
      <c r="O630" s="625"/>
      <c r="P630" s="625"/>
      <c r="Q630" s="625"/>
      <c r="R630" s="625"/>
      <c r="S630" s="625"/>
      <c r="T630" s="625"/>
      <c r="U630" s="625"/>
      <c r="V630" s="625"/>
      <c r="W630" s="625"/>
      <c r="X630" s="625"/>
      <c r="Y630" s="625"/>
      <c r="Z630" s="625"/>
    </row>
    <row r="631">
      <c r="A631" s="625"/>
      <c r="B631" s="625"/>
      <c r="C631" s="625"/>
      <c r="D631" s="625"/>
      <c r="E631" s="625"/>
      <c r="F631" s="625"/>
      <c r="G631" s="625"/>
      <c r="H631" s="625"/>
      <c r="I631" s="625"/>
      <c r="J631" s="625"/>
      <c r="K631" s="625"/>
      <c r="L631" s="625"/>
      <c r="M631" s="625"/>
      <c r="N631" s="625"/>
      <c r="O631" s="625"/>
      <c r="P631" s="625"/>
      <c r="Q631" s="625"/>
      <c r="R631" s="625"/>
      <c r="S631" s="625"/>
      <c r="T631" s="625"/>
      <c r="U631" s="625"/>
      <c r="V631" s="625"/>
      <c r="W631" s="625"/>
      <c r="X631" s="625"/>
      <c r="Y631" s="625"/>
      <c r="Z631" s="625"/>
    </row>
    <row r="632">
      <c r="A632" s="625"/>
      <c r="B632" s="625"/>
      <c r="C632" s="625"/>
      <c r="D632" s="625"/>
      <c r="E632" s="625"/>
      <c r="F632" s="625"/>
      <c r="G632" s="625"/>
      <c r="H632" s="625"/>
      <c r="I632" s="625"/>
      <c r="J632" s="625"/>
      <c r="K632" s="625"/>
      <c r="L632" s="625"/>
      <c r="M632" s="625"/>
      <c r="N632" s="625"/>
      <c r="O632" s="625"/>
      <c r="P632" s="625"/>
      <c r="Q632" s="625"/>
      <c r="R632" s="625"/>
      <c r="S632" s="625"/>
      <c r="T632" s="625"/>
      <c r="U632" s="625"/>
      <c r="V632" s="625"/>
      <c r="W632" s="625"/>
      <c r="X632" s="625"/>
      <c r="Y632" s="625"/>
      <c r="Z632" s="625"/>
    </row>
    <row r="633">
      <c r="A633" s="625"/>
      <c r="B633" s="625"/>
      <c r="C633" s="625"/>
      <c r="D633" s="625"/>
      <c r="E633" s="625"/>
      <c r="F633" s="625"/>
      <c r="G633" s="625"/>
      <c r="H633" s="625"/>
      <c r="I633" s="625"/>
      <c r="J633" s="625"/>
      <c r="K633" s="625"/>
      <c r="L633" s="625"/>
      <c r="M633" s="625"/>
      <c r="N633" s="625"/>
      <c r="O633" s="625"/>
      <c r="P633" s="625"/>
      <c r="Q633" s="625"/>
      <c r="R633" s="625"/>
      <c r="S633" s="625"/>
      <c r="T633" s="625"/>
      <c r="U633" s="625"/>
      <c r="V633" s="625"/>
      <c r="W633" s="625"/>
      <c r="X633" s="625"/>
      <c r="Y633" s="625"/>
      <c r="Z633" s="625"/>
    </row>
    <row r="634">
      <c r="A634" s="625"/>
      <c r="B634" s="625"/>
      <c r="C634" s="625"/>
      <c r="D634" s="625"/>
      <c r="E634" s="625"/>
      <c r="F634" s="625"/>
      <c r="G634" s="625"/>
      <c r="H634" s="625"/>
      <c r="I634" s="625"/>
      <c r="J634" s="625"/>
      <c r="K634" s="625"/>
      <c r="L634" s="625"/>
      <c r="M634" s="625"/>
      <c r="N634" s="625"/>
      <c r="O634" s="625"/>
      <c r="P634" s="625"/>
      <c r="Q634" s="625"/>
      <c r="R634" s="625"/>
      <c r="S634" s="625"/>
      <c r="T634" s="625"/>
      <c r="U634" s="625"/>
      <c r="V634" s="625"/>
      <c r="W634" s="625"/>
      <c r="X634" s="625"/>
      <c r="Y634" s="625"/>
      <c r="Z634" s="625"/>
    </row>
    <row r="635">
      <c r="A635" s="625"/>
      <c r="B635" s="625"/>
      <c r="C635" s="625"/>
      <c r="D635" s="625"/>
      <c r="E635" s="625"/>
      <c r="F635" s="625"/>
      <c r="G635" s="625"/>
      <c r="H635" s="625"/>
      <c r="I635" s="625"/>
      <c r="J635" s="625"/>
      <c r="K635" s="625"/>
      <c r="L635" s="625"/>
      <c r="M635" s="625"/>
      <c r="N635" s="625"/>
      <c r="O635" s="625"/>
      <c r="P635" s="625"/>
      <c r="Q635" s="625"/>
      <c r="R635" s="625"/>
      <c r="S635" s="625"/>
      <c r="T635" s="625"/>
      <c r="U635" s="625"/>
      <c r="V635" s="625"/>
      <c r="W635" s="625"/>
      <c r="X635" s="625"/>
      <c r="Y635" s="625"/>
      <c r="Z635" s="625"/>
    </row>
    <row r="636">
      <c r="A636" s="625"/>
      <c r="B636" s="625"/>
      <c r="C636" s="625"/>
      <c r="D636" s="625"/>
      <c r="E636" s="625"/>
      <c r="F636" s="625"/>
      <c r="G636" s="625"/>
      <c r="H636" s="625"/>
      <c r="I636" s="625"/>
      <c r="J636" s="625"/>
      <c r="K636" s="625"/>
      <c r="L636" s="625"/>
      <c r="M636" s="625"/>
      <c r="N636" s="625"/>
      <c r="O636" s="625"/>
      <c r="P636" s="625"/>
      <c r="Q636" s="625"/>
      <c r="R636" s="625"/>
      <c r="S636" s="625"/>
      <c r="T636" s="625"/>
      <c r="U636" s="625"/>
      <c r="V636" s="625"/>
      <c r="W636" s="625"/>
      <c r="X636" s="625"/>
      <c r="Y636" s="625"/>
      <c r="Z636" s="625"/>
    </row>
    <row r="637">
      <c r="A637" s="625"/>
      <c r="B637" s="625"/>
      <c r="C637" s="625"/>
      <c r="D637" s="625"/>
      <c r="E637" s="625"/>
      <c r="F637" s="625"/>
      <c r="G637" s="625"/>
      <c r="H637" s="625"/>
      <c r="I637" s="625"/>
      <c r="J637" s="625"/>
      <c r="K637" s="625"/>
      <c r="L637" s="625"/>
      <c r="M637" s="625"/>
      <c r="N637" s="625"/>
      <c r="O637" s="625"/>
      <c r="P637" s="625"/>
      <c r="Q637" s="625"/>
      <c r="R637" s="625"/>
      <c r="S637" s="625"/>
      <c r="T637" s="625"/>
      <c r="U637" s="625"/>
      <c r="V637" s="625"/>
      <c r="W637" s="625"/>
      <c r="X637" s="625"/>
      <c r="Y637" s="625"/>
      <c r="Z637" s="625"/>
    </row>
    <row r="638">
      <c r="A638" s="625"/>
      <c r="B638" s="625"/>
      <c r="C638" s="625"/>
      <c r="D638" s="625"/>
      <c r="E638" s="625"/>
      <c r="F638" s="625"/>
      <c r="G638" s="625"/>
      <c r="H638" s="625"/>
      <c r="I638" s="625"/>
      <c r="J638" s="625"/>
      <c r="K638" s="625"/>
      <c r="L638" s="625"/>
      <c r="M638" s="625"/>
      <c r="N638" s="625"/>
      <c r="O638" s="625"/>
      <c r="P638" s="625"/>
      <c r="Q638" s="625"/>
      <c r="R638" s="625"/>
      <c r="S638" s="625"/>
      <c r="T638" s="625"/>
      <c r="U638" s="625"/>
      <c r="V638" s="625"/>
      <c r="W638" s="625"/>
      <c r="X638" s="625"/>
      <c r="Y638" s="625"/>
      <c r="Z638" s="625"/>
    </row>
    <row r="639">
      <c r="A639" s="625"/>
      <c r="B639" s="625"/>
      <c r="C639" s="625"/>
      <c r="D639" s="625"/>
      <c r="E639" s="625"/>
      <c r="F639" s="625"/>
      <c r="G639" s="625"/>
      <c r="H639" s="625"/>
      <c r="I639" s="625"/>
      <c r="J639" s="625"/>
      <c r="K639" s="625"/>
      <c r="L639" s="625"/>
      <c r="M639" s="625"/>
      <c r="N639" s="625"/>
      <c r="O639" s="625"/>
      <c r="P639" s="625"/>
      <c r="Q639" s="625"/>
      <c r="R639" s="625"/>
      <c r="S639" s="625"/>
      <c r="T639" s="625"/>
      <c r="U639" s="625"/>
      <c r="V639" s="625"/>
      <c r="W639" s="625"/>
      <c r="X639" s="625"/>
      <c r="Y639" s="625"/>
      <c r="Z639" s="625"/>
    </row>
    <row r="640">
      <c r="A640" s="625"/>
      <c r="B640" s="625"/>
      <c r="C640" s="625"/>
      <c r="D640" s="625"/>
      <c r="E640" s="625"/>
      <c r="F640" s="625"/>
      <c r="G640" s="625"/>
      <c r="H640" s="625"/>
      <c r="I640" s="625"/>
      <c r="J640" s="625"/>
      <c r="K640" s="625"/>
      <c r="L640" s="625"/>
      <c r="M640" s="625"/>
      <c r="N640" s="625"/>
      <c r="O640" s="625"/>
      <c r="P640" s="625"/>
      <c r="Q640" s="625"/>
      <c r="R640" s="625"/>
      <c r="S640" s="625"/>
      <c r="T640" s="625"/>
      <c r="U640" s="625"/>
      <c r="V640" s="625"/>
      <c r="W640" s="625"/>
      <c r="X640" s="625"/>
      <c r="Y640" s="625"/>
      <c r="Z640" s="625"/>
    </row>
    <row r="641">
      <c r="A641" s="625"/>
      <c r="B641" s="625"/>
      <c r="C641" s="625"/>
      <c r="D641" s="625"/>
      <c r="E641" s="625"/>
      <c r="F641" s="625"/>
      <c r="G641" s="625"/>
      <c r="H641" s="625"/>
      <c r="I641" s="625"/>
      <c r="J641" s="625"/>
      <c r="K641" s="625"/>
      <c r="L641" s="625"/>
      <c r="M641" s="625"/>
      <c r="N641" s="625"/>
      <c r="O641" s="625"/>
      <c r="P641" s="625"/>
      <c r="Q641" s="625"/>
      <c r="R641" s="625"/>
      <c r="S641" s="625"/>
      <c r="T641" s="625"/>
      <c r="U641" s="625"/>
      <c r="V641" s="625"/>
      <c r="W641" s="625"/>
      <c r="X641" s="625"/>
      <c r="Y641" s="625"/>
      <c r="Z641" s="625"/>
    </row>
    <row r="642">
      <c r="A642" s="625"/>
      <c r="B642" s="625"/>
      <c r="C642" s="625"/>
      <c r="D642" s="625"/>
      <c r="E642" s="625"/>
      <c r="F642" s="625"/>
      <c r="G642" s="625"/>
      <c r="H642" s="625"/>
      <c r="I642" s="625"/>
      <c r="J642" s="625"/>
      <c r="K642" s="625"/>
      <c r="L642" s="625"/>
      <c r="M642" s="625"/>
      <c r="N642" s="625"/>
      <c r="O642" s="625"/>
      <c r="P642" s="625"/>
      <c r="Q642" s="625"/>
      <c r="R642" s="625"/>
      <c r="S642" s="625"/>
      <c r="T642" s="625"/>
      <c r="U642" s="625"/>
      <c r="V642" s="625"/>
      <c r="W642" s="625"/>
      <c r="X642" s="625"/>
      <c r="Y642" s="625"/>
      <c r="Z642" s="625"/>
    </row>
    <row r="643">
      <c r="A643" s="625"/>
      <c r="B643" s="625"/>
      <c r="C643" s="625"/>
      <c r="D643" s="625"/>
      <c r="E643" s="625"/>
      <c r="F643" s="625"/>
      <c r="G643" s="625"/>
      <c r="H643" s="625"/>
      <c r="I643" s="625"/>
      <c r="J643" s="625"/>
      <c r="K643" s="625"/>
      <c r="L643" s="625"/>
      <c r="M643" s="625"/>
      <c r="N643" s="625"/>
      <c r="O643" s="625"/>
      <c r="P643" s="625"/>
      <c r="Q643" s="625"/>
      <c r="R643" s="625"/>
      <c r="S643" s="625"/>
      <c r="T643" s="625"/>
      <c r="U643" s="625"/>
      <c r="V643" s="625"/>
      <c r="W643" s="625"/>
      <c r="X643" s="625"/>
      <c r="Y643" s="625"/>
      <c r="Z643" s="625"/>
    </row>
    <row r="644">
      <c r="A644" s="625"/>
      <c r="B644" s="625"/>
      <c r="C644" s="625"/>
      <c r="D644" s="625"/>
      <c r="E644" s="625"/>
      <c r="F644" s="625"/>
      <c r="G644" s="625"/>
      <c r="H644" s="625"/>
      <c r="I644" s="625"/>
      <c r="J644" s="625"/>
      <c r="K644" s="625"/>
      <c r="L644" s="625"/>
      <c r="M644" s="625"/>
      <c r="N644" s="625"/>
      <c r="O644" s="625"/>
      <c r="P644" s="625"/>
      <c r="Q644" s="625"/>
      <c r="R644" s="625"/>
      <c r="S644" s="625"/>
      <c r="T644" s="625"/>
      <c r="U644" s="625"/>
      <c r="V644" s="625"/>
      <c r="W644" s="625"/>
      <c r="X644" s="625"/>
      <c r="Y644" s="625"/>
      <c r="Z644" s="625"/>
    </row>
    <row r="645">
      <c r="A645" s="625"/>
      <c r="B645" s="625"/>
      <c r="C645" s="625"/>
      <c r="D645" s="625"/>
      <c r="E645" s="625"/>
      <c r="F645" s="625"/>
      <c r="G645" s="625"/>
      <c r="H645" s="625"/>
      <c r="I645" s="625"/>
      <c r="J645" s="625"/>
      <c r="K645" s="625"/>
      <c r="L645" s="625"/>
      <c r="M645" s="625"/>
      <c r="N645" s="625"/>
      <c r="O645" s="625"/>
      <c r="P645" s="625"/>
      <c r="Q645" s="625"/>
      <c r="R645" s="625"/>
      <c r="S645" s="625"/>
      <c r="T645" s="625"/>
      <c r="U645" s="625"/>
      <c r="V645" s="625"/>
      <c r="W645" s="625"/>
      <c r="X645" s="625"/>
      <c r="Y645" s="625"/>
      <c r="Z645" s="625"/>
    </row>
    <row r="646">
      <c r="A646" s="625"/>
      <c r="B646" s="625"/>
      <c r="C646" s="625"/>
      <c r="D646" s="625"/>
      <c r="E646" s="625"/>
      <c r="F646" s="625"/>
      <c r="G646" s="625"/>
      <c r="H646" s="625"/>
      <c r="I646" s="625"/>
      <c r="J646" s="625"/>
      <c r="K646" s="625"/>
      <c r="L646" s="625"/>
      <c r="M646" s="625"/>
      <c r="N646" s="625"/>
      <c r="O646" s="625"/>
      <c r="P646" s="625"/>
      <c r="Q646" s="625"/>
      <c r="R646" s="625"/>
      <c r="S646" s="625"/>
      <c r="T646" s="625"/>
      <c r="U646" s="625"/>
      <c r="V646" s="625"/>
      <c r="W646" s="625"/>
      <c r="X646" s="625"/>
      <c r="Y646" s="625"/>
      <c r="Z646" s="625"/>
    </row>
    <row r="647">
      <c r="A647" s="625"/>
      <c r="B647" s="625"/>
      <c r="C647" s="625"/>
      <c r="D647" s="625"/>
      <c r="E647" s="625"/>
      <c r="F647" s="625"/>
      <c r="G647" s="625"/>
      <c r="H647" s="625"/>
      <c r="I647" s="625"/>
      <c r="J647" s="625"/>
      <c r="K647" s="625"/>
      <c r="L647" s="625"/>
      <c r="M647" s="625"/>
      <c r="N647" s="625"/>
      <c r="O647" s="625"/>
      <c r="P647" s="625"/>
      <c r="Q647" s="625"/>
      <c r="R647" s="625"/>
      <c r="S647" s="625"/>
      <c r="T647" s="625"/>
      <c r="U647" s="625"/>
      <c r="V647" s="625"/>
      <c r="W647" s="625"/>
      <c r="X647" s="625"/>
      <c r="Y647" s="625"/>
      <c r="Z647" s="625"/>
    </row>
    <row r="648">
      <c r="A648" s="625"/>
      <c r="B648" s="625"/>
      <c r="C648" s="625"/>
      <c r="D648" s="625"/>
      <c r="E648" s="625"/>
      <c r="F648" s="625"/>
      <c r="G648" s="625"/>
      <c r="H648" s="625"/>
      <c r="I648" s="625"/>
      <c r="J648" s="625"/>
      <c r="K648" s="625"/>
      <c r="L648" s="625"/>
      <c r="M648" s="625"/>
      <c r="N648" s="625"/>
      <c r="O648" s="625"/>
      <c r="P648" s="625"/>
      <c r="Q648" s="625"/>
      <c r="R648" s="625"/>
      <c r="S648" s="625"/>
      <c r="T648" s="625"/>
      <c r="U648" s="625"/>
      <c r="V648" s="625"/>
      <c r="W648" s="625"/>
      <c r="X648" s="625"/>
      <c r="Y648" s="625"/>
      <c r="Z648" s="625"/>
    </row>
    <row r="649">
      <c r="A649" s="625"/>
      <c r="B649" s="625"/>
      <c r="C649" s="625"/>
      <c r="D649" s="625"/>
      <c r="E649" s="625"/>
      <c r="F649" s="625"/>
      <c r="G649" s="625"/>
      <c r="H649" s="625"/>
      <c r="I649" s="625"/>
      <c r="J649" s="625"/>
      <c r="K649" s="625"/>
      <c r="L649" s="625"/>
      <c r="M649" s="625"/>
      <c r="N649" s="625"/>
      <c r="O649" s="625"/>
      <c r="P649" s="625"/>
      <c r="Q649" s="625"/>
      <c r="R649" s="625"/>
      <c r="S649" s="625"/>
      <c r="T649" s="625"/>
      <c r="U649" s="625"/>
      <c r="V649" s="625"/>
      <c r="W649" s="625"/>
      <c r="X649" s="625"/>
      <c r="Y649" s="625"/>
      <c r="Z649" s="625"/>
    </row>
    <row r="650">
      <c r="A650" s="625"/>
      <c r="B650" s="625"/>
      <c r="C650" s="625"/>
      <c r="D650" s="625"/>
      <c r="E650" s="625"/>
      <c r="F650" s="625"/>
      <c r="G650" s="625"/>
      <c r="H650" s="625"/>
      <c r="I650" s="625"/>
      <c r="J650" s="625"/>
      <c r="K650" s="625"/>
      <c r="L650" s="625"/>
      <c r="M650" s="625"/>
      <c r="N650" s="625"/>
      <c r="O650" s="625"/>
      <c r="P650" s="625"/>
      <c r="Q650" s="625"/>
      <c r="R650" s="625"/>
      <c r="S650" s="625"/>
      <c r="T650" s="625"/>
      <c r="U650" s="625"/>
      <c r="V650" s="625"/>
      <c r="W650" s="625"/>
      <c r="X650" s="625"/>
      <c r="Y650" s="625"/>
      <c r="Z650" s="625"/>
    </row>
    <row r="651">
      <c r="A651" s="625"/>
      <c r="B651" s="625"/>
      <c r="C651" s="625"/>
      <c r="D651" s="625"/>
      <c r="E651" s="625"/>
      <c r="F651" s="625"/>
      <c r="G651" s="625"/>
      <c r="H651" s="625"/>
      <c r="I651" s="625"/>
      <c r="J651" s="625"/>
      <c r="K651" s="625"/>
      <c r="L651" s="625"/>
      <c r="M651" s="625"/>
      <c r="N651" s="625"/>
      <c r="O651" s="625"/>
      <c r="P651" s="625"/>
      <c r="Q651" s="625"/>
      <c r="R651" s="625"/>
      <c r="S651" s="625"/>
      <c r="T651" s="625"/>
      <c r="U651" s="625"/>
      <c r="V651" s="625"/>
      <c r="W651" s="625"/>
      <c r="X651" s="625"/>
      <c r="Y651" s="625"/>
      <c r="Z651" s="625"/>
    </row>
    <row r="652">
      <c r="A652" s="625"/>
      <c r="B652" s="625"/>
      <c r="C652" s="625"/>
      <c r="D652" s="625"/>
      <c r="E652" s="625"/>
      <c r="F652" s="625"/>
      <c r="G652" s="625"/>
      <c r="H652" s="625"/>
      <c r="I652" s="625"/>
      <c r="J652" s="625"/>
      <c r="K652" s="625"/>
      <c r="L652" s="625"/>
      <c r="M652" s="625"/>
      <c r="N652" s="625"/>
      <c r="O652" s="625"/>
      <c r="P652" s="625"/>
      <c r="Q652" s="625"/>
      <c r="R652" s="625"/>
      <c r="S652" s="625"/>
      <c r="T652" s="625"/>
      <c r="U652" s="625"/>
      <c r="V652" s="625"/>
      <c r="W652" s="625"/>
      <c r="X652" s="625"/>
      <c r="Y652" s="625"/>
      <c r="Z652" s="625"/>
    </row>
    <row r="653">
      <c r="A653" s="625"/>
      <c r="B653" s="625"/>
      <c r="C653" s="625"/>
      <c r="D653" s="625"/>
      <c r="E653" s="625"/>
      <c r="F653" s="625"/>
      <c r="G653" s="625"/>
      <c r="H653" s="625"/>
      <c r="I653" s="625"/>
      <c r="J653" s="625"/>
      <c r="K653" s="625"/>
      <c r="L653" s="625"/>
      <c r="M653" s="625"/>
      <c r="N653" s="625"/>
      <c r="O653" s="625"/>
      <c r="P653" s="625"/>
      <c r="Q653" s="625"/>
      <c r="R653" s="625"/>
      <c r="S653" s="625"/>
      <c r="T653" s="625"/>
      <c r="U653" s="625"/>
      <c r="V653" s="625"/>
      <c r="W653" s="625"/>
      <c r="X653" s="625"/>
      <c r="Y653" s="625"/>
      <c r="Z653" s="625"/>
    </row>
    <row r="654">
      <c r="A654" s="625"/>
      <c r="B654" s="625"/>
      <c r="C654" s="625"/>
      <c r="D654" s="625"/>
      <c r="E654" s="625"/>
      <c r="F654" s="625"/>
      <c r="G654" s="625"/>
      <c r="H654" s="625"/>
      <c r="I654" s="625"/>
      <c r="J654" s="625"/>
      <c r="K654" s="625"/>
      <c r="L654" s="625"/>
      <c r="M654" s="625"/>
      <c r="N654" s="625"/>
      <c r="O654" s="625"/>
      <c r="P654" s="625"/>
      <c r="Q654" s="625"/>
      <c r="R654" s="625"/>
      <c r="S654" s="625"/>
      <c r="T654" s="625"/>
      <c r="U654" s="625"/>
      <c r="V654" s="625"/>
      <c r="W654" s="625"/>
      <c r="X654" s="625"/>
      <c r="Y654" s="625"/>
      <c r="Z654" s="625"/>
    </row>
    <row r="655">
      <c r="A655" s="625"/>
      <c r="B655" s="625"/>
      <c r="C655" s="625"/>
      <c r="D655" s="625"/>
      <c r="E655" s="625"/>
      <c r="F655" s="625"/>
      <c r="G655" s="625"/>
      <c r="H655" s="625"/>
      <c r="I655" s="625"/>
      <c r="J655" s="625"/>
      <c r="K655" s="625"/>
      <c r="L655" s="625"/>
      <c r="M655" s="625"/>
      <c r="N655" s="625"/>
      <c r="O655" s="625"/>
      <c r="P655" s="625"/>
      <c r="Q655" s="625"/>
      <c r="R655" s="625"/>
      <c r="S655" s="625"/>
      <c r="T655" s="625"/>
      <c r="U655" s="625"/>
      <c r="V655" s="625"/>
      <c r="W655" s="625"/>
      <c r="X655" s="625"/>
      <c r="Y655" s="625"/>
      <c r="Z655" s="625"/>
    </row>
    <row r="656">
      <c r="A656" s="625"/>
      <c r="B656" s="625"/>
      <c r="C656" s="625"/>
      <c r="D656" s="625"/>
      <c r="E656" s="625"/>
      <c r="F656" s="625"/>
      <c r="G656" s="625"/>
      <c r="H656" s="625"/>
      <c r="I656" s="625"/>
      <c r="J656" s="625"/>
      <c r="K656" s="625"/>
      <c r="L656" s="625"/>
      <c r="M656" s="625"/>
      <c r="N656" s="625"/>
      <c r="O656" s="625"/>
      <c r="P656" s="625"/>
      <c r="Q656" s="625"/>
      <c r="R656" s="625"/>
      <c r="S656" s="625"/>
      <c r="T656" s="625"/>
      <c r="U656" s="625"/>
      <c r="V656" s="625"/>
      <c r="W656" s="625"/>
      <c r="X656" s="625"/>
      <c r="Y656" s="625"/>
      <c r="Z656" s="625"/>
    </row>
    <row r="657">
      <c r="A657" s="625"/>
      <c r="B657" s="625"/>
      <c r="C657" s="625"/>
      <c r="D657" s="625"/>
      <c r="E657" s="625"/>
      <c r="F657" s="625"/>
      <c r="G657" s="625"/>
      <c r="H657" s="625"/>
      <c r="I657" s="625"/>
      <c r="J657" s="625"/>
      <c r="K657" s="625"/>
      <c r="L657" s="625"/>
      <c r="M657" s="625"/>
      <c r="N657" s="625"/>
      <c r="O657" s="625"/>
      <c r="P657" s="625"/>
      <c r="Q657" s="625"/>
      <c r="R657" s="625"/>
      <c r="S657" s="625"/>
      <c r="T657" s="625"/>
      <c r="U657" s="625"/>
      <c r="V657" s="625"/>
      <c r="W657" s="625"/>
      <c r="X657" s="625"/>
      <c r="Y657" s="625"/>
      <c r="Z657" s="625"/>
    </row>
    <row r="658">
      <c r="A658" s="625"/>
      <c r="B658" s="625"/>
      <c r="C658" s="625"/>
      <c r="D658" s="625"/>
      <c r="E658" s="625"/>
      <c r="F658" s="625"/>
      <c r="G658" s="625"/>
      <c r="H658" s="625"/>
      <c r="I658" s="625"/>
      <c r="J658" s="625"/>
      <c r="K658" s="625"/>
      <c r="L658" s="625"/>
      <c r="M658" s="625"/>
      <c r="N658" s="625"/>
      <c r="O658" s="625"/>
      <c r="P658" s="625"/>
      <c r="Q658" s="625"/>
      <c r="R658" s="625"/>
      <c r="S658" s="625"/>
      <c r="T658" s="625"/>
      <c r="U658" s="625"/>
      <c r="V658" s="625"/>
      <c r="W658" s="625"/>
      <c r="X658" s="625"/>
      <c r="Y658" s="625"/>
      <c r="Z658" s="625"/>
    </row>
    <row r="659">
      <c r="A659" s="625"/>
      <c r="B659" s="625"/>
      <c r="C659" s="625"/>
      <c r="D659" s="625"/>
      <c r="E659" s="625"/>
      <c r="F659" s="625"/>
      <c r="G659" s="625"/>
      <c r="H659" s="625"/>
      <c r="I659" s="625"/>
      <c r="J659" s="625"/>
      <c r="K659" s="625"/>
      <c r="L659" s="625"/>
      <c r="M659" s="625"/>
      <c r="N659" s="625"/>
      <c r="O659" s="625"/>
      <c r="P659" s="625"/>
      <c r="Q659" s="625"/>
      <c r="R659" s="625"/>
      <c r="S659" s="625"/>
      <c r="T659" s="625"/>
      <c r="U659" s="625"/>
      <c r="V659" s="625"/>
      <c r="W659" s="625"/>
      <c r="X659" s="625"/>
      <c r="Y659" s="625"/>
      <c r="Z659" s="625"/>
    </row>
    <row r="660">
      <c r="A660" s="625"/>
      <c r="B660" s="625"/>
      <c r="C660" s="625"/>
      <c r="D660" s="625"/>
      <c r="E660" s="625"/>
      <c r="F660" s="625"/>
      <c r="G660" s="625"/>
      <c r="H660" s="625"/>
      <c r="I660" s="625"/>
      <c r="J660" s="625"/>
      <c r="K660" s="625"/>
      <c r="L660" s="625"/>
      <c r="M660" s="625"/>
      <c r="N660" s="625"/>
      <c r="O660" s="625"/>
      <c r="P660" s="625"/>
      <c r="Q660" s="625"/>
      <c r="R660" s="625"/>
      <c r="S660" s="625"/>
      <c r="T660" s="625"/>
      <c r="U660" s="625"/>
      <c r="V660" s="625"/>
      <c r="W660" s="625"/>
      <c r="X660" s="625"/>
      <c r="Y660" s="625"/>
      <c r="Z660" s="625"/>
    </row>
    <row r="661">
      <c r="A661" s="625"/>
      <c r="B661" s="625"/>
      <c r="C661" s="625"/>
      <c r="D661" s="625"/>
      <c r="E661" s="625"/>
      <c r="F661" s="625"/>
      <c r="G661" s="625"/>
      <c r="H661" s="625"/>
      <c r="I661" s="625"/>
      <c r="J661" s="625"/>
      <c r="K661" s="625"/>
      <c r="L661" s="625"/>
      <c r="M661" s="625"/>
      <c r="N661" s="625"/>
      <c r="O661" s="625"/>
      <c r="P661" s="625"/>
      <c r="Q661" s="625"/>
      <c r="R661" s="625"/>
      <c r="S661" s="625"/>
      <c r="T661" s="625"/>
      <c r="U661" s="625"/>
      <c r="V661" s="625"/>
      <c r="W661" s="625"/>
      <c r="X661" s="625"/>
      <c r="Y661" s="625"/>
      <c r="Z661" s="625"/>
    </row>
    <row r="662">
      <c r="A662" s="625"/>
      <c r="B662" s="625"/>
      <c r="C662" s="625"/>
      <c r="D662" s="625"/>
      <c r="E662" s="625"/>
      <c r="F662" s="625"/>
      <c r="G662" s="625"/>
      <c r="H662" s="625"/>
      <c r="I662" s="625"/>
      <c r="J662" s="625"/>
      <c r="K662" s="625"/>
      <c r="L662" s="625"/>
      <c r="M662" s="625"/>
      <c r="N662" s="625"/>
      <c r="O662" s="625"/>
      <c r="P662" s="625"/>
      <c r="Q662" s="625"/>
      <c r="R662" s="625"/>
      <c r="S662" s="625"/>
      <c r="T662" s="625"/>
      <c r="U662" s="625"/>
      <c r="V662" s="625"/>
      <c r="W662" s="625"/>
      <c r="X662" s="625"/>
      <c r="Y662" s="625"/>
      <c r="Z662" s="625"/>
    </row>
    <row r="663">
      <c r="A663" s="625"/>
      <c r="B663" s="625"/>
      <c r="C663" s="625"/>
      <c r="D663" s="625"/>
      <c r="E663" s="625"/>
      <c r="F663" s="625"/>
      <c r="G663" s="625"/>
      <c r="H663" s="625"/>
      <c r="I663" s="625"/>
      <c r="J663" s="625"/>
      <c r="K663" s="625"/>
      <c r="L663" s="625"/>
      <c r="M663" s="625"/>
      <c r="N663" s="625"/>
      <c r="O663" s="625"/>
      <c r="P663" s="625"/>
      <c r="Q663" s="625"/>
      <c r="R663" s="625"/>
      <c r="S663" s="625"/>
      <c r="T663" s="625"/>
      <c r="U663" s="625"/>
      <c r="V663" s="625"/>
      <c r="W663" s="625"/>
      <c r="X663" s="625"/>
      <c r="Y663" s="625"/>
      <c r="Z663" s="625"/>
    </row>
    <row r="664">
      <c r="A664" s="625"/>
      <c r="B664" s="625"/>
      <c r="C664" s="625"/>
      <c r="D664" s="625"/>
      <c r="E664" s="625"/>
      <c r="F664" s="625"/>
      <c r="G664" s="625"/>
      <c r="H664" s="625"/>
      <c r="I664" s="625"/>
      <c r="J664" s="625"/>
      <c r="K664" s="625"/>
      <c r="L664" s="625"/>
      <c r="M664" s="625"/>
      <c r="N664" s="625"/>
      <c r="O664" s="625"/>
      <c r="P664" s="625"/>
      <c r="Q664" s="625"/>
      <c r="R664" s="625"/>
      <c r="S664" s="625"/>
      <c r="T664" s="625"/>
      <c r="U664" s="625"/>
      <c r="V664" s="625"/>
      <c r="W664" s="625"/>
      <c r="X664" s="625"/>
      <c r="Y664" s="625"/>
      <c r="Z664" s="625"/>
    </row>
    <row r="665">
      <c r="A665" s="625"/>
      <c r="B665" s="625"/>
      <c r="C665" s="625"/>
      <c r="D665" s="625"/>
      <c r="E665" s="625"/>
      <c r="F665" s="625"/>
      <c r="G665" s="625"/>
      <c r="H665" s="625"/>
      <c r="I665" s="625"/>
      <c r="J665" s="625"/>
      <c r="K665" s="625"/>
      <c r="L665" s="625"/>
      <c r="M665" s="625"/>
      <c r="N665" s="625"/>
      <c r="O665" s="625"/>
      <c r="P665" s="625"/>
      <c r="Q665" s="625"/>
      <c r="R665" s="625"/>
      <c r="S665" s="625"/>
      <c r="T665" s="625"/>
      <c r="U665" s="625"/>
      <c r="V665" s="625"/>
      <c r="W665" s="625"/>
      <c r="X665" s="625"/>
      <c r="Y665" s="625"/>
      <c r="Z665" s="625"/>
    </row>
    <row r="666">
      <c r="A666" s="625"/>
      <c r="B666" s="625"/>
      <c r="C666" s="625"/>
      <c r="D666" s="625"/>
      <c r="E666" s="625"/>
      <c r="F666" s="625"/>
      <c r="G666" s="625"/>
      <c r="H666" s="625"/>
      <c r="I666" s="625"/>
      <c r="J666" s="625"/>
      <c r="K666" s="625"/>
      <c r="L666" s="625"/>
      <c r="M666" s="625"/>
      <c r="N666" s="625"/>
      <c r="O666" s="625"/>
      <c r="P666" s="625"/>
      <c r="Q666" s="625"/>
      <c r="R666" s="625"/>
      <c r="S666" s="625"/>
      <c r="T666" s="625"/>
      <c r="U666" s="625"/>
      <c r="V666" s="625"/>
      <c r="W666" s="625"/>
      <c r="X666" s="625"/>
      <c r="Y666" s="625"/>
      <c r="Z666" s="625"/>
    </row>
    <row r="667">
      <c r="A667" s="625"/>
      <c r="B667" s="625"/>
      <c r="C667" s="625"/>
      <c r="D667" s="625"/>
      <c r="E667" s="625"/>
      <c r="F667" s="625"/>
      <c r="G667" s="625"/>
      <c r="H667" s="625"/>
      <c r="I667" s="625"/>
      <c r="J667" s="625"/>
      <c r="K667" s="625"/>
      <c r="L667" s="625"/>
      <c r="M667" s="625"/>
      <c r="N667" s="625"/>
      <c r="O667" s="625"/>
      <c r="P667" s="625"/>
      <c r="Q667" s="625"/>
      <c r="R667" s="625"/>
      <c r="S667" s="625"/>
      <c r="T667" s="625"/>
      <c r="U667" s="625"/>
      <c r="V667" s="625"/>
      <c r="W667" s="625"/>
      <c r="X667" s="625"/>
      <c r="Y667" s="625"/>
      <c r="Z667" s="625"/>
    </row>
    <row r="668">
      <c r="A668" s="625"/>
      <c r="B668" s="625"/>
      <c r="C668" s="625"/>
      <c r="D668" s="625"/>
      <c r="E668" s="625"/>
      <c r="F668" s="625"/>
      <c r="G668" s="625"/>
      <c r="H668" s="625"/>
      <c r="I668" s="625"/>
      <c r="J668" s="625"/>
      <c r="K668" s="625"/>
      <c r="L668" s="625"/>
      <c r="M668" s="625"/>
      <c r="N668" s="625"/>
      <c r="O668" s="625"/>
      <c r="P668" s="625"/>
      <c r="Q668" s="625"/>
      <c r="R668" s="625"/>
      <c r="S668" s="625"/>
      <c r="T668" s="625"/>
      <c r="U668" s="625"/>
      <c r="V668" s="625"/>
      <c r="W668" s="625"/>
      <c r="X668" s="625"/>
      <c r="Y668" s="625"/>
      <c r="Z668" s="625"/>
    </row>
    <row r="669">
      <c r="A669" s="625"/>
      <c r="B669" s="625"/>
      <c r="C669" s="625"/>
      <c r="D669" s="625"/>
      <c r="E669" s="625"/>
      <c r="F669" s="625"/>
      <c r="G669" s="625"/>
      <c r="H669" s="625"/>
      <c r="I669" s="625"/>
      <c r="J669" s="625"/>
      <c r="K669" s="625"/>
      <c r="L669" s="625"/>
      <c r="M669" s="625"/>
      <c r="N669" s="625"/>
      <c r="O669" s="625"/>
      <c r="P669" s="625"/>
      <c r="Q669" s="625"/>
      <c r="R669" s="625"/>
      <c r="S669" s="625"/>
      <c r="T669" s="625"/>
      <c r="U669" s="625"/>
      <c r="V669" s="625"/>
      <c r="W669" s="625"/>
      <c r="X669" s="625"/>
      <c r="Y669" s="625"/>
      <c r="Z669" s="625"/>
    </row>
    <row r="670">
      <c r="A670" s="625"/>
      <c r="B670" s="625"/>
      <c r="C670" s="625"/>
      <c r="D670" s="625"/>
      <c r="E670" s="625"/>
      <c r="F670" s="625"/>
      <c r="G670" s="625"/>
      <c r="H670" s="625"/>
      <c r="I670" s="625"/>
      <c r="J670" s="625"/>
      <c r="K670" s="625"/>
      <c r="L670" s="625"/>
      <c r="M670" s="625"/>
      <c r="N670" s="625"/>
      <c r="O670" s="625"/>
      <c r="P670" s="625"/>
      <c r="Q670" s="625"/>
      <c r="R670" s="625"/>
      <c r="S670" s="625"/>
      <c r="T670" s="625"/>
      <c r="U670" s="625"/>
      <c r="V670" s="625"/>
      <c r="W670" s="625"/>
      <c r="X670" s="625"/>
      <c r="Y670" s="625"/>
      <c r="Z670" s="625"/>
    </row>
    <row r="671">
      <c r="A671" s="625"/>
      <c r="B671" s="625"/>
      <c r="C671" s="625"/>
      <c r="D671" s="625"/>
      <c r="E671" s="625"/>
      <c r="F671" s="625"/>
      <c r="G671" s="625"/>
      <c r="H671" s="625"/>
      <c r="I671" s="625"/>
      <c r="J671" s="625"/>
      <c r="K671" s="625"/>
      <c r="L671" s="625"/>
      <c r="M671" s="625"/>
      <c r="N671" s="625"/>
      <c r="O671" s="625"/>
      <c r="P671" s="625"/>
      <c r="Q671" s="625"/>
      <c r="R671" s="625"/>
      <c r="S671" s="625"/>
      <c r="T671" s="625"/>
      <c r="U671" s="625"/>
      <c r="V671" s="625"/>
      <c r="W671" s="625"/>
      <c r="X671" s="625"/>
      <c r="Y671" s="625"/>
      <c r="Z671" s="625"/>
    </row>
    <row r="672">
      <c r="A672" s="625"/>
      <c r="B672" s="625"/>
      <c r="C672" s="625"/>
      <c r="D672" s="625"/>
      <c r="E672" s="625"/>
      <c r="F672" s="625"/>
      <c r="G672" s="625"/>
      <c r="H672" s="625"/>
      <c r="I672" s="625"/>
      <c r="J672" s="625"/>
      <c r="K672" s="625"/>
      <c r="L672" s="625"/>
      <c r="M672" s="625"/>
      <c r="N672" s="625"/>
      <c r="O672" s="625"/>
      <c r="P672" s="625"/>
      <c r="Q672" s="625"/>
      <c r="R672" s="625"/>
      <c r="S672" s="625"/>
      <c r="T672" s="625"/>
      <c r="U672" s="625"/>
      <c r="V672" s="625"/>
      <c r="W672" s="625"/>
      <c r="X672" s="625"/>
      <c r="Y672" s="625"/>
      <c r="Z672" s="625"/>
    </row>
    <row r="673">
      <c r="A673" s="625"/>
      <c r="B673" s="625"/>
      <c r="C673" s="625"/>
      <c r="D673" s="625"/>
      <c r="E673" s="625"/>
      <c r="F673" s="625"/>
      <c r="G673" s="625"/>
      <c r="H673" s="625"/>
      <c r="I673" s="625"/>
      <c r="J673" s="625"/>
      <c r="K673" s="625"/>
      <c r="L673" s="625"/>
      <c r="M673" s="625"/>
      <c r="N673" s="625"/>
      <c r="O673" s="625"/>
      <c r="P673" s="625"/>
      <c r="Q673" s="625"/>
      <c r="R673" s="625"/>
      <c r="S673" s="625"/>
      <c r="T673" s="625"/>
      <c r="U673" s="625"/>
      <c r="V673" s="625"/>
      <c r="W673" s="625"/>
      <c r="X673" s="625"/>
      <c r="Y673" s="625"/>
      <c r="Z673" s="625"/>
    </row>
    <row r="674">
      <c r="A674" s="625"/>
      <c r="B674" s="625"/>
      <c r="C674" s="625"/>
      <c r="D674" s="625"/>
      <c r="E674" s="625"/>
      <c r="F674" s="625"/>
      <c r="G674" s="625"/>
      <c r="H674" s="625"/>
      <c r="I674" s="625"/>
      <c r="J674" s="625"/>
      <c r="K674" s="625"/>
      <c r="L674" s="625"/>
      <c r="M674" s="625"/>
      <c r="N674" s="625"/>
      <c r="O674" s="625"/>
      <c r="P674" s="625"/>
      <c r="Q674" s="625"/>
      <c r="R674" s="625"/>
      <c r="S674" s="625"/>
      <c r="T674" s="625"/>
      <c r="U674" s="625"/>
      <c r="V674" s="625"/>
      <c r="W674" s="625"/>
      <c r="X674" s="625"/>
      <c r="Y674" s="625"/>
      <c r="Z674" s="625"/>
    </row>
    <row r="675">
      <c r="A675" s="625"/>
      <c r="B675" s="625"/>
      <c r="C675" s="625"/>
      <c r="D675" s="625"/>
      <c r="E675" s="625"/>
      <c r="F675" s="625"/>
      <c r="G675" s="625"/>
      <c r="H675" s="625"/>
      <c r="I675" s="625"/>
      <c r="J675" s="625"/>
      <c r="K675" s="625"/>
      <c r="L675" s="625"/>
      <c r="M675" s="625"/>
      <c r="N675" s="625"/>
      <c r="O675" s="625"/>
      <c r="P675" s="625"/>
      <c r="Q675" s="625"/>
      <c r="R675" s="625"/>
      <c r="S675" s="625"/>
      <c r="T675" s="625"/>
      <c r="U675" s="625"/>
      <c r="V675" s="625"/>
      <c r="W675" s="625"/>
      <c r="X675" s="625"/>
      <c r="Y675" s="625"/>
      <c r="Z675" s="625"/>
    </row>
    <row r="676">
      <c r="A676" s="625"/>
      <c r="B676" s="625"/>
      <c r="C676" s="625"/>
      <c r="D676" s="625"/>
      <c r="E676" s="625"/>
      <c r="F676" s="625"/>
      <c r="G676" s="625"/>
      <c r="H676" s="625"/>
      <c r="I676" s="625"/>
      <c r="J676" s="625"/>
      <c r="K676" s="625"/>
      <c r="L676" s="625"/>
      <c r="M676" s="625"/>
      <c r="N676" s="625"/>
      <c r="O676" s="625"/>
      <c r="P676" s="625"/>
      <c r="Q676" s="625"/>
      <c r="R676" s="625"/>
      <c r="S676" s="625"/>
      <c r="T676" s="625"/>
      <c r="U676" s="625"/>
      <c r="V676" s="625"/>
      <c r="W676" s="625"/>
      <c r="X676" s="625"/>
      <c r="Y676" s="625"/>
      <c r="Z676" s="625"/>
    </row>
    <row r="677">
      <c r="A677" s="625"/>
      <c r="B677" s="625"/>
      <c r="C677" s="625"/>
      <c r="D677" s="625"/>
      <c r="E677" s="625"/>
      <c r="F677" s="625"/>
      <c r="G677" s="625"/>
      <c r="H677" s="625"/>
      <c r="I677" s="625"/>
      <c r="J677" s="625"/>
      <c r="K677" s="625"/>
      <c r="L677" s="625"/>
      <c r="M677" s="625"/>
      <c r="N677" s="625"/>
      <c r="O677" s="625"/>
      <c r="P677" s="625"/>
      <c r="Q677" s="625"/>
      <c r="R677" s="625"/>
      <c r="S677" s="625"/>
      <c r="T677" s="625"/>
      <c r="U677" s="625"/>
      <c r="V677" s="625"/>
      <c r="W677" s="625"/>
      <c r="X677" s="625"/>
      <c r="Y677" s="625"/>
      <c r="Z677" s="625"/>
    </row>
    <row r="678">
      <c r="A678" s="625"/>
      <c r="B678" s="625"/>
      <c r="C678" s="625"/>
      <c r="D678" s="625"/>
      <c r="E678" s="625"/>
      <c r="F678" s="625"/>
      <c r="G678" s="625"/>
      <c r="H678" s="625"/>
      <c r="I678" s="625"/>
      <c r="J678" s="625"/>
      <c r="K678" s="625"/>
      <c r="L678" s="625"/>
      <c r="M678" s="625"/>
      <c r="N678" s="625"/>
      <c r="O678" s="625"/>
      <c r="P678" s="625"/>
      <c r="Q678" s="625"/>
      <c r="R678" s="625"/>
      <c r="S678" s="625"/>
      <c r="T678" s="625"/>
      <c r="U678" s="625"/>
      <c r="V678" s="625"/>
      <c r="W678" s="625"/>
      <c r="X678" s="625"/>
      <c r="Y678" s="625"/>
      <c r="Z678" s="625"/>
    </row>
    <row r="679">
      <c r="A679" s="625"/>
      <c r="B679" s="625"/>
      <c r="C679" s="625"/>
      <c r="D679" s="625"/>
      <c r="E679" s="625"/>
      <c r="F679" s="625"/>
      <c r="G679" s="625"/>
      <c r="H679" s="625"/>
      <c r="I679" s="625"/>
      <c r="J679" s="625"/>
      <c r="K679" s="625"/>
      <c r="L679" s="625"/>
      <c r="M679" s="625"/>
      <c r="N679" s="625"/>
      <c r="O679" s="625"/>
      <c r="P679" s="625"/>
      <c r="Q679" s="625"/>
      <c r="R679" s="625"/>
      <c r="S679" s="625"/>
      <c r="T679" s="625"/>
      <c r="U679" s="625"/>
      <c r="V679" s="625"/>
      <c r="W679" s="625"/>
      <c r="X679" s="625"/>
      <c r="Y679" s="625"/>
      <c r="Z679" s="625"/>
    </row>
    <row r="680">
      <c r="A680" s="625"/>
      <c r="B680" s="625"/>
      <c r="C680" s="625"/>
      <c r="D680" s="625"/>
      <c r="E680" s="625"/>
      <c r="F680" s="625"/>
      <c r="G680" s="625"/>
      <c r="H680" s="625"/>
      <c r="I680" s="625"/>
      <c r="J680" s="625"/>
      <c r="K680" s="625"/>
      <c r="L680" s="625"/>
      <c r="M680" s="625"/>
      <c r="N680" s="625"/>
      <c r="O680" s="625"/>
      <c r="P680" s="625"/>
      <c r="Q680" s="625"/>
      <c r="R680" s="625"/>
      <c r="S680" s="625"/>
      <c r="T680" s="625"/>
      <c r="U680" s="625"/>
      <c r="V680" s="625"/>
      <c r="W680" s="625"/>
      <c r="X680" s="625"/>
      <c r="Y680" s="625"/>
      <c r="Z680" s="625"/>
    </row>
    <row r="681">
      <c r="A681" s="625"/>
      <c r="B681" s="625"/>
      <c r="C681" s="625"/>
      <c r="D681" s="625"/>
      <c r="E681" s="625"/>
      <c r="F681" s="625"/>
      <c r="G681" s="625"/>
      <c r="H681" s="625"/>
      <c r="I681" s="625"/>
      <c r="J681" s="625"/>
      <c r="K681" s="625"/>
      <c r="L681" s="625"/>
      <c r="M681" s="625"/>
      <c r="N681" s="625"/>
      <c r="O681" s="625"/>
      <c r="P681" s="625"/>
      <c r="Q681" s="625"/>
      <c r="R681" s="625"/>
      <c r="S681" s="625"/>
      <c r="T681" s="625"/>
      <c r="U681" s="625"/>
      <c r="V681" s="625"/>
      <c r="W681" s="625"/>
      <c r="X681" s="625"/>
      <c r="Y681" s="625"/>
      <c r="Z681" s="625"/>
    </row>
    <row r="682">
      <c r="A682" s="625"/>
      <c r="B682" s="625"/>
      <c r="C682" s="625"/>
      <c r="D682" s="625"/>
      <c r="E682" s="625"/>
      <c r="F682" s="625"/>
      <c r="G682" s="625"/>
      <c r="H682" s="625"/>
      <c r="I682" s="625"/>
      <c r="J682" s="625"/>
      <c r="K682" s="625"/>
      <c r="L682" s="625"/>
      <c r="M682" s="625"/>
      <c r="N682" s="625"/>
      <c r="O682" s="625"/>
      <c r="P682" s="625"/>
      <c r="Q682" s="625"/>
      <c r="R682" s="625"/>
      <c r="S682" s="625"/>
      <c r="T682" s="625"/>
      <c r="U682" s="625"/>
      <c r="V682" s="625"/>
      <c r="W682" s="625"/>
      <c r="X682" s="625"/>
      <c r="Y682" s="625"/>
      <c r="Z682" s="625"/>
    </row>
    <row r="683">
      <c r="A683" s="625"/>
      <c r="B683" s="625"/>
      <c r="C683" s="625"/>
      <c r="D683" s="625"/>
      <c r="E683" s="625"/>
      <c r="F683" s="625"/>
      <c r="G683" s="625"/>
      <c r="H683" s="625"/>
      <c r="I683" s="625"/>
      <c r="J683" s="625"/>
      <c r="K683" s="625"/>
      <c r="L683" s="625"/>
      <c r="M683" s="625"/>
      <c r="N683" s="625"/>
      <c r="O683" s="625"/>
      <c r="P683" s="625"/>
      <c r="Q683" s="625"/>
      <c r="R683" s="625"/>
      <c r="S683" s="625"/>
      <c r="T683" s="625"/>
      <c r="U683" s="625"/>
      <c r="V683" s="625"/>
      <c r="W683" s="625"/>
      <c r="X683" s="625"/>
      <c r="Y683" s="625"/>
      <c r="Z683" s="625"/>
    </row>
    <row r="684">
      <c r="A684" s="625"/>
      <c r="B684" s="625"/>
      <c r="C684" s="625"/>
      <c r="D684" s="625"/>
      <c r="E684" s="625"/>
      <c r="F684" s="625"/>
      <c r="G684" s="625"/>
      <c r="H684" s="625"/>
      <c r="I684" s="625"/>
      <c r="J684" s="625"/>
      <c r="K684" s="625"/>
      <c r="L684" s="625"/>
      <c r="M684" s="625"/>
      <c r="N684" s="625"/>
      <c r="O684" s="625"/>
      <c r="P684" s="625"/>
      <c r="Q684" s="625"/>
      <c r="R684" s="625"/>
      <c r="S684" s="625"/>
      <c r="T684" s="625"/>
      <c r="U684" s="625"/>
      <c r="V684" s="625"/>
      <c r="W684" s="625"/>
      <c r="X684" s="625"/>
      <c r="Y684" s="625"/>
      <c r="Z684" s="625"/>
    </row>
    <row r="685">
      <c r="A685" s="625"/>
      <c r="B685" s="625"/>
      <c r="C685" s="625"/>
      <c r="D685" s="625"/>
      <c r="E685" s="625"/>
      <c r="F685" s="625"/>
      <c r="G685" s="625"/>
      <c r="H685" s="625"/>
      <c r="I685" s="625"/>
      <c r="J685" s="625"/>
      <c r="K685" s="625"/>
      <c r="L685" s="625"/>
      <c r="M685" s="625"/>
      <c r="N685" s="625"/>
      <c r="O685" s="625"/>
      <c r="P685" s="625"/>
      <c r="Q685" s="625"/>
      <c r="R685" s="625"/>
      <c r="S685" s="625"/>
      <c r="T685" s="625"/>
      <c r="U685" s="625"/>
      <c r="V685" s="625"/>
      <c r="W685" s="625"/>
      <c r="X685" s="625"/>
      <c r="Y685" s="625"/>
      <c r="Z685" s="625"/>
    </row>
    <row r="686">
      <c r="A686" s="625"/>
      <c r="B686" s="625"/>
      <c r="C686" s="625"/>
      <c r="D686" s="625"/>
      <c r="E686" s="625"/>
      <c r="F686" s="625"/>
      <c r="G686" s="625"/>
      <c r="H686" s="625"/>
      <c r="I686" s="625"/>
      <c r="J686" s="625"/>
      <c r="K686" s="625"/>
      <c r="L686" s="625"/>
      <c r="M686" s="625"/>
      <c r="N686" s="625"/>
      <c r="O686" s="625"/>
      <c r="P686" s="625"/>
      <c r="Q686" s="625"/>
      <c r="R686" s="625"/>
      <c r="S686" s="625"/>
      <c r="T686" s="625"/>
      <c r="U686" s="625"/>
      <c r="V686" s="625"/>
      <c r="W686" s="625"/>
      <c r="X686" s="625"/>
      <c r="Y686" s="625"/>
      <c r="Z686" s="625"/>
    </row>
    <row r="687">
      <c r="A687" s="625"/>
      <c r="B687" s="625"/>
      <c r="C687" s="625"/>
      <c r="D687" s="625"/>
      <c r="E687" s="625"/>
      <c r="F687" s="625"/>
      <c r="G687" s="625"/>
      <c r="H687" s="625"/>
      <c r="I687" s="625"/>
      <c r="J687" s="625"/>
      <c r="K687" s="625"/>
      <c r="L687" s="625"/>
      <c r="M687" s="625"/>
      <c r="N687" s="625"/>
      <c r="O687" s="625"/>
      <c r="P687" s="625"/>
      <c r="Q687" s="625"/>
      <c r="R687" s="625"/>
      <c r="S687" s="625"/>
      <c r="T687" s="625"/>
      <c r="U687" s="625"/>
      <c r="V687" s="625"/>
      <c r="W687" s="625"/>
      <c r="X687" s="625"/>
      <c r="Y687" s="625"/>
      <c r="Z687" s="625"/>
    </row>
    <row r="688">
      <c r="A688" s="625"/>
      <c r="B688" s="625"/>
      <c r="C688" s="625"/>
      <c r="D688" s="625"/>
      <c r="E688" s="625"/>
      <c r="F688" s="625"/>
      <c r="G688" s="625"/>
      <c r="H688" s="625"/>
      <c r="I688" s="625"/>
      <c r="J688" s="625"/>
      <c r="K688" s="625"/>
      <c r="L688" s="625"/>
      <c r="M688" s="625"/>
      <c r="N688" s="625"/>
      <c r="O688" s="625"/>
      <c r="P688" s="625"/>
      <c r="Q688" s="625"/>
      <c r="R688" s="625"/>
      <c r="S688" s="625"/>
      <c r="T688" s="625"/>
      <c r="U688" s="625"/>
      <c r="V688" s="625"/>
      <c r="W688" s="625"/>
      <c r="X688" s="625"/>
      <c r="Y688" s="625"/>
      <c r="Z688" s="625"/>
    </row>
    <row r="689">
      <c r="A689" s="625"/>
      <c r="B689" s="625"/>
      <c r="C689" s="625"/>
      <c r="D689" s="625"/>
      <c r="E689" s="625"/>
      <c r="F689" s="625"/>
      <c r="G689" s="625"/>
      <c r="H689" s="625"/>
      <c r="I689" s="625"/>
      <c r="J689" s="625"/>
      <c r="K689" s="625"/>
      <c r="L689" s="625"/>
      <c r="M689" s="625"/>
      <c r="N689" s="625"/>
      <c r="O689" s="625"/>
      <c r="P689" s="625"/>
      <c r="Q689" s="625"/>
      <c r="R689" s="625"/>
      <c r="S689" s="625"/>
      <c r="T689" s="625"/>
      <c r="U689" s="625"/>
      <c r="V689" s="625"/>
      <c r="W689" s="625"/>
      <c r="X689" s="625"/>
      <c r="Y689" s="625"/>
      <c r="Z689" s="625"/>
    </row>
    <row r="690">
      <c r="A690" s="625"/>
      <c r="B690" s="625"/>
      <c r="C690" s="625"/>
      <c r="D690" s="625"/>
      <c r="E690" s="625"/>
      <c r="F690" s="625"/>
      <c r="G690" s="625"/>
      <c r="H690" s="625"/>
      <c r="I690" s="625"/>
      <c r="J690" s="625"/>
      <c r="K690" s="625"/>
      <c r="L690" s="625"/>
      <c r="M690" s="625"/>
      <c r="N690" s="625"/>
      <c r="O690" s="625"/>
      <c r="P690" s="625"/>
      <c r="Q690" s="625"/>
      <c r="R690" s="625"/>
      <c r="S690" s="625"/>
      <c r="T690" s="625"/>
      <c r="U690" s="625"/>
      <c r="V690" s="625"/>
      <c r="W690" s="625"/>
      <c r="X690" s="625"/>
      <c r="Y690" s="625"/>
      <c r="Z690" s="625"/>
    </row>
    <row r="691">
      <c r="A691" s="625"/>
      <c r="B691" s="625"/>
      <c r="C691" s="625"/>
      <c r="D691" s="625"/>
      <c r="E691" s="625"/>
      <c r="F691" s="625"/>
      <c r="G691" s="625"/>
      <c r="H691" s="625"/>
      <c r="I691" s="625"/>
      <c r="J691" s="625"/>
      <c r="K691" s="625"/>
      <c r="L691" s="625"/>
      <c r="M691" s="625"/>
      <c r="N691" s="625"/>
      <c r="O691" s="625"/>
      <c r="P691" s="625"/>
      <c r="Q691" s="625"/>
      <c r="R691" s="625"/>
      <c r="S691" s="625"/>
      <c r="T691" s="625"/>
      <c r="U691" s="625"/>
      <c r="V691" s="625"/>
      <c r="W691" s="625"/>
      <c r="X691" s="625"/>
      <c r="Y691" s="625"/>
      <c r="Z691" s="625"/>
    </row>
    <row r="692">
      <c r="A692" s="625"/>
      <c r="B692" s="625"/>
      <c r="C692" s="625"/>
      <c r="D692" s="625"/>
      <c r="E692" s="625"/>
      <c r="F692" s="625"/>
      <c r="G692" s="625"/>
      <c r="H692" s="625"/>
      <c r="I692" s="625"/>
      <c r="J692" s="625"/>
      <c r="K692" s="625"/>
      <c r="L692" s="625"/>
      <c r="M692" s="625"/>
      <c r="N692" s="625"/>
      <c r="O692" s="625"/>
      <c r="P692" s="625"/>
      <c r="Q692" s="625"/>
      <c r="R692" s="625"/>
      <c r="S692" s="625"/>
      <c r="T692" s="625"/>
      <c r="U692" s="625"/>
      <c r="V692" s="625"/>
      <c r="W692" s="625"/>
      <c r="X692" s="625"/>
      <c r="Y692" s="625"/>
      <c r="Z692" s="625"/>
    </row>
    <row r="693">
      <c r="A693" s="625"/>
      <c r="B693" s="625"/>
      <c r="C693" s="625"/>
      <c r="D693" s="625"/>
      <c r="E693" s="625"/>
      <c r="F693" s="625"/>
      <c r="G693" s="625"/>
      <c r="H693" s="625"/>
      <c r="I693" s="625"/>
      <c r="J693" s="625"/>
      <c r="K693" s="625"/>
      <c r="L693" s="625"/>
      <c r="M693" s="625"/>
      <c r="N693" s="625"/>
      <c r="O693" s="625"/>
      <c r="P693" s="625"/>
      <c r="Q693" s="625"/>
      <c r="R693" s="625"/>
      <c r="S693" s="625"/>
      <c r="T693" s="625"/>
      <c r="U693" s="625"/>
      <c r="V693" s="625"/>
      <c r="W693" s="625"/>
      <c r="X693" s="625"/>
      <c r="Y693" s="625"/>
      <c r="Z693" s="625"/>
    </row>
    <row r="694">
      <c r="A694" s="625"/>
      <c r="B694" s="625"/>
      <c r="C694" s="625"/>
      <c r="D694" s="625"/>
      <c r="E694" s="625"/>
      <c r="F694" s="625"/>
      <c r="G694" s="625"/>
      <c r="H694" s="625"/>
      <c r="I694" s="625"/>
      <c r="J694" s="625"/>
      <c r="K694" s="625"/>
      <c r="L694" s="625"/>
      <c r="M694" s="625"/>
      <c r="N694" s="625"/>
      <c r="O694" s="625"/>
      <c r="P694" s="625"/>
      <c r="Q694" s="625"/>
      <c r="R694" s="625"/>
      <c r="S694" s="625"/>
      <c r="T694" s="625"/>
      <c r="U694" s="625"/>
      <c r="V694" s="625"/>
      <c r="W694" s="625"/>
      <c r="X694" s="625"/>
      <c r="Y694" s="625"/>
      <c r="Z694" s="625"/>
    </row>
    <row r="695">
      <c r="A695" s="625"/>
      <c r="B695" s="625"/>
      <c r="C695" s="625"/>
      <c r="D695" s="625"/>
      <c r="E695" s="625"/>
      <c r="F695" s="625"/>
      <c r="G695" s="625"/>
      <c r="H695" s="625"/>
      <c r="I695" s="625"/>
      <c r="J695" s="625"/>
      <c r="K695" s="625"/>
      <c r="L695" s="625"/>
      <c r="M695" s="625"/>
      <c r="N695" s="625"/>
      <c r="O695" s="625"/>
      <c r="P695" s="625"/>
      <c r="Q695" s="625"/>
      <c r="R695" s="625"/>
      <c r="S695" s="625"/>
      <c r="T695" s="625"/>
      <c r="U695" s="625"/>
      <c r="V695" s="625"/>
      <c r="W695" s="625"/>
      <c r="X695" s="625"/>
      <c r="Y695" s="625"/>
      <c r="Z695" s="625"/>
    </row>
    <row r="696">
      <c r="A696" s="625"/>
      <c r="B696" s="625"/>
      <c r="C696" s="625"/>
      <c r="D696" s="625"/>
      <c r="E696" s="625"/>
      <c r="F696" s="625"/>
      <c r="G696" s="625"/>
      <c r="H696" s="625"/>
      <c r="I696" s="625"/>
      <c r="J696" s="625"/>
      <c r="K696" s="625"/>
      <c r="L696" s="625"/>
      <c r="M696" s="625"/>
      <c r="N696" s="625"/>
      <c r="O696" s="625"/>
      <c r="P696" s="625"/>
      <c r="Q696" s="625"/>
      <c r="R696" s="625"/>
      <c r="S696" s="625"/>
      <c r="T696" s="625"/>
      <c r="U696" s="625"/>
      <c r="V696" s="625"/>
      <c r="W696" s="625"/>
      <c r="X696" s="625"/>
      <c r="Y696" s="625"/>
      <c r="Z696" s="625"/>
    </row>
    <row r="697">
      <c r="A697" s="625"/>
      <c r="B697" s="625"/>
      <c r="C697" s="625"/>
      <c r="D697" s="625"/>
      <c r="E697" s="625"/>
      <c r="F697" s="625"/>
      <c r="G697" s="625"/>
      <c r="H697" s="625"/>
      <c r="I697" s="625"/>
      <c r="J697" s="625"/>
      <c r="K697" s="625"/>
      <c r="L697" s="625"/>
      <c r="M697" s="625"/>
      <c r="N697" s="625"/>
      <c r="O697" s="625"/>
      <c r="P697" s="625"/>
      <c r="Q697" s="625"/>
      <c r="R697" s="625"/>
      <c r="S697" s="625"/>
      <c r="T697" s="625"/>
      <c r="U697" s="625"/>
      <c r="V697" s="625"/>
      <c r="W697" s="625"/>
      <c r="X697" s="625"/>
      <c r="Y697" s="625"/>
      <c r="Z697" s="625"/>
    </row>
    <row r="698">
      <c r="A698" s="625"/>
      <c r="B698" s="625"/>
      <c r="C698" s="625"/>
      <c r="D698" s="625"/>
      <c r="E698" s="625"/>
      <c r="F698" s="625"/>
      <c r="G698" s="625"/>
      <c r="H698" s="625"/>
      <c r="I698" s="625"/>
      <c r="J698" s="625"/>
      <c r="K698" s="625"/>
      <c r="L698" s="625"/>
      <c r="M698" s="625"/>
      <c r="N698" s="625"/>
      <c r="O698" s="625"/>
      <c r="P698" s="625"/>
      <c r="Q698" s="625"/>
      <c r="R698" s="625"/>
      <c r="S698" s="625"/>
      <c r="T698" s="625"/>
      <c r="U698" s="625"/>
      <c r="V698" s="625"/>
      <c r="W698" s="625"/>
      <c r="X698" s="625"/>
      <c r="Y698" s="625"/>
      <c r="Z698" s="625"/>
    </row>
    <row r="699">
      <c r="A699" s="625"/>
      <c r="B699" s="625"/>
      <c r="C699" s="625"/>
      <c r="D699" s="625"/>
      <c r="E699" s="625"/>
      <c r="F699" s="625"/>
      <c r="G699" s="625"/>
      <c r="H699" s="625"/>
      <c r="I699" s="625"/>
      <c r="J699" s="625"/>
      <c r="K699" s="625"/>
      <c r="L699" s="625"/>
      <c r="M699" s="625"/>
      <c r="N699" s="625"/>
      <c r="O699" s="625"/>
      <c r="P699" s="625"/>
      <c r="Q699" s="625"/>
      <c r="R699" s="625"/>
      <c r="S699" s="625"/>
      <c r="T699" s="625"/>
      <c r="U699" s="625"/>
      <c r="V699" s="625"/>
      <c r="W699" s="625"/>
      <c r="X699" s="625"/>
      <c r="Y699" s="625"/>
      <c r="Z699" s="625"/>
    </row>
    <row r="700">
      <c r="A700" s="625"/>
      <c r="B700" s="625"/>
      <c r="C700" s="625"/>
      <c r="D700" s="625"/>
      <c r="E700" s="625"/>
      <c r="F700" s="625"/>
      <c r="G700" s="625"/>
      <c r="H700" s="625"/>
      <c r="I700" s="625"/>
      <c r="J700" s="625"/>
      <c r="K700" s="625"/>
      <c r="L700" s="625"/>
      <c r="M700" s="625"/>
      <c r="N700" s="625"/>
      <c r="O700" s="625"/>
      <c r="P700" s="625"/>
      <c r="Q700" s="625"/>
      <c r="R700" s="625"/>
      <c r="S700" s="625"/>
      <c r="T700" s="625"/>
      <c r="U700" s="625"/>
      <c r="V700" s="625"/>
      <c r="W700" s="625"/>
      <c r="X700" s="625"/>
      <c r="Y700" s="625"/>
      <c r="Z700" s="625"/>
    </row>
    <row r="701">
      <c r="A701" s="625"/>
      <c r="B701" s="625"/>
      <c r="C701" s="625"/>
      <c r="D701" s="625"/>
      <c r="E701" s="625"/>
      <c r="F701" s="625"/>
      <c r="G701" s="625"/>
      <c r="H701" s="625"/>
      <c r="I701" s="625"/>
      <c r="J701" s="625"/>
      <c r="K701" s="625"/>
      <c r="L701" s="625"/>
      <c r="M701" s="625"/>
      <c r="N701" s="625"/>
      <c r="O701" s="625"/>
      <c r="P701" s="625"/>
      <c r="Q701" s="625"/>
      <c r="R701" s="625"/>
      <c r="S701" s="625"/>
      <c r="T701" s="625"/>
      <c r="U701" s="625"/>
      <c r="V701" s="625"/>
      <c r="W701" s="625"/>
      <c r="X701" s="625"/>
      <c r="Y701" s="625"/>
      <c r="Z701" s="625"/>
    </row>
    <row r="702">
      <c r="A702" s="625"/>
      <c r="B702" s="625"/>
      <c r="C702" s="625"/>
      <c r="D702" s="625"/>
      <c r="E702" s="625"/>
      <c r="F702" s="625"/>
      <c r="G702" s="625"/>
      <c r="H702" s="625"/>
      <c r="I702" s="625"/>
      <c r="J702" s="625"/>
      <c r="K702" s="625"/>
      <c r="L702" s="625"/>
      <c r="M702" s="625"/>
      <c r="N702" s="625"/>
      <c r="O702" s="625"/>
      <c r="P702" s="625"/>
      <c r="Q702" s="625"/>
      <c r="R702" s="625"/>
      <c r="S702" s="625"/>
      <c r="T702" s="625"/>
      <c r="U702" s="625"/>
      <c r="V702" s="625"/>
      <c r="W702" s="625"/>
      <c r="X702" s="625"/>
      <c r="Y702" s="625"/>
      <c r="Z702" s="625"/>
    </row>
    <row r="703">
      <c r="A703" s="625"/>
      <c r="B703" s="625"/>
      <c r="C703" s="625"/>
      <c r="D703" s="625"/>
      <c r="E703" s="625"/>
      <c r="F703" s="625"/>
      <c r="G703" s="625"/>
      <c r="H703" s="625"/>
      <c r="I703" s="625"/>
      <c r="J703" s="625"/>
      <c r="K703" s="625"/>
      <c r="L703" s="625"/>
      <c r="M703" s="625"/>
      <c r="N703" s="625"/>
      <c r="O703" s="625"/>
      <c r="P703" s="625"/>
      <c r="Q703" s="625"/>
      <c r="R703" s="625"/>
      <c r="S703" s="625"/>
      <c r="T703" s="625"/>
      <c r="U703" s="625"/>
      <c r="V703" s="625"/>
      <c r="W703" s="625"/>
      <c r="X703" s="625"/>
      <c r="Y703" s="625"/>
      <c r="Z703" s="625"/>
    </row>
    <row r="704">
      <c r="A704" s="625"/>
      <c r="B704" s="625"/>
      <c r="C704" s="625"/>
      <c r="D704" s="625"/>
      <c r="E704" s="625"/>
      <c r="F704" s="625"/>
      <c r="G704" s="625"/>
      <c r="H704" s="625"/>
      <c r="I704" s="625"/>
      <c r="J704" s="625"/>
      <c r="K704" s="625"/>
      <c r="L704" s="625"/>
      <c r="M704" s="625"/>
      <c r="N704" s="625"/>
      <c r="O704" s="625"/>
      <c r="P704" s="625"/>
      <c r="Q704" s="625"/>
      <c r="R704" s="625"/>
      <c r="S704" s="625"/>
      <c r="T704" s="625"/>
      <c r="U704" s="625"/>
      <c r="V704" s="625"/>
      <c r="W704" s="625"/>
      <c r="X704" s="625"/>
      <c r="Y704" s="625"/>
      <c r="Z704" s="625"/>
    </row>
    <row r="705">
      <c r="A705" s="625"/>
      <c r="B705" s="625"/>
      <c r="C705" s="625"/>
      <c r="D705" s="625"/>
      <c r="E705" s="625"/>
      <c r="F705" s="625"/>
      <c r="G705" s="625"/>
      <c r="H705" s="625"/>
      <c r="I705" s="625"/>
      <c r="J705" s="625"/>
      <c r="K705" s="625"/>
      <c r="L705" s="625"/>
      <c r="M705" s="625"/>
      <c r="N705" s="625"/>
      <c r="O705" s="625"/>
      <c r="P705" s="625"/>
      <c r="Q705" s="625"/>
      <c r="R705" s="625"/>
      <c r="S705" s="625"/>
      <c r="T705" s="625"/>
      <c r="U705" s="625"/>
      <c r="V705" s="625"/>
      <c r="W705" s="625"/>
      <c r="X705" s="625"/>
      <c r="Y705" s="625"/>
      <c r="Z705" s="625"/>
    </row>
    <row r="706">
      <c r="A706" s="625"/>
      <c r="B706" s="625"/>
      <c r="C706" s="625"/>
      <c r="D706" s="625"/>
      <c r="E706" s="625"/>
      <c r="F706" s="625"/>
      <c r="G706" s="625"/>
      <c r="H706" s="625"/>
      <c r="I706" s="625"/>
      <c r="J706" s="625"/>
      <c r="K706" s="625"/>
      <c r="L706" s="625"/>
      <c r="M706" s="625"/>
      <c r="N706" s="625"/>
      <c r="O706" s="625"/>
      <c r="P706" s="625"/>
      <c r="Q706" s="625"/>
      <c r="R706" s="625"/>
      <c r="S706" s="625"/>
      <c r="T706" s="625"/>
      <c r="U706" s="625"/>
      <c r="V706" s="625"/>
      <c r="W706" s="625"/>
      <c r="X706" s="625"/>
      <c r="Y706" s="625"/>
      <c r="Z706" s="625"/>
    </row>
    <row r="707">
      <c r="A707" s="625"/>
      <c r="B707" s="625"/>
      <c r="C707" s="625"/>
      <c r="D707" s="625"/>
      <c r="E707" s="625"/>
      <c r="F707" s="625"/>
      <c r="G707" s="625"/>
      <c r="H707" s="625"/>
      <c r="I707" s="625"/>
      <c r="J707" s="625"/>
      <c r="K707" s="625"/>
      <c r="L707" s="625"/>
      <c r="M707" s="625"/>
      <c r="N707" s="625"/>
      <c r="O707" s="625"/>
      <c r="P707" s="625"/>
      <c r="Q707" s="625"/>
      <c r="R707" s="625"/>
      <c r="S707" s="625"/>
      <c r="T707" s="625"/>
      <c r="U707" s="625"/>
      <c r="V707" s="625"/>
      <c r="W707" s="625"/>
      <c r="X707" s="625"/>
      <c r="Y707" s="625"/>
      <c r="Z707" s="625"/>
    </row>
    <row r="708">
      <c r="A708" s="625"/>
      <c r="B708" s="625"/>
      <c r="C708" s="625"/>
      <c r="D708" s="625"/>
      <c r="E708" s="625"/>
      <c r="F708" s="625"/>
      <c r="G708" s="625"/>
      <c r="H708" s="625"/>
      <c r="I708" s="625"/>
      <c r="J708" s="625"/>
      <c r="K708" s="625"/>
      <c r="L708" s="625"/>
      <c r="M708" s="625"/>
      <c r="N708" s="625"/>
      <c r="O708" s="625"/>
      <c r="P708" s="625"/>
      <c r="Q708" s="625"/>
      <c r="R708" s="625"/>
      <c r="S708" s="625"/>
      <c r="T708" s="625"/>
      <c r="U708" s="625"/>
      <c r="V708" s="625"/>
      <c r="W708" s="625"/>
      <c r="X708" s="625"/>
      <c r="Y708" s="625"/>
      <c r="Z708" s="625"/>
    </row>
    <row r="709">
      <c r="A709" s="625"/>
      <c r="B709" s="625"/>
      <c r="C709" s="625"/>
      <c r="D709" s="625"/>
      <c r="E709" s="625"/>
      <c r="F709" s="625"/>
      <c r="G709" s="625"/>
      <c r="H709" s="625"/>
      <c r="I709" s="625"/>
      <c r="J709" s="625"/>
      <c r="K709" s="625"/>
      <c r="L709" s="625"/>
      <c r="M709" s="625"/>
      <c r="N709" s="625"/>
      <c r="O709" s="625"/>
      <c r="P709" s="625"/>
      <c r="Q709" s="625"/>
      <c r="R709" s="625"/>
      <c r="S709" s="625"/>
      <c r="T709" s="625"/>
      <c r="U709" s="625"/>
      <c r="V709" s="625"/>
      <c r="W709" s="625"/>
      <c r="X709" s="625"/>
      <c r="Y709" s="625"/>
      <c r="Z709" s="625"/>
    </row>
    <row r="710">
      <c r="A710" s="625"/>
      <c r="B710" s="625"/>
      <c r="C710" s="625"/>
      <c r="D710" s="625"/>
      <c r="E710" s="625"/>
      <c r="F710" s="625"/>
      <c r="G710" s="625"/>
      <c r="H710" s="625"/>
      <c r="I710" s="625"/>
      <c r="J710" s="625"/>
      <c r="K710" s="625"/>
      <c r="L710" s="625"/>
      <c r="M710" s="625"/>
      <c r="N710" s="625"/>
      <c r="O710" s="625"/>
      <c r="P710" s="625"/>
      <c r="Q710" s="625"/>
      <c r="R710" s="625"/>
      <c r="S710" s="625"/>
      <c r="T710" s="625"/>
      <c r="U710" s="625"/>
      <c r="V710" s="625"/>
      <c r="W710" s="625"/>
      <c r="X710" s="625"/>
      <c r="Y710" s="625"/>
      <c r="Z710" s="625"/>
    </row>
    <row r="711">
      <c r="A711" s="625"/>
      <c r="B711" s="625"/>
      <c r="C711" s="625"/>
      <c r="D711" s="625"/>
      <c r="E711" s="625"/>
      <c r="F711" s="625"/>
      <c r="G711" s="625"/>
      <c r="H711" s="625"/>
      <c r="I711" s="625"/>
      <c r="J711" s="625"/>
      <c r="K711" s="625"/>
      <c r="L711" s="625"/>
      <c r="M711" s="625"/>
      <c r="N711" s="625"/>
      <c r="O711" s="625"/>
      <c r="P711" s="625"/>
      <c r="Q711" s="625"/>
      <c r="R711" s="625"/>
      <c r="S711" s="625"/>
      <c r="T711" s="625"/>
      <c r="U711" s="625"/>
      <c r="V711" s="625"/>
      <c r="W711" s="625"/>
      <c r="X711" s="625"/>
      <c r="Y711" s="625"/>
      <c r="Z711" s="625"/>
    </row>
    <row r="712">
      <c r="A712" s="625"/>
      <c r="B712" s="625"/>
      <c r="C712" s="625"/>
      <c r="D712" s="625"/>
      <c r="E712" s="625"/>
      <c r="F712" s="625"/>
      <c r="G712" s="625"/>
      <c r="H712" s="625"/>
      <c r="I712" s="625"/>
      <c r="J712" s="625"/>
      <c r="K712" s="625"/>
      <c r="L712" s="625"/>
      <c r="M712" s="625"/>
      <c r="N712" s="625"/>
      <c r="O712" s="625"/>
      <c r="P712" s="625"/>
      <c r="Q712" s="625"/>
      <c r="R712" s="625"/>
      <c r="S712" s="625"/>
      <c r="T712" s="625"/>
      <c r="U712" s="625"/>
      <c r="V712" s="625"/>
      <c r="W712" s="625"/>
      <c r="X712" s="625"/>
      <c r="Y712" s="625"/>
      <c r="Z712" s="625"/>
    </row>
    <row r="713">
      <c r="A713" s="625"/>
      <c r="B713" s="625"/>
      <c r="C713" s="625"/>
      <c r="D713" s="625"/>
      <c r="E713" s="625"/>
      <c r="F713" s="625"/>
      <c r="G713" s="625"/>
      <c r="H713" s="625"/>
      <c r="I713" s="625"/>
      <c r="J713" s="625"/>
      <c r="K713" s="625"/>
      <c r="L713" s="625"/>
      <c r="M713" s="625"/>
      <c r="N713" s="625"/>
      <c r="O713" s="625"/>
      <c r="P713" s="625"/>
      <c r="Q713" s="625"/>
      <c r="R713" s="625"/>
      <c r="S713" s="625"/>
      <c r="T713" s="625"/>
      <c r="U713" s="625"/>
      <c r="V713" s="625"/>
      <c r="W713" s="625"/>
      <c r="X713" s="625"/>
      <c r="Y713" s="625"/>
      <c r="Z713" s="625"/>
    </row>
    <row r="714">
      <c r="A714" s="625"/>
      <c r="B714" s="625"/>
      <c r="C714" s="625"/>
      <c r="D714" s="625"/>
      <c r="E714" s="625"/>
      <c r="F714" s="625"/>
      <c r="G714" s="625"/>
      <c r="H714" s="625"/>
      <c r="I714" s="625"/>
      <c r="J714" s="625"/>
      <c r="K714" s="625"/>
      <c r="L714" s="625"/>
      <c r="M714" s="625"/>
      <c r="N714" s="625"/>
      <c r="O714" s="625"/>
      <c r="P714" s="625"/>
      <c r="Q714" s="625"/>
      <c r="R714" s="625"/>
      <c r="S714" s="625"/>
      <c r="T714" s="625"/>
      <c r="U714" s="625"/>
      <c r="V714" s="625"/>
      <c r="W714" s="625"/>
      <c r="X714" s="625"/>
      <c r="Y714" s="625"/>
      <c r="Z714" s="625"/>
    </row>
    <row r="715">
      <c r="A715" s="625"/>
      <c r="B715" s="625"/>
      <c r="C715" s="625"/>
      <c r="D715" s="625"/>
      <c r="E715" s="625"/>
      <c r="F715" s="625"/>
      <c r="G715" s="625"/>
      <c r="H715" s="625"/>
      <c r="I715" s="625"/>
      <c r="J715" s="625"/>
      <c r="K715" s="625"/>
      <c r="L715" s="625"/>
      <c r="M715" s="625"/>
      <c r="N715" s="625"/>
      <c r="O715" s="625"/>
      <c r="P715" s="625"/>
      <c r="Q715" s="625"/>
      <c r="R715" s="625"/>
      <c r="S715" s="625"/>
      <c r="T715" s="625"/>
      <c r="U715" s="625"/>
      <c r="V715" s="625"/>
      <c r="W715" s="625"/>
      <c r="X715" s="625"/>
      <c r="Y715" s="625"/>
      <c r="Z715" s="625"/>
    </row>
    <row r="716">
      <c r="A716" s="625"/>
      <c r="B716" s="625"/>
      <c r="C716" s="625"/>
      <c r="D716" s="625"/>
      <c r="E716" s="625"/>
      <c r="F716" s="625"/>
      <c r="G716" s="625"/>
      <c r="H716" s="625"/>
      <c r="I716" s="625"/>
      <c r="J716" s="625"/>
      <c r="K716" s="625"/>
      <c r="L716" s="625"/>
      <c r="M716" s="625"/>
      <c r="N716" s="625"/>
      <c r="O716" s="625"/>
      <c r="P716" s="625"/>
      <c r="Q716" s="625"/>
      <c r="R716" s="625"/>
      <c r="S716" s="625"/>
      <c r="T716" s="625"/>
      <c r="U716" s="625"/>
      <c r="V716" s="625"/>
      <c r="W716" s="625"/>
      <c r="X716" s="625"/>
      <c r="Y716" s="625"/>
      <c r="Z716" s="625"/>
    </row>
    <row r="717">
      <c r="A717" s="625"/>
      <c r="B717" s="625"/>
      <c r="C717" s="625"/>
      <c r="D717" s="625"/>
      <c r="E717" s="625"/>
      <c r="F717" s="625"/>
      <c r="G717" s="625"/>
      <c r="H717" s="625"/>
      <c r="I717" s="625"/>
      <c r="J717" s="625"/>
      <c r="K717" s="625"/>
      <c r="L717" s="625"/>
      <c r="M717" s="625"/>
      <c r="N717" s="625"/>
      <c r="O717" s="625"/>
      <c r="P717" s="625"/>
      <c r="Q717" s="625"/>
      <c r="R717" s="625"/>
      <c r="S717" s="625"/>
      <c r="T717" s="625"/>
      <c r="U717" s="625"/>
      <c r="V717" s="625"/>
      <c r="W717" s="625"/>
      <c r="X717" s="625"/>
      <c r="Y717" s="625"/>
      <c r="Z717" s="625"/>
    </row>
    <row r="718">
      <c r="A718" s="625"/>
      <c r="B718" s="625"/>
      <c r="C718" s="625"/>
      <c r="D718" s="625"/>
      <c r="E718" s="625"/>
      <c r="F718" s="625"/>
      <c r="G718" s="625"/>
      <c r="H718" s="625"/>
      <c r="I718" s="625"/>
      <c r="J718" s="625"/>
      <c r="K718" s="625"/>
      <c r="L718" s="625"/>
      <c r="M718" s="625"/>
      <c r="N718" s="625"/>
      <c r="O718" s="625"/>
      <c r="P718" s="625"/>
      <c r="Q718" s="625"/>
      <c r="R718" s="625"/>
      <c r="S718" s="625"/>
      <c r="T718" s="625"/>
      <c r="U718" s="625"/>
      <c r="V718" s="625"/>
      <c r="W718" s="625"/>
      <c r="X718" s="625"/>
      <c r="Y718" s="625"/>
      <c r="Z718" s="625"/>
    </row>
    <row r="719">
      <c r="A719" s="625"/>
      <c r="B719" s="625"/>
      <c r="C719" s="625"/>
      <c r="D719" s="625"/>
      <c r="E719" s="625"/>
      <c r="F719" s="625"/>
      <c r="G719" s="625"/>
      <c r="H719" s="625"/>
      <c r="I719" s="625"/>
      <c r="J719" s="625"/>
      <c r="K719" s="625"/>
      <c r="L719" s="625"/>
      <c r="M719" s="625"/>
      <c r="N719" s="625"/>
      <c r="O719" s="625"/>
      <c r="P719" s="625"/>
      <c r="Q719" s="625"/>
      <c r="R719" s="625"/>
      <c r="S719" s="625"/>
      <c r="T719" s="625"/>
      <c r="U719" s="625"/>
      <c r="V719" s="625"/>
      <c r="W719" s="625"/>
      <c r="X719" s="625"/>
      <c r="Y719" s="625"/>
      <c r="Z719" s="625"/>
    </row>
    <row r="720">
      <c r="A720" s="625"/>
      <c r="B720" s="625"/>
      <c r="C720" s="625"/>
      <c r="D720" s="625"/>
      <c r="E720" s="625"/>
      <c r="F720" s="625"/>
      <c r="G720" s="625"/>
      <c r="H720" s="625"/>
      <c r="I720" s="625"/>
      <c r="J720" s="625"/>
      <c r="K720" s="625"/>
      <c r="L720" s="625"/>
      <c r="M720" s="625"/>
      <c r="N720" s="625"/>
      <c r="O720" s="625"/>
      <c r="P720" s="625"/>
      <c r="Q720" s="625"/>
      <c r="R720" s="625"/>
      <c r="S720" s="625"/>
      <c r="T720" s="625"/>
      <c r="U720" s="625"/>
      <c r="V720" s="625"/>
      <c r="W720" s="625"/>
      <c r="X720" s="625"/>
      <c r="Y720" s="625"/>
      <c r="Z720" s="625"/>
    </row>
    <row r="721">
      <c r="A721" s="625"/>
      <c r="B721" s="625"/>
      <c r="C721" s="625"/>
      <c r="D721" s="625"/>
      <c r="E721" s="625"/>
      <c r="F721" s="625"/>
      <c r="G721" s="625"/>
      <c r="H721" s="625"/>
      <c r="I721" s="625"/>
      <c r="J721" s="625"/>
      <c r="K721" s="625"/>
      <c r="L721" s="625"/>
      <c r="M721" s="625"/>
      <c r="N721" s="625"/>
      <c r="O721" s="625"/>
      <c r="P721" s="625"/>
      <c r="Q721" s="625"/>
      <c r="R721" s="625"/>
      <c r="S721" s="625"/>
      <c r="T721" s="625"/>
      <c r="U721" s="625"/>
      <c r="V721" s="625"/>
      <c r="W721" s="625"/>
      <c r="X721" s="625"/>
      <c r="Y721" s="625"/>
      <c r="Z721" s="625"/>
    </row>
    <row r="722">
      <c r="A722" s="625"/>
      <c r="B722" s="625"/>
      <c r="C722" s="625"/>
      <c r="D722" s="625"/>
      <c r="E722" s="625"/>
      <c r="F722" s="625"/>
      <c r="G722" s="625"/>
      <c r="H722" s="625"/>
      <c r="I722" s="625"/>
      <c r="J722" s="625"/>
      <c r="K722" s="625"/>
      <c r="L722" s="625"/>
      <c r="M722" s="625"/>
      <c r="N722" s="625"/>
      <c r="O722" s="625"/>
      <c r="P722" s="625"/>
      <c r="Q722" s="625"/>
      <c r="R722" s="625"/>
      <c r="S722" s="625"/>
      <c r="T722" s="625"/>
      <c r="U722" s="625"/>
      <c r="V722" s="625"/>
      <c r="W722" s="625"/>
      <c r="X722" s="625"/>
      <c r="Y722" s="625"/>
      <c r="Z722" s="625"/>
    </row>
    <row r="723">
      <c r="A723" s="625"/>
      <c r="B723" s="625"/>
      <c r="C723" s="625"/>
      <c r="D723" s="625"/>
      <c r="E723" s="625"/>
      <c r="F723" s="625"/>
      <c r="G723" s="625"/>
      <c r="H723" s="625"/>
      <c r="I723" s="625"/>
      <c r="J723" s="625"/>
      <c r="K723" s="625"/>
      <c r="L723" s="625"/>
      <c r="M723" s="625"/>
      <c r="N723" s="625"/>
      <c r="O723" s="625"/>
      <c r="P723" s="625"/>
      <c r="Q723" s="625"/>
      <c r="R723" s="625"/>
      <c r="S723" s="625"/>
      <c r="T723" s="625"/>
      <c r="U723" s="625"/>
      <c r="V723" s="625"/>
      <c r="W723" s="625"/>
      <c r="X723" s="625"/>
      <c r="Y723" s="625"/>
      <c r="Z723" s="625"/>
    </row>
    <row r="724">
      <c r="A724" s="625"/>
      <c r="B724" s="625"/>
      <c r="C724" s="625"/>
      <c r="D724" s="625"/>
      <c r="E724" s="625"/>
      <c r="F724" s="625"/>
      <c r="G724" s="625"/>
      <c r="H724" s="625"/>
      <c r="I724" s="625"/>
      <c r="J724" s="625"/>
      <c r="K724" s="625"/>
      <c r="L724" s="625"/>
      <c r="M724" s="625"/>
      <c r="N724" s="625"/>
      <c r="O724" s="625"/>
      <c r="P724" s="625"/>
      <c r="Q724" s="625"/>
      <c r="R724" s="625"/>
      <c r="S724" s="625"/>
      <c r="T724" s="625"/>
      <c r="U724" s="625"/>
      <c r="V724" s="625"/>
      <c r="W724" s="625"/>
      <c r="X724" s="625"/>
      <c r="Y724" s="625"/>
      <c r="Z724" s="625"/>
    </row>
    <row r="725">
      <c r="A725" s="625"/>
      <c r="B725" s="625"/>
      <c r="C725" s="625"/>
      <c r="D725" s="625"/>
      <c r="E725" s="625"/>
      <c r="F725" s="625"/>
      <c r="G725" s="625"/>
      <c r="H725" s="625"/>
      <c r="I725" s="625"/>
      <c r="J725" s="625"/>
      <c r="K725" s="625"/>
      <c r="L725" s="625"/>
      <c r="M725" s="625"/>
      <c r="N725" s="625"/>
      <c r="O725" s="625"/>
      <c r="P725" s="625"/>
      <c r="Q725" s="625"/>
      <c r="R725" s="625"/>
      <c r="S725" s="625"/>
      <c r="T725" s="625"/>
      <c r="U725" s="625"/>
      <c r="V725" s="625"/>
      <c r="W725" s="625"/>
      <c r="X725" s="625"/>
      <c r="Y725" s="625"/>
      <c r="Z725" s="625"/>
    </row>
    <row r="726">
      <c r="A726" s="625"/>
      <c r="B726" s="625"/>
      <c r="C726" s="625"/>
      <c r="D726" s="625"/>
      <c r="E726" s="625"/>
      <c r="F726" s="625"/>
      <c r="G726" s="625"/>
      <c r="H726" s="625"/>
      <c r="I726" s="625"/>
      <c r="J726" s="625"/>
      <c r="K726" s="625"/>
      <c r="L726" s="625"/>
      <c r="M726" s="625"/>
      <c r="N726" s="625"/>
      <c r="O726" s="625"/>
      <c r="P726" s="625"/>
      <c r="Q726" s="625"/>
      <c r="R726" s="625"/>
      <c r="S726" s="625"/>
      <c r="T726" s="625"/>
      <c r="U726" s="625"/>
      <c r="V726" s="625"/>
      <c r="W726" s="625"/>
      <c r="X726" s="625"/>
      <c r="Y726" s="625"/>
      <c r="Z726" s="625"/>
    </row>
    <row r="727">
      <c r="A727" s="625"/>
      <c r="B727" s="625"/>
      <c r="C727" s="625"/>
      <c r="D727" s="625"/>
      <c r="E727" s="625"/>
      <c r="F727" s="625"/>
      <c r="G727" s="625"/>
      <c r="H727" s="625"/>
      <c r="I727" s="625"/>
      <c r="J727" s="625"/>
      <c r="K727" s="625"/>
      <c r="L727" s="625"/>
      <c r="M727" s="625"/>
      <c r="N727" s="625"/>
      <c r="O727" s="625"/>
      <c r="P727" s="625"/>
      <c r="Q727" s="625"/>
      <c r="R727" s="625"/>
      <c r="S727" s="625"/>
      <c r="T727" s="625"/>
      <c r="U727" s="625"/>
      <c r="V727" s="625"/>
      <c r="W727" s="625"/>
      <c r="X727" s="625"/>
      <c r="Y727" s="625"/>
      <c r="Z727" s="625"/>
    </row>
    <row r="728">
      <c r="A728" s="625"/>
      <c r="B728" s="625"/>
      <c r="C728" s="625"/>
      <c r="D728" s="625"/>
      <c r="E728" s="625"/>
      <c r="F728" s="625"/>
      <c r="G728" s="625"/>
      <c r="H728" s="625"/>
      <c r="I728" s="625"/>
      <c r="J728" s="625"/>
      <c r="K728" s="625"/>
      <c r="L728" s="625"/>
      <c r="M728" s="625"/>
      <c r="N728" s="625"/>
      <c r="O728" s="625"/>
      <c r="P728" s="625"/>
      <c r="Q728" s="625"/>
      <c r="R728" s="625"/>
      <c r="S728" s="625"/>
      <c r="T728" s="625"/>
      <c r="U728" s="625"/>
      <c r="V728" s="625"/>
      <c r="W728" s="625"/>
      <c r="X728" s="625"/>
      <c r="Y728" s="625"/>
      <c r="Z728" s="625"/>
    </row>
    <row r="729">
      <c r="A729" s="625"/>
      <c r="B729" s="625"/>
      <c r="C729" s="625"/>
      <c r="D729" s="625"/>
      <c r="E729" s="625"/>
      <c r="F729" s="625"/>
      <c r="G729" s="625"/>
      <c r="H729" s="625"/>
      <c r="I729" s="625"/>
      <c r="J729" s="625"/>
      <c r="K729" s="625"/>
      <c r="L729" s="625"/>
      <c r="M729" s="625"/>
      <c r="N729" s="625"/>
      <c r="O729" s="625"/>
      <c r="P729" s="625"/>
      <c r="Q729" s="625"/>
      <c r="R729" s="625"/>
      <c r="S729" s="625"/>
      <c r="T729" s="625"/>
      <c r="U729" s="625"/>
      <c r="V729" s="625"/>
      <c r="W729" s="625"/>
      <c r="X729" s="625"/>
      <c r="Y729" s="625"/>
      <c r="Z729" s="625"/>
    </row>
    <row r="730">
      <c r="A730" s="625"/>
      <c r="B730" s="625"/>
      <c r="C730" s="625"/>
      <c r="D730" s="625"/>
      <c r="E730" s="625"/>
      <c r="F730" s="625"/>
      <c r="G730" s="625"/>
      <c r="H730" s="625"/>
      <c r="I730" s="625"/>
      <c r="J730" s="625"/>
      <c r="K730" s="625"/>
      <c r="L730" s="625"/>
      <c r="M730" s="625"/>
      <c r="N730" s="625"/>
      <c r="O730" s="625"/>
      <c r="P730" s="625"/>
      <c r="Q730" s="625"/>
      <c r="R730" s="625"/>
      <c r="S730" s="625"/>
      <c r="T730" s="625"/>
      <c r="U730" s="625"/>
      <c r="V730" s="625"/>
      <c r="W730" s="625"/>
      <c r="X730" s="625"/>
      <c r="Y730" s="625"/>
      <c r="Z730" s="625"/>
    </row>
    <row r="731">
      <c r="A731" s="625"/>
      <c r="B731" s="625"/>
      <c r="C731" s="625"/>
      <c r="D731" s="625"/>
      <c r="E731" s="625"/>
      <c r="F731" s="625"/>
      <c r="G731" s="625"/>
      <c r="H731" s="625"/>
      <c r="I731" s="625"/>
      <c r="J731" s="625"/>
      <c r="K731" s="625"/>
      <c r="L731" s="625"/>
      <c r="M731" s="625"/>
      <c r="N731" s="625"/>
      <c r="O731" s="625"/>
      <c r="P731" s="625"/>
      <c r="Q731" s="625"/>
      <c r="R731" s="625"/>
      <c r="S731" s="625"/>
      <c r="T731" s="625"/>
      <c r="U731" s="625"/>
      <c r="V731" s="625"/>
      <c r="W731" s="625"/>
      <c r="X731" s="625"/>
      <c r="Y731" s="625"/>
      <c r="Z731" s="625"/>
    </row>
    <row r="732">
      <c r="A732" s="625"/>
      <c r="B732" s="625"/>
      <c r="C732" s="625"/>
      <c r="D732" s="625"/>
      <c r="E732" s="625"/>
      <c r="F732" s="625"/>
      <c r="G732" s="625"/>
      <c r="H732" s="625"/>
      <c r="I732" s="625"/>
      <c r="J732" s="625"/>
      <c r="K732" s="625"/>
      <c r="L732" s="625"/>
      <c r="M732" s="625"/>
      <c r="N732" s="625"/>
      <c r="O732" s="625"/>
      <c r="P732" s="625"/>
      <c r="Q732" s="625"/>
      <c r="R732" s="625"/>
      <c r="S732" s="625"/>
      <c r="T732" s="625"/>
      <c r="U732" s="625"/>
      <c r="V732" s="625"/>
      <c r="W732" s="625"/>
      <c r="X732" s="625"/>
      <c r="Y732" s="625"/>
      <c r="Z732" s="625"/>
    </row>
    <row r="733">
      <c r="A733" s="625"/>
      <c r="B733" s="625"/>
      <c r="C733" s="625"/>
      <c r="D733" s="625"/>
      <c r="E733" s="625"/>
      <c r="F733" s="625"/>
      <c r="G733" s="625"/>
      <c r="H733" s="625"/>
      <c r="I733" s="625"/>
      <c r="J733" s="625"/>
      <c r="K733" s="625"/>
      <c r="L733" s="625"/>
      <c r="M733" s="625"/>
      <c r="N733" s="625"/>
      <c r="O733" s="625"/>
      <c r="P733" s="625"/>
      <c r="Q733" s="625"/>
      <c r="R733" s="625"/>
      <c r="S733" s="625"/>
      <c r="T733" s="625"/>
      <c r="U733" s="625"/>
      <c r="V733" s="625"/>
      <c r="W733" s="625"/>
      <c r="X733" s="625"/>
      <c r="Y733" s="625"/>
      <c r="Z733" s="625"/>
    </row>
    <row r="734">
      <c r="A734" s="625"/>
      <c r="B734" s="625"/>
      <c r="C734" s="625"/>
      <c r="D734" s="625"/>
      <c r="E734" s="625"/>
      <c r="F734" s="625"/>
      <c r="G734" s="625"/>
      <c r="H734" s="625"/>
      <c r="I734" s="625"/>
      <c r="J734" s="625"/>
      <c r="K734" s="625"/>
      <c r="L734" s="625"/>
      <c r="M734" s="625"/>
      <c r="N734" s="625"/>
      <c r="O734" s="625"/>
      <c r="P734" s="625"/>
      <c r="Q734" s="625"/>
      <c r="R734" s="625"/>
      <c r="S734" s="625"/>
      <c r="T734" s="625"/>
      <c r="U734" s="625"/>
      <c r="V734" s="625"/>
      <c r="W734" s="625"/>
      <c r="X734" s="625"/>
      <c r="Y734" s="625"/>
      <c r="Z734" s="625"/>
    </row>
    <row r="735">
      <c r="A735" s="625"/>
      <c r="B735" s="625"/>
      <c r="C735" s="625"/>
      <c r="D735" s="625"/>
      <c r="E735" s="625"/>
      <c r="F735" s="625"/>
      <c r="G735" s="625"/>
      <c r="H735" s="625"/>
      <c r="I735" s="625"/>
      <c r="J735" s="625"/>
      <c r="K735" s="625"/>
      <c r="L735" s="625"/>
      <c r="M735" s="625"/>
      <c r="N735" s="625"/>
      <c r="O735" s="625"/>
      <c r="P735" s="625"/>
      <c r="Q735" s="625"/>
      <c r="R735" s="625"/>
      <c r="S735" s="625"/>
      <c r="T735" s="625"/>
      <c r="U735" s="625"/>
      <c r="V735" s="625"/>
      <c r="W735" s="625"/>
      <c r="X735" s="625"/>
      <c r="Y735" s="625"/>
      <c r="Z735" s="625"/>
    </row>
    <row r="736">
      <c r="A736" s="625"/>
      <c r="B736" s="625"/>
      <c r="C736" s="625"/>
      <c r="D736" s="625"/>
      <c r="E736" s="625"/>
      <c r="F736" s="625"/>
      <c r="G736" s="625"/>
      <c r="H736" s="625"/>
      <c r="I736" s="625"/>
      <c r="J736" s="625"/>
      <c r="K736" s="625"/>
      <c r="L736" s="625"/>
      <c r="M736" s="625"/>
      <c r="N736" s="625"/>
      <c r="O736" s="625"/>
      <c r="P736" s="625"/>
      <c r="Q736" s="625"/>
      <c r="R736" s="625"/>
      <c r="S736" s="625"/>
      <c r="T736" s="625"/>
      <c r="U736" s="625"/>
      <c r="V736" s="625"/>
      <c r="W736" s="625"/>
      <c r="X736" s="625"/>
      <c r="Y736" s="625"/>
      <c r="Z736" s="625"/>
    </row>
    <row r="737">
      <c r="A737" s="625"/>
      <c r="B737" s="625"/>
      <c r="C737" s="625"/>
      <c r="D737" s="625"/>
      <c r="E737" s="625"/>
      <c r="F737" s="625"/>
      <c r="G737" s="625"/>
      <c r="H737" s="625"/>
      <c r="I737" s="625"/>
      <c r="J737" s="625"/>
      <c r="K737" s="625"/>
      <c r="L737" s="625"/>
      <c r="M737" s="625"/>
      <c r="N737" s="625"/>
      <c r="O737" s="625"/>
      <c r="P737" s="625"/>
      <c r="Q737" s="625"/>
      <c r="R737" s="625"/>
      <c r="S737" s="625"/>
      <c r="T737" s="625"/>
      <c r="U737" s="625"/>
      <c r="V737" s="625"/>
      <c r="W737" s="625"/>
      <c r="X737" s="625"/>
      <c r="Y737" s="625"/>
      <c r="Z737" s="625"/>
    </row>
    <row r="738">
      <c r="A738" s="625"/>
      <c r="B738" s="625"/>
      <c r="C738" s="625"/>
      <c r="D738" s="625"/>
      <c r="E738" s="625"/>
      <c r="F738" s="625"/>
      <c r="G738" s="625"/>
      <c r="H738" s="625"/>
      <c r="I738" s="625"/>
      <c r="J738" s="625"/>
      <c r="K738" s="625"/>
      <c r="L738" s="625"/>
      <c r="M738" s="625"/>
      <c r="N738" s="625"/>
      <c r="O738" s="625"/>
      <c r="P738" s="625"/>
      <c r="Q738" s="625"/>
      <c r="R738" s="625"/>
      <c r="S738" s="625"/>
      <c r="T738" s="625"/>
      <c r="U738" s="625"/>
      <c r="V738" s="625"/>
      <c r="W738" s="625"/>
      <c r="X738" s="625"/>
      <c r="Y738" s="625"/>
      <c r="Z738" s="625"/>
    </row>
    <row r="739">
      <c r="A739" s="625"/>
      <c r="B739" s="625"/>
      <c r="C739" s="625"/>
      <c r="D739" s="625"/>
      <c r="E739" s="625"/>
      <c r="F739" s="625"/>
      <c r="G739" s="625"/>
      <c r="H739" s="625"/>
      <c r="I739" s="625"/>
      <c r="J739" s="625"/>
      <c r="K739" s="625"/>
      <c r="L739" s="625"/>
      <c r="M739" s="625"/>
      <c r="N739" s="625"/>
      <c r="O739" s="625"/>
      <c r="P739" s="625"/>
      <c r="Q739" s="625"/>
      <c r="R739" s="625"/>
      <c r="S739" s="625"/>
      <c r="T739" s="625"/>
      <c r="U739" s="625"/>
      <c r="V739" s="625"/>
      <c r="W739" s="625"/>
      <c r="X739" s="625"/>
      <c r="Y739" s="625"/>
      <c r="Z739" s="625"/>
    </row>
    <row r="740">
      <c r="A740" s="625"/>
      <c r="B740" s="625"/>
      <c r="C740" s="625"/>
      <c r="D740" s="625"/>
      <c r="E740" s="625"/>
      <c r="F740" s="625"/>
      <c r="G740" s="625"/>
      <c r="H740" s="625"/>
      <c r="I740" s="625"/>
      <c r="J740" s="625"/>
      <c r="K740" s="625"/>
      <c r="L740" s="625"/>
      <c r="M740" s="625"/>
      <c r="N740" s="625"/>
      <c r="O740" s="625"/>
      <c r="P740" s="625"/>
      <c r="Q740" s="625"/>
      <c r="R740" s="625"/>
      <c r="S740" s="625"/>
      <c r="T740" s="625"/>
      <c r="U740" s="625"/>
      <c r="V740" s="625"/>
      <c r="W740" s="625"/>
      <c r="X740" s="625"/>
      <c r="Y740" s="625"/>
      <c r="Z740" s="625"/>
    </row>
    <row r="741">
      <c r="A741" s="625"/>
      <c r="B741" s="625"/>
      <c r="C741" s="625"/>
      <c r="D741" s="625"/>
      <c r="E741" s="625"/>
      <c r="F741" s="625"/>
      <c r="G741" s="625"/>
      <c r="H741" s="625"/>
      <c r="I741" s="625"/>
      <c r="J741" s="625"/>
      <c r="K741" s="625"/>
      <c r="L741" s="625"/>
      <c r="M741" s="625"/>
      <c r="N741" s="625"/>
      <c r="O741" s="625"/>
      <c r="P741" s="625"/>
      <c r="Q741" s="625"/>
      <c r="R741" s="625"/>
      <c r="S741" s="625"/>
      <c r="T741" s="625"/>
      <c r="U741" s="625"/>
      <c r="V741" s="625"/>
      <c r="W741" s="625"/>
      <c r="X741" s="625"/>
      <c r="Y741" s="625"/>
      <c r="Z741" s="625"/>
    </row>
    <row r="742">
      <c r="A742" s="625"/>
      <c r="B742" s="625"/>
      <c r="C742" s="625"/>
      <c r="D742" s="625"/>
      <c r="E742" s="625"/>
      <c r="F742" s="625"/>
      <c r="G742" s="625"/>
      <c r="H742" s="625"/>
      <c r="I742" s="625"/>
      <c r="J742" s="625"/>
      <c r="K742" s="625"/>
      <c r="L742" s="625"/>
      <c r="M742" s="625"/>
      <c r="N742" s="625"/>
      <c r="O742" s="625"/>
      <c r="P742" s="625"/>
      <c r="Q742" s="625"/>
      <c r="R742" s="625"/>
      <c r="S742" s="625"/>
      <c r="T742" s="625"/>
      <c r="U742" s="625"/>
      <c r="V742" s="625"/>
      <c r="W742" s="625"/>
      <c r="X742" s="625"/>
      <c r="Y742" s="625"/>
      <c r="Z742" s="625"/>
    </row>
    <row r="743">
      <c r="A743" s="625"/>
      <c r="B743" s="625"/>
      <c r="C743" s="625"/>
      <c r="D743" s="625"/>
      <c r="E743" s="625"/>
      <c r="F743" s="625"/>
      <c r="G743" s="625"/>
      <c r="H743" s="625"/>
      <c r="I743" s="625"/>
      <c r="J743" s="625"/>
      <c r="K743" s="625"/>
      <c r="L743" s="625"/>
      <c r="M743" s="625"/>
      <c r="N743" s="625"/>
      <c r="O743" s="625"/>
      <c r="P743" s="625"/>
      <c r="Q743" s="625"/>
      <c r="R743" s="625"/>
      <c r="S743" s="625"/>
      <c r="T743" s="625"/>
      <c r="U743" s="625"/>
      <c r="V743" s="625"/>
      <c r="W743" s="625"/>
      <c r="X743" s="625"/>
      <c r="Y743" s="625"/>
      <c r="Z743" s="625"/>
    </row>
    <row r="744">
      <c r="A744" s="625"/>
      <c r="B744" s="625"/>
      <c r="C744" s="625"/>
      <c r="D744" s="625"/>
      <c r="E744" s="625"/>
      <c r="F744" s="625"/>
      <c r="G744" s="625"/>
      <c r="H744" s="625"/>
      <c r="I744" s="625"/>
      <c r="J744" s="625"/>
      <c r="K744" s="625"/>
      <c r="L744" s="625"/>
      <c r="M744" s="625"/>
      <c r="N744" s="625"/>
      <c r="O744" s="625"/>
      <c r="P744" s="625"/>
      <c r="Q744" s="625"/>
      <c r="R744" s="625"/>
      <c r="S744" s="625"/>
      <c r="T744" s="625"/>
      <c r="U744" s="625"/>
      <c r="V744" s="625"/>
      <c r="W744" s="625"/>
      <c r="X744" s="625"/>
      <c r="Y744" s="625"/>
      <c r="Z744" s="625"/>
    </row>
    <row r="745">
      <c r="A745" s="625"/>
      <c r="B745" s="625"/>
      <c r="C745" s="625"/>
      <c r="D745" s="625"/>
      <c r="E745" s="625"/>
      <c r="F745" s="625"/>
      <c r="G745" s="625"/>
      <c r="H745" s="625"/>
      <c r="I745" s="625"/>
      <c r="J745" s="625"/>
      <c r="K745" s="625"/>
      <c r="L745" s="625"/>
      <c r="M745" s="625"/>
      <c r="N745" s="625"/>
      <c r="O745" s="625"/>
      <c r="P745" s="625"/>
      <c r="Q745" s="625"/>
      <c r="R745" s="625"/>
      <c r="S745" s="625"/>
      <c r="T745" s="625"/>
      <c r="U745" s="625"/>
      <c r="V745" s="625"/>
      <c r="W745" s="625"/>
      <c r="X745" s="625"/>
      <c r="Y745" s="625"/>
      <c r="Z745" s="625"/>
    </row>
    <row r="746">
      <c r="A746" s="625"/>
      <c r="B746" s="625"/>
      <c r="C746" s="625"/>
      <c r="D746" s="625"/>
      <c r="E746" s="625"/>
      <c r="F746" s="625"/>
      <c r="G746" s="625"/>
      <c r="H746" s="625"/>
      <c r="I746" s="625"/>
      <c r="J746" s="625"/>
      <c r="K746" s="625"/>
      <c r="L746" s="625"/>
      <c r="M746" s="625"/>
      <c r="N746" s="625"/>
      <c r="O746" s="625"/>
      <c r="P746" s="625"/>
      <c r="Q746" s="625"/>
      <c r="R746" s="625"/>
      <c r="S746" s="625"/>
      <c r="T746" s="625"/>
      <c r="U746" s="625"/>
      <c r="V746" s="625"/>
      <c r="W746" s="625"/>
      <c r="X746" s="625"/>
      <c r="Y746" s="625"/>
      <c r="Z746" s="625"/>
    </row>
    <row r="747">
      <c r="A747" s="625"/>
      <c r="B747" s="625"/>
      <c r="C747" s="625"/>
      <c r="D747" s="625"/>
      <c r="E747" s="625"/>
      <c r="F747" s="625"/>
      <c r="G747" s="625"/>
      <c r="H747" s="625"/>
      <c r="I747" s="625"/>
      <c r="J747" s="625"/>
      <c r="K747" s="625"/>
      <c r="L747" s="625"/>
      <c r="M747" s="625"/>
      <c r="N747" s="625"/>
      <c r="O747" s="625"/>
      <c r="P747" s="625"/>
      <c r="Q747" s="625"/>
      <c r="R747" s="625"/>
      <c r="S747" s="625"/>
      <c r="T747" s="625"/>
      <c r="U747" s="625"/>
      <c r="V747" s="625"/>
      <c r="W747" s="625"/>
      <c r="X747" s="625"/>
      <c r="Y747" s="625"/>
      <c r="Z747" s="625"/>
    </row>
    <row r="748">
      <c r="A748" s="625"/>
      <c r="B748" s="625"/>
      <c r="C748" s="625"/>
      <c r="D748" s="625"/>
      <c r="E748" s="625"/>
      <c r="F748" s="625"/>
      <c r="G748" s="625"/>
      <c r="H748" s="625"/>
      <c r="I748" s="625"/>
      <c r="J748" s="625"/>
      <c r="K748" s="625"/>
      <c r="L748" s="625"/>
      <c r="M748" s="625"/>
      <c r="N748" s="625"/>
      <c r="O748" s="625"/>
      <c r="P748" s="625"/>
      <c r="Q748" s="625"/>
      <c r="R748" s="625"/>
      <c r="S748" s="625"/>
      <c r="T748" s="625"/>
      <c r="U748" s="625"/>
      <c r="V748" s="625"/>
      <c r="W748" s="625"/>
      <c r="X748" s="625"/>
      <c r="Y748" s="625"/>
      <c r="Z748" s="625"/>
    </row>
    <row r="749">
      <c r="A749" s="625"/>
      <c r="B749" s="625"/>
      <c r="C749" s="625"/>
      <c r="D749" s="625"/>
      <c r="E749" s="625"/>
      <c r="F749" s="625"/>
      <c r="G749" s="625"/>
      <c r="H749" s="625"/>
      <c r="I749" s="625"/>
      <c r="J749" s="625"/>
      <c r="K749" s="625"/>
      <c r="L749" s="625"/>
      <c r="M749" s="625"/>
      <c r="N749" s="625"/>
      <c r="O749" s="625"/>
      <c r="P749" s="625"/>
      <c r="Q749" s="625"/>
      <c r="R749" s="625"/>
      <c r="S749" s="625"/>
      <c r="T749" s="625"/>
      <c r="U749" s="625"/>
      <c r="V749" s="625"/>
      <c r="W749" s="625"/>
      <c r="X749" s="625"/>
      <c r="Y749" s="625"/>
      <c r="Z749" s="625"/>
    </row>
    <row r="750">
      <c r="A750" s="625"/>
      <c r="B750" s="625"/>
      <c r="C750" s="625"/>
      <c r="D750" s="625"/>
      <c r="E750" s="625"/>
      <c r="F750" s="625"/>
      <c r="G750" s="625"/>
      <c r="H750" s="625"/>
      <c r="I750" s="625"/>
      <c r="J750" s="625"/>
      <c r="K750" s="625"/>
      <c r="L750" s="625"/>
      <c r="M750" s="625"/>
      <c r="N750" s="625"/>
      <c r="O750" s="625"/>
      <c r="P750" s="625"/>
      <c r="Q750" s="625"/>
      <c r="R750" s="625"/>
      <c r="S750" s="625"/>
      <c r="T750" s="625"/>
      <c r="U750" s="625"/>
      <c r="V750" s="625"/>
      <c r="W750" s="625"/>
      <c r="X750" s="625"/>
      <c r="Y750" s="625"/>
      <c r="Z750" s="625"/>
    </row>
    <row r="751">
      <c r="A751" s="625"/>
      <c r="B751" s="625"/>
      <c r="C751" s="625"/>
      <c r="D751" s="625"/>
      <c r="E751" s="625"/>
      <c r="F751" s="625"/>
      <c r="G751" s="625"/>
      <c r="H751" s="625"/>
      <c r="I751" s="625"/>
      <c r="J751" s="625"/>
      <c r="K751" s="625"/>
      <c r="L751" s="625"/>
      <c r="M751" s="625"/>
      <c r="N751" s="625"/>
      <c r="O751" s="625"/>
      <c r="P751" s="625"/>
      <c r="Q751" s="625"/>
      <c r="R751" s="625"/>
      <c r="S751" s="625"/>
      <c r="T751" s="625"/>
      <c r="U751" s="625"/>
      <c r="V751" s="625"/>
      <c r="W751" s="625"/>
      <c r="X751" s="625"/>
      <c r="Y751" s="625"/>
      <c r="Z751" s="625"/>
    </row>
    <row r="752">
      <c r="A752" s="625"/>
      <c r="B752" s="625"/>
      <c r="C752" s="625"/>
      <c r="D752" s="625"/>
      <c r="E752" s="625"/>
      <c r="F752" s="625"/>
      <c r="G752" s="625"/>
      <c r="H752" s="625"/>
      <c r="I752" s="625"/>
      <c r="J752" s="625"/>
      <c r="K752" s="625"/>
      <c r="L752" s="625"/>
      <c r="M752" s="625"/>
      <c r="N752" s="625"/>
      <c r="O752" s="625"/>
      <c r="P752" s="625"/>
      <c r="Q752" s="625"/>
      <c r="R752" s="625"/>
      <c r="S752" s="625"/>
      <c r="T752" s="625"/>
      <c r="U752" s="625"/>
      <c r="V752" s="625"/>
      <c r="W752" s="625"/>
      <c r="X752" s="625"/>
      <c r="Y752" s="625"/>
      <c r="Z752" s="625"/>
    </row>
    <row r="753">
      <c r="A753" s="625"/>
      <c r="B753" s="625"/>
      <c r="C753" s="625"/>
      <c r="D753" s="625"/>
      <c r="E753" s="625"/>
      <c r="F753" s="625"/>
      <c r="G753" s="625"/>
      <c r="H753" s="625"/>
      <c r="I753" s="625"/>
      <c r="J753" s="625"/>
      <c r="K753" s="625"/>
      <c r="L753" s="625"/>
      <c r="M753" s="625"/>
      <c r="N753" s="625"/>
      <c r="O753" s="625"/>
      <c r="P753" s="625"/>
      <c r="Q753" s="625"/>
      <c r="R753" s="625"/>
      <c r="S753" s="625"/>
      <c r="T753" s="625"/>
      <c r="U753" s="625"/>
      <c r="V753" s="625"/>
      <c r="W753" s="625"/>
      <c r="X753" s="625"/>
      <c r="Y753" s="625"/>
      <c r="Z753" s="625"/>
    </row>
    <row r="754">
      <c r="A754" s="625"/>
      <c r="B754" s="625"/>
      <c r="C754" s="625"/>
      <c r="D754" s="625"/>
      <c r="E754" s="625"/>
      <c r="F754" s="625"/>
      <c r="G754" s="625"/>
      <c r="H754" s="625"/>
      <c r="I754" s="625"/>
      <c r="J754" s="625"/>
      <c r="K754" s="625"/>
      <c r="L754" s="625"/>
      <c r="M754" s="625"/>
      <c r="N754" s="625"/>
      <c r="O754" s="625"/>
      <c r="P754" s="625"/>
      <c r="Q754" s="625"/>
      <c r="R754" s="625"/>
      <c r="S754" s="625"/>
      <c r="T754" s="625"/>
      <c r="U754" s="625"/>
      <c r="V754" s="625"/>
      <c r="W754" s="625"/>
      <c r="X754" s="625"/>
      <c r="Y754" s="625"/>
      <c r="Z754" s="625"/>
    </row>
    <row r="755">
      <c r="A755" s="625"/>
      <c r="B755" s="625"/>
      <c r="C755" s="625"/>
      <c r="D755" s="625"/>
      <c r="E755" s="625"/>
      <c r="F755" s="625"/>
      <c r="G755" s="625"/>
      <c r="H755" s="625"/>
      <c r="I755" s="625"/>
      <c r="J755" s="625"/>
      <c r="K755" s="625"/>
      <c r="L755" s="625"/>
      <c r="M755" s="625"/>
      <c r="N755" s="625"/>
      <c r="O755" s="625"/>
      <c r="P755" s="625"/>
      <c r="Q755" s="625"/>
      <c r="R755" s="625"/>
      <c r="S755" s="625"/>
      <c r="T755" s="625"/>
      <c r="U755" s="625"/>
      <c r="V755" s="625"/>
      <c r="W755" s="625"/>
      <c r="X755" s="625"/>
      <c r="Y755" s="625"/>
      <c r="Z755" s="625"/>
    </row>
    <row r="756">
      <c r="A756" s="625"/>
      <c r="B756" s="625"/>
      <c r="C756" s="625"/>
      <c r="D756" s="625"/>
      <c r="E756" s="625"/>
      <c r="F756" s="625"/>
      <c r="G756" s="625"/>
      <c r="H756" s="625"/>
      <c r="I756" s="625"/>
      <c r="J756" s="625"/>
      <c r="K756" s="625"/>
      <c r="L756" s="625"/>
      <c r="M756" s="625"/>
      <c r="N756" s="625"/>
      <c r="O756" s="625"/>
      <c r="P756" s="625"/>
      <c r="Q756" s="625"/>
      <c r="R756" s="625"/>
      <c r="S756" s="625"/>
      <c r="T756" s="625"/>
      <c r="U756" s="625"/>
      <c r="V756" s="625"/>
      <c r="W756" s="625"/>
      <c r="X756" s="625"/>
      <c r="Y756" s="625"/>
      <c r="Z756" s="625"/>
    </row>
    <row r="757">
      <c r="A757" s="625"/>
      <c r="B757" s="625"/>
      <c r="C757" s="625"/>
      <c r="D757" s="625"/>
      <c r="E757" s="625"/>
      <c r="F757" s="625"/>
      <c r="G757" s="625"/>
      <c r="H757" s="625"/>
      <c r="I757" s="625"/>
      <c r="J757" s="625"/>
      <c r="K757" s="625"/>
      <c r="L757" s="625"/>
      <c r="M757" s="625"/>
      <c r="N757" s="625"/>
      <c r="O757" s="625"/>
      <c r="P757" s="625"/>
      <c r="Q757" s="625"/>
      <c r="R757" s="625"/>
      <c r="S757" s="625"/>
      <c r="T757" s="625"/>
      <c r="U757" s="625"/>
      <c r="V757" s="625"/>
      <c r="W757" s="625"/>
      <c r="X757" s="625"/>
      <c r="Y757" s="625"/>
      <c r="Z757" s="625"/>
    </row>
    <row r="758">
      <c r="A758" s="625"/>
      <c r="B758" s="625"/>
      <c r="C758" s="625"/>
      <c r="D758" s="625"/>
      <c r="E758" s="625"/>
      <c r="F758" s="625"/>
      <c r="G758" s="625"/>
      <c r="H758" s="625"/>
      <c r="I758" s="625"/>
      <c r="J758" s="625"/>
      <c r="K758" s="625"/>
      <c r="L758" s="625"/>
      <c r="M758" s="625"/>
      <c r="N758" s="625"/>
      <c r="O758" s="625"/>
      <c r="P758" s="625"/>
      <c r="Q758" s="625"/>
      <c r="R758" s="625"/>
      <c r="S758" s="625"/>
      <c r="T758" s="625"/>
      <c r="U758" s="625"/>
      <c r="V758" s="625"/>
      <c r="W758" s="625"/>
      <c r="X758" s="625"/>
      <c r="Y758" s="625"/>
      <c r="Z758" s="625"/>
    </row>
    <row r="759">
      <c r="A759" s="625"/>
      <c r="B759" s="625"/>
      <c r="C759" s="625"/>
      <c r="D759" s="625"/>
      <c r="E759" s="625"/>
      <c r="F759" s="625"/>
      <c r="G759" s="625"/>
      <c r="H759" s="625"/>
      <c r="I759" s="625"/>
      <c r="J759" s="625"/>
      <c r="K759" s="625"/>
      <c r="L759" s="625"/>
      <c r="M759" s="625"/>
      <c r="N759" s="625"/>
      <c r="O759" s="625"/>
      <c r="P759" s="625"/>
      <c r="Q759" s="625"/>
      <c r="R759" s="625"/>
      <c r="S759" s="625"/>
      <c r="T759" s="625"/>
      <c r="U759" s="625"/>
      <c r="V759" s="625"/>
      <c r="W759" s="625"/>
      <c r="X759" s="625"/>
      <c r="Y759" s="625"/>
      <c r="Z759" s="625"/>
    </row>
    <row r="760">
      <c r="A760" s="625"/>
      <c r="B760" s="625"/>
      <c r="C760" s="625"/>
      <c r="D760" s="625"/>
      <c r="E760" s="625"/>
      <c r="F760" s="625"/>
      <c r="G760" s="625"/>
      <c r="H760" s="625"/>
      <c r="I760" s="625"/>
      <c r="J760" s="625"/>
      <c r="K760" s="625"/>
      <c r="L760" s="625"/>
      <c r="M760" s="625"/>
      <c r="N760" s="625"/>
      <c r="O760" s="625"/>
      <c r="P760" s="625"/>
      <c r="Q760" s="625"/>
      <c r="R760" s="625"/>
      <c r="S760" s="625"/>
      <c r="T760" s="625"/>
      <c r="U760" s="625"/>
      <c r="V760" s="625"/>
      <c r="W760" s="625"/>
      <c r="X760" s="625"/>
      <c r="Y760" s="625"/>
      <c r="Z760" s="625"/>
    </row>
    <row r="761">
      <c r="A761" s="625"/>
      <c r="B761" s="625"/>
      <c r="C761" s="625"/>
      <c r="D761" s="625"/>
      <c r="E761" s="625"/>
      <c r="F761" s="625"/>
      <c r="G761" s="625"/>
      <c r="H761" s="625"/>
      <c r="I761" s="625"/>
      <c r="J761" s="625"/>
      <c r="K761" s="625"/>
      <c r="L761" s="625"/>
      <c r="M761" s="625"/>
      <c r="N761" s="625"/>
      <c r="O761" s="625"/>
      <c r="P761" s="625"/>
      <c r="Q761" s="625"/>
      <c r="R761" s="625"/>
      <c r="S761" s="625"/>
      <c r="T761" s="625"/>
      <c r="U761" s="625"/>
      <c r="V761" s="625"/>
      <c r="W761" s="625"/>
      <c r="X761" s="625"/>
      <c r="Y761" s="625"/>
      <c r="Z761" s="625"/>
    </row>
    <row r="762">
      <c r="A762" s="625"/>
      <c r="B762" s="625"/>
      <c r="C762" s="625"/>
      <c r="D762" s="625"/>
      <c r="E762" s="625"/>
      <c r="F762" s="625"/>
      <c r="G762" s="625"/>
      <c r="H762" s="625"/>
      <c r="I762" s="625"/>
      <c r="J762" s="625"/>
      <c r="K762" s="625"/>
      <c r="L762" s="625"/>
      <c r="M762" s="625"/>
      <c r="N762" s="625"/>
      <c r="O762" s="625"/>
      <c r="P762" s="625"/>
      <c r="Q762" s="625"/>
      <c r="R762" s="625"/>
      <c r="S762" s="625"/>
      <c r="T762" s="625"/>
      <c r="U762" s="625"/>
      <c r="V762" s="625"/>
      <c r="W762" s="625"/>
      <c r="X762" s="625"/>
      <c r="Y762" s="625"/>
      <c r="Z762" s="625"/>
    </row>
    <row r="763">
      <c r="A763" s="625"/>
      <c r="B763" s="625"/>
      <c r="C763" s="625"/>
      <c r="D763" s="625"/>
      <c r="E763" s="625"/>
      <c r="F763" s="625"/>
      <c r="G763" s="625"/>
      <c r="H763" s="625"/>
      <c r="I763" s="625"/>
      <c r="J763" s="625"/>
      <c r="K763" s="625"/>
      <c r="L763" s="625"/>
      <c r="M763" s="625"/>
      <c r="N763" s="625"/>
      <c r="O763" s="625"/>
      <c r="P763" s="625"/>
      <c r="Q763" s="625"/>
      <c r="R763" s="625"/>
      <c r="S763" s="625"/>
      <c r="T763" s="625"/>
      <c r="U763" s="625"/>
      <c r="V763" s="625"/>
      <c r="W763" s="625"/>
      <c r="X763" s="625"/>
      <c r="Y763" s="625"/>
      <c r="Z763" s="625"/>
    </row>
    <row r="764">
      <c r="A764" s="625"/>
      <c r="B764" s="625"/>
      <c r="C764" s="625"/>
      <c r="D764" s="625"/>
      <c r="E764" s="625"/>
      <c r="F764" s="625"/>
      <c r="G764" s="625"/>
      <c r="H764" s="625"/>
      <c r="I764" s="625"/>
      <c r="J764" s="625"/>
      <c r="K764" s="625"/>
      <c r="L764" s="625"/>
      <c r="M764" s="625"/>
      <c r="N764" s="625"/>
      <c r="O764" s="625"/>
      <c r="P764" s="625"/>
      <c r="Q764" s="625"/>
      <c r="R764" s="625"/>
      <c r="S764" s="625"/>
      <c r="T764" s="625"/>
      <c r="U764" s="625"/>
      <c r="V764" s="625"/>
      <c r="W764" s="625"/>
      <c r="X764" s="625"/>
      <c r="Y764" s="625"/>
      <c r="Z764" s="625"/>
    </row>
    <row r="765">
      <c r="A765" s="625"/>
      <c r="B765" s="625"/>
      <c r="C765" s="625"/>
      <c r="D765" s="625"/>
      <c r="E765" s="625"/>
      <c r="F765" s="625"/>
      <c r="G765" s="625"/>
      <c r="H765" s="625"/>
      <c r="I765" s="625"/>
      <c r="J765" s="625"/>
      <c r="K765" s="625"/>
      <c r="L765" s="625"/>
      <c r="M765" s="625"/>
      <c r="N765" s="625"/>
      <c r="O765" s="625"/>
      <c r="P765" s="625"/>
      <c r="Q765" s="625"/>
      <c r="R765" s="625"/>
      <c r="S765" s="625"/>
      <c r="T765" s="625"/>
      <c r="U765" s="625"/>
      <c r="V765" s="625"/>
      <c r="W765" s="625"/>
      <c r="X765" s="625"/>
      <c r="Y765" s="625"/>
      <c r="Z765" s="625"/>
    </row>
    <row r="766">
      <c r="A766" s="625"/>
      <c r="B766" s="625"/>
      <c r="C766" s="625"/>
      <c r="D766" s="625"/>
      <c r="E766" s="625"/>
      <c r="F766" s="625"/>
      <c r="G766" s="625"/>
      <c r="H766" s="625"/>
      <c r="I766" s="625"/>
      <c r="J766" s="625"/>
      <c r="K766" s="625"/>
      <c r="L766" s="625"/>
      <c r="M766" s="625"/>
      <c r="N766" s="625"/>
      <c r="O766" s="625"/>
      <c r="P766" s="625"/>
      <c r="Q766" s="625"/>
      <c r="R766" s="625"/>
      <c r="S766" s="625"/>
      <c r="T766" s="625"/>
      <c r="U766" s="625"/>
      <c r="V766" s="625"/>
      <c r="W766" s="625"/>
      <c r="X766" s="625"/>
      <c r="Y766" s="625"/>
      <c r="Z766" s="625"/>
    </row>
    <row r="767">
      <c r="A767" s="625"/>
      <c r="B767" s="625"/>
      <c r="C767" s="625"/>
      <c r="D767" s="625"/>
      <c r="E767" s="625"/>
      <c r="F767" s="625"/>
      <c r="G767" s="625"/>
      <c r="H767" s="625"/>
      <c r="I767" s="625"/>
      <c r="J767" s="625"/>
      <c r="K767" s="625"/>
      <c r="L767" s="625"/>
      <c r="M767" s="625"/>
      <c r="N767" s="625"/>
      <c r="O767" s="625"/>
      <c r="P767" s="625"/>
      <c r="Q767" s="625"/>
      <c r="R767" s="625"/>
      <c r="S767" s="625"/>
      <c r="T767" s="625"/>
      <c r="U767" s="625"/>
      <c r="V767" s="625"/>
      <c r="W767" s="625"/>
      <c r="X767" s="625"/>
      <c r="Y767" s="625"/>
      <c r="Z767" s="625"/>
    </row>
    <row r="768">
      <c r="A768" s="625"/>
      <c r="B768" s="625"/>
      <c r="C768" s="625"/>
      <c r="D768" s="625"/>
      <c r="E768" s="625"/>
      <c r="F768" s="625"/>
      <c r="G768" s="625"/>
      <c r="H768" s="625"/>
      <c r="I768" s="625"/>
      <c r="J768" s="625"/>
      <c r="K768" s="625"/>
      <c r="L768" s="625"/>
      <c r="M768" s="625"/>
      <c r="N768" s="625"/>
      <c r="O768" s="625"/>
      <c r="P768" s="625"/>
      <c r="Q768" s="625"/>
      <c r="R768" s="625"/>
      <c r="S768" s="625"/>
      <c r="T768" s="625"/>
      <c r="U768" s="625"/>
      <c r="V768" s="625"/>
      <c r="W768" s="625"/>
      <c r="X768" s="625"/>
      <c r="Y768" s="625"/>
      <c r="Z768" s="625"/>
    </row>
    <row r="769">
      <c r="A769" s="625"/>
      <c r="B769" s="625"/>
      <c r="C769" s="625"/>
      <c r="D769" s="625"/>
      <c r="E769" s="625"/>
      <c r="F769" s="625"/>
      <c r="G769" s="625"/>
      <c r="H769" s="625"/>
      <c r="I769" s="625"/>
      <c r="J769" s="625"/>
      <c r="K769" s="625"/>
      <c r="L769" s="625"/>
      <c r="M769" s="625"/>
      <c r="N769" s="625"/>
      <c r="O769" s="625"/>
      <c r="P769" s="625"/>
      <c r="Q769" s="625"/>
      <c r="R769" s="625"/>
      <c r="S769" s="625"/>
      <c r="T769" s="625"/>
      <c r="U769" s="625"/>
      <c r="V769" s="625"/>
      <c r="W769" s="625"/>
      <c r="X769" s="625"/>
      <c r="Y769" s="625"/>
      <c r="Z769" s="625"/>
    </row>
    <row r="770">
      <c r="A770" s="625"/>
      <c r="B770" s="625"/>
      <c r="C770" s="625"/>
      <c r="D770" s="625"/>
      <c r="E770" s="625"/>
      <c r="F770" s="625"/>
      <c r="G770" s="625"/>
      <c r="H770" s="625"/>
      <c r="I770" s="625"/>
      <c r="J770" s="625"/>
      <c r="K770" s="625"/>
      <c r="L770" s="625"/>
      <c r="M770" s="625"/>
      <c r="N770" s="625"/>
      <c r="O770" s="625"/>
      <c r="P770" s="625"/>
      <c r="Q770" s="625"/>
      <c r="R770" s="625"/>
      <c r="S770" s="625"/>
      <c r="T770" s="625"/>
      <c r="U770" s="625"/>
      <c r="V770" s="625"/>
      <c r="W770" s="625"/>
      <c r="X770" s="625"/>
      <c r="Y770" s="625"/>
      <c r="Z770" s="625"/>
    </row>
    <row r="771">
      <c r="A771" s="625"/>
      <c r="B771" s="625"/>
      <c r="C771" s="625"/>
      <c r="D771" s="625"/>
      <c r="E771" s="625"/>
      <c r="F771" s="625"/>
      <c r="G771" s="625"/>
      <c r="H771" s="625"/>
      <c r="I771" s="625"/>
      <c r="J771" s="625"/>
      <c r="K771" s="625"/>
      <c r="L771" s="625"/>
      <c r="M771" s="625"/>
      <c r="N771" s="625"/>
      <c r="O771" s="625"/>
      <c r="P771" s="625"/>
      <c r="Q771" s="625"/>
      <c r="R771" s="625"/>
      <c r="S771" s="625"/>
      <c r="T771" s="625"/>
      <c r="U771" s="625"/>
      <c r="V771" s="625"/>
      <c r="W771" s="625"/>
      <c r="X771" s="625"/>
      <c r="Y771" s="625"/>
      <c r="Z771" s="625"/>
    </row>
    <row r="772">
      <c r="A772" s="625"/>
      <c r="B772" s="625"/>
      <c r="C772" s="625"/>
      <c r="D772" s="625"/>
      <c r="E772" s="625"/>
      <c r="F772" s="625"/>
      <c r="G772" s="625"/>
      <c r="H772" s="625"/>
      <c r="I772" s="625"/>
      <c r="J772" s="625"/>
      <c r="K772" s="625"/>
      <c r="L772" s="625"/>
      <c r="M772" s="625"/>
      <c r="N772" s="625"/>
      <c r="O772" s="625"/>
      <c r="P772" s="625"/>
      <c r="Q772" s="625"/>
      <c r="R772" s="625"/>
      <c r="S772" s="625"/>
      <c r="T772" s="625"/>
      <c r="U772" s="625"/>
      <c r="V772" s="625"/>
      <c r="W772" s="625"/>
      <c r="X772" s="625"/>
      <c r="Y772" s="625"/>
      <c r="Z772" s="625"/>
    </row>
    <row r="773">
      <c r="A773" s="625"/>
      <c r="B773" s="625"/>
      <c r="C773" s="625"/>
      <c r="D773" s="625"/>
      <c r="E773" s="625"/>
      <c r="F773" s="625"/>
      <c r="G773" s="625"/>
      <c r="H773" s="625"/>
      <c r="I773" s="625"/>
      <c r="J773" s="625"/>
      <c r="K773" s="625"/>
      <c r="L773" s="625"/>
      <c r="M773" s="625"/>
      <c r="N773" s="625"/>
      <c r="O773" s="625"/>
      <c r="P773" s="625"/>
      <c r="Q773" s="625"/>
      <c r="R773" s="625"/>
      <c r="S773" s="625"/>
      <c r="T773" s="625"/>
      <c r="U773" s="625"/>
      <c r="V773" s="625"/>
      <c r="W773" s="625"/>
      <c r="X773" s="625"/>
      <c r="Y773" s="625"/>
      <c r="Z773" s="625"/>
    </row>
    <row r="774">
      <c r="A774" s="625"/>
      <c r="B774" s="625"/>
      <c r="C774" s="625"/>
      <c r="D774" s="625"/>
      <c r="E774" s="625"/>
      <c r="F774" s="625"/>
      <c r="G774" s="625"/>
      <c r="H774" s="625"/>
      <c r="I774" s="625"/>
      <c r="J774" s="625"/>
      <c r="K774" s="625"/>
      <c r="L774" s="625"/>
      <c r="M774" s="625"/>
      <c r="N774" s="625"/>
      <c r="O774" s="625"/>
      <c r="P774" s="625"/>
      <c r="Q774" s="625"/>
      <c r="R774" s="625"/>
      <c r="S774" s="625"/>
      <c r="T774" s="625"/>
      <c r="U774" s="625"/>
      <c r="V774" s="625"/>
      <c r="W774" s="625"/>
      <c r="X774" s="625"/>
      <c r="Y774" s="625"/>
      <c r="Z774" s="625"/>
    </row>
    <row r="775">
      <c r="A775" s="625"/>
      <c r="B775" s="625"/>
      <c r="C775" s="625"/>
      <c r="D775" s="625"/>
      <c r="E775" s="625"/>
      <c r="F775" s="625"/>
      <c r="G775" s="625"/>
      <c r="H775" s="625"/>
      <c r="I775" s="625"/>
      <c r="J775" s="625"/>
      <c r="K775" s="625"/>
      <c r="L775" s="625"/>
      <c r="M775" s="625"/>
      <c r="N775" s="625"/>
      <c r="O775" s="625"/>
      <c r="P775" s="625"/>
      <c r="Q775" s="625"/>
      <c r="R775" s="625"/>
      <c r="S775" s="625"/>
      <c r="T775" s="625"/>
      <c r="U775" s="625"/>
      <c r="V775" s="625"/>
      <c r="W775" s="625"/>
      <c r="X775" s="625"/>
      <c r="Y775" s="625"/>
      <c r="Z775" s="625"/>
    </row>
    <row r="776">
      <c r="A776" s="625"/>
      <c r="B776" s="625"/>
      <c r="C776" s="625"/>
      <c r="D776" s="625"/>
      <c r="E776" s="625"/>
      <c r="F776" s="625"/>
      <c r="G776" s="625"/>
      <c r="H776" s="625"/>
      <c r="I776" s="625"/>
      <c r="J776" s="625"/>
      <c r="K776" s="625"/>
      <c r="L776" s="625"/>
      <c r="M776" s="625"/>
      <c r="N776" s="625"/>
      <c r="O776" s="625"/>
      <c r="P776" s="625"/>
      <c r="Q776" s="625"/>
      <c r="R776" s="625"/>
      <c r="S776" s="625"/>
      <c r="T776" s="625"/>
      <c r="U776" s="625"/>
      <c r="V776" s="625"/>
      <c r="W776" s="625"/>
      <c r="X776" s="625"/>
      <c r="Y776" s="625"/>
      <c r="Z776" s="625"/>
    </row>
    <row r="777">
      <c r="A777" s="625"/>
      <c r="B777" s="625"/>
      <c r="C777" s="625"/>
      <c r="D777" s="625"/>
      <c r="E777" s="625"/>
      <c r="F777" s="625"/>
      <c r="G777" s="625"/>
      <c r="H777" s="625"/>
      <c r="I777" s="625"/>
      <c r="J777" s="625"/>
      <c r="K777" s="625"/>
      <c r="L777" s="625"/>
      <c r="M777" s="625"/>
      <c r="N777" s="625"/>
      <c r="O777" s="625"/>
      <c r="P777" s="625"/>
      <c r="Q777" s="625"/>
      <c r="R777" s="625"/>
      <c r="S777" s="625"/>
      <c r="T777" s="625"/>
      <c r="U777" s="625"/>
      <c r="V777" s="625"/>
      <c r="W777" s="625"/>
      <c r="X777" s="625"/>
      <c r="Y777" s="625"/>
      <c r="Z777" s="625"/>
    </row>
    <row r="778">
      <c r="A778" s="625"/>
      <c r="B778" s="625"/>
      <c r="C778" s="625"/>
      <c r="D778" s="625"/>
      <c r="E778" s="625"/>
      <c r="F778" s="625"/>
      <c r="G778" s="625"/>
      <c r="H778" s="625"/>
      <c r="I778" s="625"/>
      <c r="J778" s="625"/>
      <c r="K778" s="625"/>
      <c r="L778" s="625"/>
      <c r="M778" s="625"/>
      <c r="N778" s="625"/>
      <c r="O778" s="625"/>
      <c r="P778" s="625"/>
      <c r="Q778" s="625"/>
      <c r="R778" s="625"/>
      <c r="S778" s="625"/>
      <c r="T778" s="625"/>
      <c r="U778" s="625"/>
      <c r="V778" s="625"/>
      <c r="W778" s="625"/>
      <c r="X778" s="625"/>
      <c r="Y778" s="625"/>
      <c r="Z778" s="625"/>
    </row>
    <row r="779">
      <c r="A779" s="625"/>
      <c r="B779" s="625"/>
      <c r="C779" s="625"/>
      <c r="D779" s="625"/>
      <c r="E779" s="625"/>
      <c r="F779" s="625"/>
      <c r="G779" s="625"/>
      <c r="H779" s="625"/>
      <c r="I779" s="625"/>
      <c r="J779" s="625"/>
      <c r="K779" s="625"/>
      <c r="L779" s="625"/>
      <c r="M779" s="625"/>
      <c r="N779" s="625"/>
      <c r="O779" s="625"/>
      <c r="P779" s="625"/>
      <c r="Q779" s="625"/>
      <c r="R779" s="625"/>
      <c r="S779" s="625"/>
      <c r="T779" s="625"/>
      <c r="U779" s="625"/>
      <c r="V779" s="625"/>
      <c r="W779" s="625"/>
      <c r="X779" s="625"/>
      <c r="Y779" s="625"/>
      <c r="Z779" s="625"/>
    </row>
    <row r="780">
      <c r="A780" s="625"/>
      <c r="B780" s="625"/>
      <c r="C780" s="625"/>
      <c r="D780" s="625"/>
      <c r="E780" s="625"/>
      <c r="F780" s="625"/>
      <c r="G780" s="625"/>
      <c r="H780" s="625"/>
      <c r="I780" s="625"/>
      <c r="J780" s="625"/>
      <c r="K780" s="625"/>
      <c r="L780" s="625"/>
      <c r="M780" s="625"/>
      <c r="N780" s="625"/>
      <c r="O780" s="625"/>
      <c r="P780" s="625"/>
      <c r="Q780" s="625"/>
      <c r="R780" s="625"/>
      <c r="S780" s="625"/>
      <c r="T780" s="625"/>
      <c r="U780" s="625"/>
      <c r="V780" s="625"/>
      <c r="W780" s="625"/>
      <c r="X780" s="625"/>
      <c r="Y780" s="625"/>
      <c r="Z780" s="625"/>
    </row>
    <row r="781">
      <c r="A781" s="625"/>
      <c r="B781" s="625"/>
      <c r="C781" s="625"/>
      <c r="D781" s="625"/>
      <c r="E781" s="625"/>
      <c r="F781" s="625"/>
      <c r="G781" s="625"/>
      <c r="H781" s="625"/>
      <c r="I781" s="625"/>
      <c r="J781" s="625"/>
      <c r="K781" s="625"/>
      <c r="L781" s="625"/>
      <c r="M781" s="625"/>
      <c r="N781" s="625"/>
      <c r="O781" s="625"/>
      <c r="P781" s="625"/>
      <c r="Q781" s="625"/>
      <c r="R781" s="625"/>
      <c r="S781" s="625"/>
      <c r="T781" s="625"/>
      <c r="U781" s="625"/>
      <c r="V781" s="625"/>
      <c r="W781" s="625"/>
      <c r="X781" s="625"/>
      <c r="Y781" s="625"/>
      <c r="Z781" s="625"/>
    </row>
    <row r="782">
      <c r="A782" s="625"/>
      <c r="B782" s="625"/>
      <c r="C782" s="625"/>
      <c r="D782" s="625"/>
      <c r="E782" s="625"/>
      <c r="F782" s="625"/>
      <c r="G782" s="625"/>
      <c r="H782" s="625"/>
      <c r="I782" s="625"/>
      <c r="J782" s="625"/>
      <c r="K782" s="625"/>
      <c r="L782" s="625"/>
      <c r="M782" s="625"/>
      <c r="N782" s="625"/>
      <c r="O782" s="625"/>
      <c r="P782" s="625"/>
      <c r="Q782" s="625"/>
      <c r="R782" s="625"/>
      <c r="S782" s="625"/>
      <c r="T782" s="625"/>
      <c r="U782" s="625"/>
      <c r="V782" s="625"/>
      <c r="W782" s="625"/>
      <c r="X782" s="625"/>
      <c r="Y782" s="625"/>
      <c r="Z782" s="625"/>
    </row>
    <row r="783">
      <c r="A783" s="625"/>
      <c r="B783" s="625"/>
      <c r="C783" s="625"/>
      <c r="D783" s="625"/>
      <c r="E783" s="625"/>
      <c r="F783" s="625"/>
      <c r="G783" s="625"/>
      <c r="H783" s="625"/>
      <c r="I783" s="625"/>
      <c r="J783" s="625"/>
      <c r="K783" s="625"/>
      <c r="L783" s="625"/>
      <c r="M783" s="625"/>
      <c r="N783" s="625"/>
      <c r="O783" s="625"/>
      <c r="P783" s="625"/>
      <c r="Q783" s="625"/>
      <c r="R783" s="625"/>
      <c r="S783" s="625"/>
      <c r="T783" s="625"/>
      <c r="U783" s="625"/>
      <c r="V783" s="625"/>
      <c r="W783" s="625"/>
      <c r="X783" s="625"/>
      <c r="Y783" s="625"/>
      <c r="Z783" s="625"/>
    </row>
    <row r="784">
      <c r="A784" s="625"/>
      <c r="B784" s="625"/>
      <c r="C784" s="625"/>
      <c r="D784" s="625"/>
      <c r="E784" s="625"/>
      <c r="F784" s="625"/>
      <c r="G784" s="625"/>
      <c r="H784" s="625"/>
      <c r="I784" s="625"/>
      <c r="J784" s="625"/>
      <c r="K784" s="625"/>
      <c r="L784" s="625"/>
      <c r="M784" s="625"/>
      <c r="N784" s="625"/>
      <c r="O784" s="625"/>
      <c r="P784" s="625"/>
      <c r="Q784" s="625"/>
      <c r="R784" s="625"/>
      <c r="S784" s="625"/>
      <c r="T784" s="625"/>
      <c r="U784" s="625"/>
      <c r="V784" s="625"/>
      <c r="W784" s="625"/>
      <c r="X784" s="625"/>
      <c r="Y784" s="625"/>
      <c r="Z784" s="625"/>
    </row>
    <row r="785">
      <c r="A785" s="625"/>
      <c r="B785" s="625"/>
      <c r="C785" s="625"/>
      <c r="D785" s="625"/>
      <c r="E785" s="625"/>
      <c r="F785" s="625"/>
      <c r="G785" s="625"/>
      <c r="H785" s="625"/>
      <c r="I785" s="625"/>
      <c r="J785" s="625"/>
      <c r="K785" s="625"/>
      <c r="L785" s="625"/>
      <c r="M785" s="625"/>
      <c r="N785" s="625"/>
      <c r="O785" s="625"/>
      <c r="P785" s="625"/>
      <c r="Q785" s="625"/>
      <c r="R785" s="625"/>
      <c r="S785" s="625"/>
      <c r="T785" s="625"/>
      <c r="U785" s="625"/>
      <c r="V785" s="625"/>
      <c r="W785" s="625"/>
      <c r="X785" s="625"/>
      <c r="Y785" s="625"/>
      <c r="Z785" s="625"/>
    </row>
    <row r="786">
      <c r="A786" s="625"/>
      <c r="B786" s="625"/>
      <c r="C786" s="625"/>
      <c r="D786" s="625"/>
      <c r="E786" s="625"/>
      <c r="F786" s="625"/>
      <c r="G786" s="625"/>
      <c r="H786" s="625"/>
      <c r="I786" s="625"/>
      <c r="J786" s="625"/>
      <c r="K786" s="625"/>
      <c r="L786" s="625"/>
      <c r="M786" s="625"/>
      <c r="N786" s="625"/>
      <c r="O786" s="625"/>
      <c r="P786" s="625"/>
      <c r="Q786" s="625"/>
      <c r="R786" s="625"/>
      <c r="S786" s="625"/>
      <c r="T786" s="625"/>
      <c r="U786" s="625"/>
      <c r="V786" s="625"/>
      <c r="W786" s="625"/>
      <c r="X786" s="625"/>
      <c r="Y786" s="625"/>
      <c r="Z786" s="625"/>
    </row>
    <row r="787">
      <c r="A787" s="625"/>
      <c r="B787" s="625"/>
      <c r="C787" s="625"/>
      <c r="D787" s="625"/>
      <c r="E787" s="625"/>
      <c r="F787" s="625"/>
      <c r="G787" s="625"/>
      <c r="H787" s="625"/>
      <c r="I787" s="625"/>
      <c r="J787" s="625"/>
      <c r="K787" s="625"/>
      <c r="L787" s="625"/>
      <c r="M787" s="625"/>
      <c r="N787" s="625"/>
      <c r="O787" s="625"/>
      <c r="P787" s="625"/>
      <c r="Q787" s="625"/>
      <c r="R787" s="625"/>
      <c r="S787" s="625"/>
      <c r="T787" s="625"/>
      <c r="U787" s="625"/>
      <c r="V787" s="625"/>
      <c r="W787" s="625"/>
      <c r="X787" s="625"/>
      <c r="Y787" s="625"/>
      <c r="Z787" s="625"/>
    </row>
    <row r="788">
      <c r="A788" s="625"/>
      <c r="B788" s="625"/>
      <c r="C788" s="625"/>
      <c r="D788" s="625"/>
      <c r="E788" s="625"/>
      <c r="F788" s="625"/>
      <c r="G788" s="625"/>
      <c r="H788" s="625"/>
      <c r="I788" s="625"/>
      <c r="J788" s="625"/>
      <c r="K788" s="625"/>
      <c r="L788" s="625"/>
      <c r="M788" s="625"/>
      <c r="N788" s="625"/>
      <c r="O788" s="625"/>
      <c r="P788" s="625"/>
      <c r="Q788" s="625"/>
      <c r="R788" s="625"/>
      <c r="S788" s="625"/>
      <c r="T788" s="625"/>
      <c r="U788" s="625"/>
      <c r="V788" s="625"/>
      <c r="W788" s="625"/>
      <c r="X788" s="625"/>
      <c r="Y788" s="625"/>
      <c r="Z788" s="625"/>
    </row>
    <row r="789">
      <c r="A789" s="625"/>
      <c r="B789" s="625"/>
      <c r="C789" s="625"/>
      <c r="D789" s="625"/>
      <c r="E789" s="625"/>
      <c r="F789" s="625"/>
      <c r="G789" s="625"/>
      <c r="H789" s="625"/>
      <c r="I789" s="625"/>
      <c r="J789" s="625"/>
      <c r="K789" s="625"/>
      <c r="L789" s="625"/>
      <c r="M789" s="625"/>
      <c r="N789" s="625"/>
      <c r="O789" s="625"/>
      <c r="P789" s="625"/>
      <c r="Q789" s="625"/>
      <c r="R789" s="625"/>
      <c r="S789" s="625"/>
      <c r="T789" s="625"/>
      <c r="U789" s="625"/>
      <c r="V789" s="625"/>
      <c r="W789" s="625"/>
      <c r="X789" s="625"/>
      <c r="Y789" s="625"/>
      <c r="Z789" s="625"/>
    </row>
    <row r="790">
      <c r="A790" s="625"/>
      <c r="B790" s="625"/>
      <c r="C790" s="625"/>
      <c r="D790" s="625"/>
      <c r="E790" s="625"/>
      <c r="F790" s="625"/>
      <c r="G790" s="625"/>
      <c r="H790" s="625"/>
      <c r="I790" s="625"/>
      <c r="J790" s="625"/>
      <c r="K790" s="625"/>
      <c r="L790" s="625"/>
      <c r="M790" s="625"/>
      <c r="N790" s="625"/>
      <c r="O790" s="625"/>
      <c r="P790" s="625"/>
      <c r="Q790" s="625"/>
      <c r="R790" s="625"/>
      <c r="S790" s="625"/>
      <c r="T790" s="625"/>
      <c r="U790" s="625"/>
      <c r="V790" s="625"/>
      <c r="W790" s="625"/>
      <c r="X790" s="625"/>
      <c r="Y790" s="625"/>
      <c r="Z790" s="625"/>
    </row>
    <row r="791">
      <c r="A791" s="625"/>
      <c r="B791" s="625"/>
      <c r="C791" s="625"/>
      <c r="D791" s="625"/>
      <c r="E791" s="625"/>
      <c r="F791" s="625"/>
      <c r="G791" s="625"/>
      <c r="H791" s="625"/>
      <c r="I791" s="625"/>
      <c r="J791" s="625"/>
      <c r="K791" s="625"/>
      <c r="L791" s="625"/>
      <c r="M791" s="625"/>
      <c r="N791" s="625"/>
      <c r="O791" s="625"/>
      <c r="P791" s="625"/>
      <c r="Q791" s="625"/>
      <c r="R791" s="625"/>
      <c r="S791" s="625"/>
      <c r="T791" s="625"/>
      <c r="U791" s="625"/>
      <c r="V791" s="625"/>
      <c r="W791" s="625"/>
      <c r="X791" s="625"/>
      <c r="Y791" s="625"/>
      <c r="Z791" s="625"/>
    </row>
    <row r="792">
      <c r="A792" s="625"/>
      <c r="B792" s="625"/>
      <c r="C792" s="625"/>
      <c r="D792" s="625"/>
      <c r="E792" s="625"/>
      <c r="F792" s="625"/>
      <c r="G792" s="625"/>
      <c r="H792" s="625"/>
      <c r="I792" s="625"/>
      <c r="J792" s="625"/>
      <c r="K792" s="625"/>
      <c r="L792" s="625"/>
      <c r="M792" s="625"/>
      <c r="N792" s="625"/>
      <c r="O792" s="625"/>
      <c r="P792" s="625"/>
      <c r="Q792" s="625"/>
      <c r="R792" s="625"/>
      <c r="S792" s="625"/>
      <c r="T792" s="625"/>
      <c r="U792" s="625"/>
      <c r="V792" s="625"/>
      <c r="W792" s="625"/>
      <c r="X792" s="625"/>
      <c r="Y792" s="625"/>
      <c r="Z792" s="625"/>
    </row>
    <row r="793">
      <c r="A793" s="625"/>
      <c r="B793" s="625"/>
      <c r="C793" s="625"/>
      <c r="D793" s="625"/>
      <c r="E793" s="625"/>
      <c r="F793" s="625"/>
      <c r="G793" s="625"/>
      <c r="H793" s="625"/>
      <c r="I793" s="625"/>
      <c r="J793" s="625"/>
      <c r="K793" s="625"/>
      <c r="L793" s="625"/>
      <c r="M793" s="625"/>
      <c r="N793" s="625"/>
      <c r="O793" s="625"/>
      <c r="P793" s="625"/>
      <c r="Q793" s="625"/>
      <c r="R793" s="625"/>
      <c r="S793" s="625"/>
      <c r="T793" s="625"/>
      <c r="U793" s="625"/>
      <c r="V793" s="625"/>
      <c r="W793" s="625"/>
      <c r="X793" s="625"/>
      <c r="Y793" s="625"/>
      <c r="Z793" s="625"/>
    </row>
    <row r="794">
      <c r="A794" s="625"/>
      <c r="B794" s="625"/>
      <c r="C794" s="625"/>
      <c r="D794" s="625"/>
      <c r="E794" s="625"/>
      <c r="F794" s="625"/>
      <c r="G794" s="625"/>
      <c r="H794" s="625"/>
      <c r="I794" s="625"/>
      <c r="J794" s="625"/>
      <c r="K794" s="625"/>
      <c r="L794" s="625"/>
      <c r="M794" s="625"/>
      <c r="N794" s="625"/>
      <c r="O794" s="625"/>
      <c r="P794" s="625"/>
      <c r="Q794" s="625"/>
      <c r="R794" s="625"/>
      <c r="S794" s="625"/>
      <c r="T794" s="625"/>
      <c r="U794" s="625"/>
      <c r="V794" s="625"/>
      <c r="W794" s="625"/>
      <c r="X794" s="625"/>
      <c r="Y794" s="625"/>
      <c r="Z794" s="625"/>
    </row>
    <row r="795">
      <c r="A795" s="625"/>
      <c r="B795" s="625"/>
      <c r="C795" s="625"/>
      <c r="D795" s="625"/>
      <c r="E795" s="625"/>
      <c r="F795" s="625"/>
      <c r="G795" s="625"/>
      <c r="H795" s="625"/>
      <c r="I795" s="625"/>
      <c r="J795" s="625"/>
      <c r="K795" s="625"/>
      <c r="L795" s="625"/>
      <c r="M795" s="625"/>
      <c r="N795" s="625"/>
      <c r="O795" s="625"/>
      <c r="P795" s="625"/>
      <c r="Q795" s="625"/>
      <c r="R795" s="625"/>
      <c r="S795" s="625"/>
      <c r="T795" s="625"/>
      <c r="U795" s="625"/>
      <c r="V795" s="625"/>
      <c r="W795" s="625"/>
      <c r="X795" s="625"/>
      <c r="Y795" s="625"/>
      <c r="Z795" s="625"/>
    </row>
    <row r="796">
      <c r="A796" s="625"/>
      <c r="B796" s="625"/>
      <c r="C796" s="625"/>
      <c r="D796" s="625"/>
      <c r="E796" s="625"/>
      <c r="F796" s="625"/>
      <c r="G796" s="625"/>
      <c r="H796" s="625"/>
      <c r="I796" s="625"/>
      <c r="J796" s="625"/>
      <c r="K796" s="625"/>
      <c r="L796" s="625"/>
      <c r="M796" s="625"/>
      <c r="N796" s="625"/>
      <c r="O796" s="625"/>
      <c r="P796" s="625"/>
      <c r="Q796" s="625"/>
      <c r="R796" s="625"/>
      <c r="S796" s="625"/>
      <c r="T796" s="625"/>
      <c r="U796" s="625"/>
      <c r="V796" s="625"/>
      <c r="W796" s="625"/>
      <c r="X796" s="625"/>
      <c r="Y796" s="625"/>
      <c r="Z796" s="625"/>
    </row>
    <row r="797">
      <c r="A797" s="625"/>
      <c r="B797" s="625"/>
      <c r="C797" s="625"/>
      <c r="D797" s="625"/>
      <c r="E797" s="625"/>
      <c r="F797" s="625"/>
      <c r="G797" s="625"/>
      <c r="H797" s="625"/>
      <c r="I797" s="625"/>
      <c r="J797" s="625"/>
      <c r="K797" s="625"/>
      <c r="L797" s="625"/>
      <c r="M797" s="625"/>
      <c r="N797" s="625"/>
      <c r="O797" s="625"/>
      <c r="P797" s="625"/>
      <c r="Q797" s="625"/>
      <c r="R797" s="625"/>
      <c r="S797" s="625"/>
      <c r="T797" s="625"/>
      <c r="U797" s="625"/>
      <c r="V797" s="625"/>
      <c r="W797" s="625"/>
      <c r="X797" s="625"/>
      <c r="Y797" s="625"/>
      <c r="Z797" s="625"/>
    </row>
    <row r="798">
      <c r="A798" s="625"/>
      <c r="B798" s="625"/>
      <c r="C798" s="625"/>
      <c r="D798" s="625"/>
      <c r="E798" s="625"/>
      <c r="F798" s="625"/>
      <c r="G798" s="625"/>
      <c r="H798" s="625"/>
      <c r="I798" s="625"/>
      <c r="J798" s="625"/>
      <c r="K798" s="625"/>
      <c r="L798" s="625"/>
      <c r="M798" s="625"/>
      <c r="N798" s="625"/>
      <c r="O798" s="625"/>
      <c r="P798" s="625"/>
      <c r="Q798" s="625"/>
      <c r="R798" s="625"/>
      <c r="S798" s="625"/>
      <c r="T798" s="625"/>
      <c r="U798" s="625"/>
      <c r="V798" s="625"/>
      <c r="W798" s="625"/>
      <c r="X798" s="625"/>
      <c r="Y798" s="625"/>
      <c r="Z798" s="625"/>
    </row>
    <row r="799">
      <c r="A799" s="625"/>
      <c r="B799" s="625"/>
      <c r="C799" s="625"/>
      <c r="D799" s="625"/>
      <c r="E799" s="625"/>
      <c r="F799" s="625"/>
      <c r="G799" s="625"/>
      <c r="H799" s="625"/>
      <c r="I799" s="625"/>
      <c r="J799" s="625"/>
      <c r="K799" s="625"/>
      <c r="L799" s="625"/>
      <c r="M799" s="625"/>
      <c r="N799" s="625"/>
      <c r="O799" s="625"/>
      <c r="P799" s="625"/>
      <c r="Q799" s="625"/>
      <c r="R799" s="625"/>
      <c r="S799" s="625"/>
      <c r="T799" s="625"/>
      <c r="U799" s="625"/>
      <c r="V799" s="625"/>
      <c r="W799" s="625"/>
      <c r="X799" s="625"/>
      <c r="Y799" s="625"/>
      <c r="Z799" s="625"/>
    </row>
    <row r="800">
      <c r="A800" s="625"/>
      <c r="B800" s="625"/>
      <c r="C800" s="625"/>
      <c r="D800" s="625"/>
      <c r="E800" s="625"/>
      <c r="F800" s="625"/>
      <c r="G800" s="625"/>
      <c r="H800" s="625"/>
      <c r="I800" s="625"/>
      <c r="J800" s="625"/>
      <c r="K800" s="625"/>
      <c r="L800" s="625"/>
      <c r="M800" s="625"/>
      <c r="N800" s="625"/>
      <c r="O800" s="625"/>
      <c r="P800" s="625"/>
      <c r="Q800" s="625"/>
      <c r="R800" s="625"/>
      <c r="S800" s="625"/>
      <c r="T800" s="625"/>
      <c r="U800" s="625"/>
      <c r="V800" s="625"/>
      <c r="W800" s="625"/>
      <c r="X800" s="625"/>
      <c r="Y800" s="625"/>
      <c r="Z800" s="625"/>
    </row>
    <row r="801">
      <c r="A801" s="625"/>
      <c r="B801" s="625"/>
      <c r="C801" s="625"/>
      <c r="D801" s="625"/>
      <c r="E801" s="625"/>
      <c r="F801" s="625"/>
      <c r="G801" s="625"/>
      <c r="H801" s="625"/>
      <c r="I801" s="625"/>
      <c r="J801" s="625"/>
      <c r="K801" s="625"/>
      <c r="L801" s="625"/>
      <c r="M801" s="625"/>
      <c r="N801" s="625"/>
      <c r="O801" s="625"/>
      <c r="P801" s="625"/>
      <c r="Q801" s="625"/>
      <c r="R801" s="625"/>
      <c r="S801" s="625"/>
      <c r="T801" s="625"/>
      <c r="U801" s="625"/>
      <c r="V801" s="625"/>
      <c r="W801" s="625"/>
      <c r="X801" s="625"/>
      <c r="Y801" s="625"/>
      <c r="Z801" s="625"/>
    </row>
    <row r="802">
      <c r="A802" s="625"/>
      <c r="B802" s="625"/>
      <c r="C802" s="625"/>
      <c r="D802" s="625"/>
      <c r="E802" s="625"/>
      <c r="F802" s="625"/>
      <c r="G802" s="625"/>
      <c r="H802" s="625"/>
      <c r="I802" s="625"/>
      <c r="J802" s="625"/>
      <c r="K802" s="625"/>
      <c r="L802" s="625"/>
      <c r="M802" s="625"/>
      <c r="N802" s="625"/>
      <c r="O802" s="625"/>
      <c r="P802" s="625"/>
      <c r="Q802" s="625"/>
      <c r="R802" s="625"/>
      <c r="S802" s="625"/>
      <c r="T802" s="625"/>
      <c r="U802" s="625"/>
      <c r="V802" s="625"/>
      <c r="W802" s="625"/>
      <c r="X802" s="625"/>
      <c r="Y802" s="625"/>
      <c r="Z802" s="625"/>
    </row>
    <row r="803">
      <c r="A803" s="625"/>
      <c r="B803" s="625"/>
      <c r="C803" s="625"/>
      <c r="D803" s="625"/>
      <c r="E803" s="625"/>
      <c r="F803" s="625"/>
      <c r="G803" s="625"/>
      <c r="H803" s="625"/>
      <c r="I803" s="625"/>
      <c r="J803" s="625"/>
      <c r="K803" s="625"/>
      <c r="L803" s="625"/>
      <c r="M803" s="625"/>
      <c r="N803" s="625"/>
      <c r="O803" s="625"/>
      <c r="P803" s="625"/>
      <c r="Q803" s="625"/>
      <c r="R803" s="625"/>
      <c r="S803" s="625"/>
      <c r="T803" s="625"/>
      <c r="U803" s="625"/>
      <c r="V803" s="625"/>
      <c r="W803" s="625"/>
      <c r="X803" s="625"/>
      <c r="Y803" s="625"/>
      <c r="Z803" s="625"/>
    </row>
    <row r="804">
      <c r="A804" s="625"/>
      <c r="B804" s="625"/>
      <c r="C804" s="625"/>
      <c r="D804" s="625"/>
      <c r="E804" s="625"/>
      <c r="F804" s="625"/>
      <c r="G804" s="625"/>
      <c r="H804" s="625"/>
      <c r="I804" s="625"/>
      <c r="J804" s="625"/>
      <c r="K804" s="625"/>
      <c r="L804" s="625"/>
      <c r="M804" s="625"/>
      <c r="N804" s="625"/>
      <c r="O804" s="625"/>
      <c r="P804" s="625"/>
      <c r="Q804" s="625"/>
      <c r="R804" s="625"/>
      <c r="S804" s="625"/>
      <c r="T804" s="625"/>
      <c r="U804" s="625"/>
      <c r="V804" s="625"/>
      <c r="W804" s="625"/>
      <c r="X804" s="625"/>
      <c r="Y804" s="625"/>
      <c r="Z804" s="625"/>
    </row>
    <row r="805">
      <c r="A805" s="625"/>
      <c r="B805" s="625"/>
      <c r="C805" s="625"/>
      <c r="D805" s="625"/>
      <c r="E805" s="625"/>
      <c r="F805" s="625"/>
      <c r="G805" s="625"/>
      <c r="H805" s="625"/>
      <c r="I805" s="625"/>
      <c r="J805" s="625"/>
      <c r="K805" s="625"/>
      <c r="L805" s="625"/>
      <c r="M805" s="625"/>
      <c r="N805" s="625"/>
      <c r="O805" s="625"/>
      <c r="P805" s="625"/>
      <c r="Q805" s="625"/>
      <c r="R805" s="625"/>
      <c r="S805" s="625"/>
      <c r="T805" s="625"/>
      <c r="U805" s="625"/>
      <c r="V805" s="625"/>
      <c r="W805" s="625"/>
      <c r="X805" s="625"/>
      <c r="Y805" s="625"/>
      <c r="Z805" s="625"/>
    </row>
    <row r="806">
      <c r="A806" s="625"/>
      <c r="B806" s="625"/>
      <c r="C806" s="625"/>
      <c r="D806" s="625"/>
      <c r="E806" s="625"/>
      <c r="F806" s="625"/>
      <c r="G806" s="625"/>
      <c r="H806" s="625"/>
      <c r="I806" s="625"/>
      <c r="J806" s="625"/>
      <c r="K806" s="625"/>
      <c r="L806" s="625"/>
      <c r="M806" s="625"/>
      <c r="N806" s="625"/>
      <c r="O806" s="625"/>
      <c r="P806" s="625"/>
      <c r="Q806" s="625"/>
      <c r="R806" s="625"/>
      <c r="S806" s="625"/>
      <c r="T806" s="625"/>
      <c r="U806" s="625"/>
      <c r="V806" s="625"/>
      <c r="W806" s="625"/>
      <c r="X806" s="625"/>
      <c r="Y806" s="625"/>
      <c r="Z806" s="625"/>
    </row>
    <row r="807">
      <c r="A807" s="625"/>
      <c r="B807" s="625"/>
      <c r="C807" s="625"/>
      <c r="D807" s="625"/>
      <c r="E807" s="625"/>
      <c r="F807" s="625"/>
      <c r="G807" s="625"/>
      <c r="H807" s="625"/>
      <c r="I807" s="625"/>
      <c r="J807" s="625"/>
      <c r="K807" s="625"/>
      <c r="L807" s="625"/>
      <c r="M807" s="625"/>
      <c r="N807" s="625"/>
      <c r="O807" s="625"/>
      <c r="P807" s="625"/>
      <c r="Q807" s="625"/>
      <c r="R807" s="625"/>
      <c r="S807" s="625"/>
      <c r="T807" s="625"/>
      <c r="U807" s="625"/>
      <c r="V807" s="625"/>
      <c r="W807" s="625"/>
      <c r="X807" s="625"/>
      <c r="Y807" s="625"/>
      <c r="Z807" s="625"/>
    </row>
    <row r="808">
      <c r="A808" s="625"/>
      <c r="B808" s="625"/>
      <c r="C808" s="625"/>
      <c r="D808" s="625"/>
      <c r="E808" s="625"/>
      <c r="F808" s="625"/>
      <c r="G808" s="625"/>
      <c r="H808" s="625"/>
      <c r="I808" s="625"/>
      <c r="J808" s="625"/>
      <c r="K808" s="625"/>
      <c r="L808" s="625"/>
      <c r="M808" s="625"/>
      <c r="N808" s="625"/>
      <c r="O808" s="625"/>
      <c r="P808" s="625"/>
      <c r="Q808" s="625"/>
      <c r="R808" s="625"/>
      <c r="S808" s="625"/>
      <c r="T808" s="625"/>
      <c r="U808" s="625"/>
      <c r="V808" s="625"/>
      <c r="W808" s="625"/>
      <c r="X808" s="625"/>
      <c r="Y808" s="625"/>
      <c r="Z808" s="625"/>
    </row>
    <row r="809">
      <c r="A809" s="625"/>
      <c r="B809" s="625"/>
      <c r="C809" s="625"/>
      <c r="D809" s="625"/>
      <c r="E809" s="625"/>
      <c r="F809" s="625"/>
      <c r="G809" s="625"/>
      <c r="H809" s="625"/>
      <c r="I809" s="625"/>
      <c r="J809" s="625"/>
      <c r="K809" s="625"/>
      <c r="L809" s="625"/>
      <c r="M809" s="625"/>
      <c r="N809" s="625"/>
      <c r="O809" s="625"/>
      <c r="P809" s="625"/>
      <c r="Q809" s="625"/>
      <c r="R809" s="625"/>
      <c r="S809" s="625"/>
      <c r="T809" s="625"/>
      <c r="U809" s="625"/>
      <c r="V809" s="625"/>
      <c r="W809" s="625"/>
      <c r="X809" s="625"/>
      <c r="Y809" s="625"/>
      <c r="Z809" s="625"/>
    </row>
    <row r="810">
      <c r="A810" s="625"/>
      <c r="B810" s="625"/>
      <c r="C810" s="625"/>
      <c r="D810" s="625"/>
      <c r="E810" s="625"/>
      <c r="F810" s="625"/>
      <c r="G810" s="625"/>
      <c r="H810" s="625"/>
      <c r="I810" s="625"/>
      <c r="J810" s="625"/>
      <c r="K810" s="625"/>
      <c r="L810" s="625"/>
      <c r="M810" s="625"/>
      <c r="N810" s="625"/>
      <c r="O810" s="625"/>
      <c r="P810" s="625"/>
      <c r="Q810" s="625"/>
      <c r="R810" s="625"/>
      <c r="S810" s="625"/>
      <c r="T810" s="625"/>
      <c r="U810" s="625"/>
      <c r="V810" s="625"/>
      <c r="W810" s="625"/>
      <c r="X810" s="625"/>
      <c r="Y810" s="625"/>
      <c r="Z810" s="625"/>
    </row>
    <row r="811">
      <c r="A811" s="625"/>
      <c r="B811" s="625"/>
      <c r="C811" s="625"/>
      <c r="D811" s="625"/>
      <c r="E811" s="625"/>
      <c r="F811" s="625"/>
      <c r="G811" s="625"/>
      <c r="H811" s="625"/>
      <c r="I811" s="625"/>
      <c r="J811" s="625"/>
      <c r="K811" s="625"/>
      <c r="L811" s="625"/>
      <c r="M811" s="625"/>
      <c r="N811" s="625"/>
      <c r="O811" s="625"/>
      <c r="P811" s="625"/>
      <c r="Q811" s="625"/>
      <c r="R811" s="625"/>
      <c r="S811" s="625"/>
      <c r="T811" s="625"/>
      <c r="U811" s="625"/>
      <c r="V811" s="625"/>
      <c r="W811" s="625"/>
      <c r="X811" s="625"/>
      <c r="Y811" s="625"/>
      <c r="Z811" s="625"/>
    </row>
    <row r="812">
      <c r="A812" s="625"/>
      <c r="B812" s="625"/>
      <c r="C812" s="625"/>
      <c r="D812" s="625"/>
      <c r="E812" s="625"/>
      <c r="F812" s="625"/>
      <c r="G812" s="625"/>
      <c r="H812" s="625"/>
      <c r="I812" s="625"/>
      <c r="J812" s="625"/>
      <c r="K812" s="625"/>
      <c r="L812" s="625"/>
      <c r="M812" s="625"/>
      <c r="N812" s="625"/>
      <c r="O812" s="625"/>
      <c r="P812" s="625"/>
      <c r="Q812" s="625"/>
      <c r="R812" s="625"/>
      <c r="S812" s="625"/>
      <c r="T812" s="625"/>
      <c r="U812" s="625"/>
      <c r="V812" s="625"/>
      <c r="W812" s="625"/>
      <c r="X812" s="625"/>
      <c r="Y812" s="625"/>
      <c r="Z812" s="625"/>
    </row>
    <row r="813">
      <c r="A813" s="625"/>
      <c r="B813" s="625"/>
      <c r="C813" s="625"/>
      <c r="D813" s="625"/>
      <c r="E813" s="625"/>
      <c r="F813" s="625"/>
      <c r="G813" s="625"/>
      <c r="H813" s="625"/>
      <c r="I813" s="625"/>
      <c r="J813" s="625"/>
      <c r="K813" s="625"/>
      <c r="L813" s="625"/>
      <c r="M813" s="625"/>
      <c r="N813" s="625"/>
      <c r="O813" s="625"/>
      <c r="P813" s="625"/>
      <c r="Q813" s="625"/>
      <c r="R813" s="625"/>
      <c r="S813" s="625"/>
      <c r="T813" s="625"/>
      <c r="U813" s="625"/>
      <c r="V813" s="625"/>
      <c r="W813" s="625"/>
      <c r="X813" s="625"/>
      <c r="Y813" s="625"/>
      <c r="Z813" s="625"/>
    </row>
    <row r="814">
      <c r="A814" s="625"/>
      <c r="B814" s="625"/>
      <c r="C814" s="625"/>
      <c r="D814" s="625"/>
      <c r="E814" s="625"/>
      <c r="F814" s="625"/>
      <c r="G814" s="625"/>
      <c r="H814" s="625"/>
      <c r="I814" s="625"/>
      <c r="J814" s="625"/>
      <c r="K814" s="625"/>
      <c r="L814" s="625"/>
      <c r="M814" s="625"/>
      <c r="N814" s="625"/>
      <c r="O814" s="625"/>
      <c r="P814" s="625"/>
      <c r="Q814" s="625"/>
      <c r="R814" s="625"/>
      <c r="S814" s="625"/>
      <c r="T814" s="625"/>
      <c r="U814" s="625"/>
      <c r="V814" s="625"/>
      <c r="W814" s="625"/>
      <c r="X814" s="625"/>
      <c r="Y814" s="625"/>
      <c r="Z814" s="625"/>
    </row>
    <row r="815">
      <c r="A815" s="625"/>
      <c r="B815" s="625"/>
      <c r="C815" s="625"/>
      <c r="D815" s="625"/>
      <c r="E815" s="625"/>
      <c r="F815" s="625"/>
      <c r="G815" s="625"/>
      <c r="H815" s="625"/>
      <c r="I815" s="625"/>
      <c r="J815" s="625"/>
      <c r="K815" s="625"/>
      <c r="L815" s="625"/>
      <c r="M815" s="625"/>
      <c r="N815" s="625"/>
      <c r="O815" s="625"/>
      <c r="P815" s="625"/>
      <c r="Q815" s="625"/>
      <c r="R815" s="625"/>
      <c r="S815" s="625"/>
      <c r="T815" s="625"/>
      <c r="U815" s="625"/>
      <c r="V815" s="625"/>
      <c r="W815" s="625"/>
      <c r="X815" s="625"/>
      <c r="Y815" s="625"/>
      <c r="Z815" s="625"/>
    </row>
    <row r="816">
      <c r="A816" s="625"/>
      <c r="B816" s="625"/>
      <c r="C816" s="625"/>
      <c r="D816" s="625"/>
      <c r="E816" s="625"/>
      <c r="F816" s="625"/>
      <c r="G816" s="625"/>
      <c r="H816" s="625"/>
      <c r="I816" s="625"/>
      <c r="J816" s="625"/>
      <c r="K816" s="625"/>
      <c r="L816" s="625"/>
      <c r="M816" s="625"/>
      <c r="N816" s="625"/>
      <c r="O816" s="625"/>
      <c r="P816" s="625"/>
      <c r="Q816" s="625"/>
      <c r="R816" s="625"/>
      <c r="S816" s="625"/>
      <c r="T816" s="625"/>
      <c r="U816" s="625"/>
      <c r="V816" s="625"/>
      <c r="W816" s="625"/>
      <c r="X816" s="625"/>
      <c r="Y816" s="625"/>
      <c r="Z816" s="625"/>
    </row>
    <row r="817">
      <c r="A817" s="625"/>
      <c r="B817" s="625"/>
      <c r="C817" s="625"/>
      <c r="D817" s="625"/>
      <c r="E817" s="625"/>
      <c r="F817" s="625"/>
      <c r="G817" s="625"/>
      <c r="H817" s="625"/>
      <c r="I817" s="625"/>
      <c r="J817" s="625"/>
      <c r="K817" s="625"/>
      <c r="L817" s="625"/>
      <c r="M817" s="625"/>
      <c r="N817" s="625"/>
      <c r="O817" s="625"/>
      <c r="P817" s="625"/>
      <c r="Q817" s="625"/>
      <c r="R817" s="625"/>
      <c r="S817" s="625"/>
      <c r="T817" s="625"/>
      <c r="U817" s="625"/>
      <c r="V817" s="625"/>
      <c r="W817" s="625"/>
      <c r="X817" s="625"/>
      <c r="Y817" s="625"/>
      <c r="Z817" s="625"/>
    </row>
    <row r="818">
      <c r="A818" s="625"/>
      <c r="B818" s="625"/>
      <c r="C818" s="625"/>
      <c r="D818" s="625"/>
      <c r="E818" s="625"/>
      <c r="F818" s="625"/>
      <c r="G818" s="625"/>
      <c r="H818" s="625"/>
      <c r="I818" s="625"/>
      <c r="J818" s="625"/>
      <c r="K818" s="625"/>
      <c r="L818" s="625"/>
      <c r="M818" s="625"/>
      <c r="N818" s="625"/>
      <c r="O818" s="625"/>
      <c r="P818" s="625"/>
      <c r="Q818" s="625"/>
      <c r="R818" s="625"/>
      <c r="S818" s="625"/>
      <c r="T818" s="625"/>
      <c r="U818" s="625"/>
      <c r="V818" s="625"/>
      <c r="W818" s="625"/>
      <c r="X818" s="625"/>
      <c r="Y818" s="625"/>
      <c r="Z818" s="625"/>
    </row>
    <row r="819">
      <c r="A819" s="625"/>
      <c r="B819" s="625"/>
      <c r="C819" s="625"/>
      <c r="D819" s="625"/>
      <c r="E819" s="625"/>
      <c r="F819" s="625"/>
      <c r="G819" s="625"/>
      <c r="H819" s="625"/>
      <c r="I819" s="625"/>
      <c r="J819" s="625"/>
      <c r="K819" s="625"/>
      <c r="L819" s="625"/>
      <c r="M819" s="625"/>
      <c r="N819" s="625"/>
      <c r="O819" s="625"/>
      <c r="P819" s="625"/>
      <c r="Q819" s="625"/>
      <c r="R819" s="625"/>
      <c r="S819" s="625"/>
      <c r="T819" s="625"/>
      <c r="U819" s="625"/>
      <c r="V819" s="625"/>
      <c r="W819" s="625"/>
      <c r="X819" s="625"/>
      <c r="Y819" s="625"/>
      <c r="Z819" s="625"/>
    </row>
    <row r="820">
      <c r="A820" s="625"/>
      <c r="B820" s="625"/>
      <c r="C820" s="625"/>
      <c r="D820" s="625"/>
      <c r="E820" s="625"/>
      <c r="F820" s="625"/>
      <c r="G820" s="625"/>
      <c r="H820" s="625"/>
      <c r="I820" s="625"/>
      <c r="J820" s="625"/>
      <c r="K820" s="625"/>
      <c r="L820" s="625"/>
      <c r="M820" s="625"/>
      <c r="N820" s="625"/>
      <c r="O820" s="625"/>
      <c r="P820" s="625"/>
      <c r="Q820" s="625"/>
      <c r="R820" s="625"/>
      <c r="S820" s="625"/>
      <c r="T820" s="625"/>
      <c r="U820" s="625"/>
      <c r="V820" s="625"/>
      <c r="W820" s="625"/>
      <c r="X820" s="625"/>
      <c r="Y820" s="625"/>
      <c r="Z820" s="625"/>
    </row>
    <row r="821">
      <c r="A821" s="625"/>
      <c r="B821" s="625"/>
      <c r="C821" s="625"/>
      <c r="D821" s="625"/>
      <c r="E821" s="625"/>
      <c r="F821" s="625"/>
      <c r="G821" s="625"/>
      <c r="H821" s="625"/>
      <c r="I821" s="625"/>
      <c r="J821" s="625"/>
      <c r="K821" s="625"/>
      <c r="L821" s="625"/>
      <c r="M821" s="625"/>
      <c r="N821" s="625"/>
      <c r="O821" s="625"/>
      <c r="P821" s="625"/>
      <c r="Q821" s="625"/>
      <c r="R821" s="625"/>
      <c r="S821" s="625"/>
      <c r="T821" s="625"/>
      <c r="U821" s="625"/>
      <c r="V821" s="625"/>
      <c r="W821" s="625"/>
      <c r="X821" s="625"/>
      <c r="Y821" s="625"/>
      <c r="Z821" s="625"/>
    </row>
    <row r="822">
      <c r="A822" s="625"/>
      <c r="B822" s="625"/>
      <c r="C822" s="625"/>
      <c r="D822" s="625"/>
      <c r="E822" s="625"/>
      <c r="F822" s="625"/>
      <c r="G822" s="625"/>
      <c r="H822" s="625"/>
      <c r="I822" s="625"/>
      <c r="J822" s="625"/>
      <c r="K822" s="625"/>
      <c r="L822" s="625"/>
      <c r="M822" s="625"/>
      <c r="N822" s="625"/>
      <c r="O822" s="625"/>
      <c r="P822" s="625"/>
      <c r="Q822" s="625"/>
      <c r="R822" s="625"/>
      <c r="S822" s="625"/>
      <c r="T822" s="625"/>
      <c r="U822" s="625"/>
      <c r="V822" s="625"/>
      <c r="W822" s="625"/>
      <c r="X822" s="625"/>
      <c r="Y822" s="625"/>
      <c r="Z822" s="625"/>
    </row>
    <row r="823">
      <c r="A823" s="625"/>
      <c r="B823" s="625"/>
      <c r="C823" s="625"/>
      <c r="D823" s="625"/>
      <c r="E823" s="625"/>
      <c r="F823" s="625"/>
      <c r="G823" s="625"/>
      <c r="H823" s="625"/>
      <c r="I823" s="625"/>
      <c r="J823" s="625"/>
      <c r="K823" s="625"/>
      <c r="L823" s="625"/>
      <c r="M823" s="625"/>
      <c r="N823" s="625"/>
      <c r="O823" s="625"/>
      <c r="P823" s="625"/>
      <c r="Q823" s="625"/>
      <c r="R823" s="625"/>
      <c r="S823" s="625"/>
      <c r="T823" s="625"/>
      <c r="U823" s="625"/>
      <c r="V823" s="625"/>
      <c r="W823" s="625"/>
      <c r="X823" s="625"/>
      <c r="Y823" s="625"/>
      <c r="Z823" s="625"/>
    </row>
    <row r="824">
      <c r="A824" s="625"/>
      <c r="B824" s="625"/>
      <c r="C824" s="625"/>
      <c r="D824" s="625"/>
      <c r="E824" s="625"/>
      <c r="F824" s="625"/>
      <c r="G824" s="625"/>
      <c r="H824" s="625"/>
      <c r="I824" s="625"/>
      <c r="J824" s="625"/>
      <c r="K824" s="625"/>
      <c r="L824" s="625"/>
      <c r="M824" s="625"/>
      <c r="N824" s="625"/>
      <c r="O824" s="625"/>
      <c r="P824" s="625"/>
      <c r="Q824" s="625"/>
      <c r="R824" s="625"/>
      <c r="S824" s="625"/>
      <c r="T824" s="625"/>
      <c r="U824" s="625"/>
      <c r="V824" s="625"/>
      <c r="W824" s="625"/>
      <c r="X824" s="625"/>
      <c r="Y824" s="625"/>
      <c r="Z824" s="625"/>
    </row>
    <row r="825">
      <c r="A825" s="625"/>
      <c r="B825" s="625"/>
      <c r="C825" s="625"/>
      <c r="D825" s="625"/>
      <c r="E825" s="625"/>
      <c r="F825" s="625"/>
      <c r="G825" s="625"/>
      <c r="H825" s="625"/>
      <c r="I825" s="625"/>
      <c r="J825" s="625"/>
      <c r="K825" s="625"/>
      <c r="L825" s="625"/>
      <c r="M825" s="625"/>
      <c r="N825" s="625"/>
      <c r="O825" s="625"/>
      <c r="P825" s="625"/>
      <c r="Q825" s="625"/>
      <c r="R825" s="625"/>
      <c r="S825" s="625"/>
      <c r="T825" s="625"/>
      <c r="U825" s="625"/>
      <c r="V825" s="625"/>
      <c r="W825" s="625"/>
      <c r="X825" s="625"/>
      <c r="Y825" s="625"/>
      <c r="Z825" s="625"/>
    </row>
    <row r="826">
      <c r="A826" s="625"/>
      <c r="B826" s="625"/>
      <c r="C826" s="625"/>
      <c r="D826" s="625"/>
      <c r="E826" s="625"/>
      <c r="F826" s="625"/>
      <c r="G826" s="625"/>
      <c r="H826" s="625"/>
      <c r="I826" s="625"/>
      <c r="J826" s="625"/>
      <c r="K826" s="625"/>
      <c r="L826" s="625"/>
      <c r="M826" s="625"/>
      <c r="N826" s="625"/>
      <c r="O826" s="625"/>
      <c r="P826" s="625"/>
      <c r="Q826" s="625"/>
      <c r="R826" s="625"/>
      <c r="S826" s="625"/>
      <c r="T826" s="625"/>
      <c r="U826" s="625"/>
      <c r="V826" s="625"/>
      <c r="W826" s="625"/>
      <c r="X826" s="625"/>
      <c r="Y826" s="625"/>
      <c r="Z826" s="625"/>
    </row>
    <row r="827">
      <c r="A827" s="625"/>
      <c r="B827" s="625"/>
      <c r="C827" s="625"/>
      <c r="D827" s="625"/>
      <c r="E827" s="625"/>
      <c r="F827" s="625"/>
      <c r="G827" s="625"/>
      <c r="H827" s="625"/>
      <c r="I827" s="625"/>
      <c r="J827" s="625"/>
      <c r="K827" s="625"/>
      <c r="L827" s="625"/>
      <c r="M827" s="625"/>
      <c r="N827" s="625"/>
      <c r="O827" s="625"/>
      <c r="P827" s="625"/>
      <c r="Q827" s="625"/>
      <c r="R827" s="625"/>
      <c r="S827" s="625"/>
      <c r="T827" s="625"/>
      <c r="U827" s="625"/>
      <c r="V827" s="625"/>
      <c r="W827" s="625"/>
      <c r="X827" s="625"/>
      <c r="Y827" s="625"/>
      <c r="Z827" s="625"/>
    </row>
    <row r="828">
      <c r="A828" s="625"/>
      <c r="B828" s="625"/>
      <c r="C828" s="625"/>
      <c r="D828" s="625"/>
      <c r="E828" s="625"/>
      <c r="F828" s="625"/>
      <c r="G828" s="625"/>
      <c r="H828" s="625"/>
      <c r="I828" s="625"/>
      <c r="J828" s="625"/>
      <c r="K828" s="625"/>
      <c r="L828" s="625"/>
      <c r="M828" s="625"/>
      <c r="N828" s="625"/>
      <c r="O828" s="625"/>
      <c r="P828" s="625"/>
      <c r="Q828" s="625"/>
      <c r="R828" s="625"/>
      <c r="S828" s="625"/>
      <c r="T828" s="625"/>
      <c r="U828" s="625"/>
      <c r="V828" s="625"/>
      <c r="W828" s="625"/>
      <c r="X828" s="625"/>
      <c r="Y828" s="625"/>
      <c r="Z828" s="625"/>
    </row>
    <row r="829">
      <c r="A829" s="625"/>
      <c r="B829" s="625"/>
      <c r="C829" s="625"/>
      <c r="D829" s="625"/>
      <c r="E829" s="625"/>
      <c r="F829" s="625"/>
      <c r="G829" s="625"/>
      <c r="H829" s="625"/>
      <c r="I829" s="625"/>
      <c r="J829" s="625"/>
      <c r="K829" s="625"/>
      <c r="L829" s="625"/>
      <c r="M829" s="625"/>
      <c r="N829" s="625"/>
      <c r="O829" s="625"/>
      <c r="P829" s="625"/>
      <c r="Q829" s="625"/>
      <c r="R829" s="625"/>
      <c r="S829" s="625"/>
      <c r="T829" s="625"/>
      <c r="U829" s="625"/>
      <c r="V829" s="625"/>
      <c r="W829" s="625"/>
      <c r="X829" s="625"/>
      <c r="Y829" s="625"/>
      <c r="Z829" s="625"/>
    </row>
    <row r="830">
      <c r="A830" s="625"/>
      <c r="B830" s="625"/>
      <c r="C830" s="625"/>
      <c r="D830" s="625"/>
      <c r="E830" s="625"/>
      <c r="F830" s="625"/>
      <c r="G830" s="625"/>
      <c r="H830" s="625"/>
      <c r="I830" s="625"/>
      <c r="J830" s="625"/>
      <c r="K830" s="625"/>
      <c r="L830" s="625"/>
      <c r="M830" s="625"/>
      <c r="N830" s="625"/>
      <c r="O830" s="625"/>
      <c r="P830" s="625"/>
      <c r="Q830" s="625"/>
      <c r="R830" s="625"/>
      <c r="S830" s="625"/>
      <c r="T830" s="625"/>
      <c r="U830" s="625"/>
      <c r="V830" s="625"/>
      <c r="W830" s="625"/>
      <c r="X830" s="625"/>
      <c r="Y830" s="625"/>
      <c r="Z830" s="625"/>
    </row>
    <row r="831">
      <c r="A831" s="625"/>
      <c r="B831" s="625"/>
      <c r="C831" s="625"/>
      <c r="D831" s="625"/>
      <c r="E831" s="625"/>
      <c r="F831" s="625"/>
      <c r="G831" s="625"/>
      <c r="H831" s="625"/>
      <c r="I831" s="625"/>
      <c r="J831" s="625"/>
      <c r="K831" s="625"/>
      <c r="L831" s="625"/>
      <c r="M831" s="625"/>
      <c r="N831" s="625"/>
      <c r="O831" s="625"/>
      <c r="P831" s="625"/>
      <c r="Q831" s="625"/>
      <c r="R831" s="625"/>
      <c r="S831" s="625"/>
      <c r="T831" s="625"/>
      <c r="U831" s="625"/>
      <c r="V831" s="625"/>
      <c r="W831" s="625"/>
      <c r="X831" s="625"/>
      <c r="Y831" s="625"/>
      <c r="Z831" s="625"/>
    </row>
    <row r="832">
      <c r="A832" s="625"/>
      <c r="B832" s="625"/>
      <c r="C832" s="625"/>
      <c r="D832" s="625"/>
      <c r="E832" s="625"/>
      <c r="F832" s="625"/>
      <c r="G832" s="625"/>
      <c r="H832" s="625"/>
      <c r="I832" s="625"/>
      <c r="J832" s="625"/>
      <c r="K832" s="625"/>
      <c r="L832" s="625"/>
      <c r="M832" s="625"/>
      <c r="N832" s="625"/>
      <c r="O832" s="625"/>
      <c r="P832" s="625"/>
      <c r="Q832" s="625"/>
      <c r="R832" s="625"/>
      <c r="S832" s="625"/>
      <c r="T832" s="625"/>
      <c r="U832" s="625"/>
      <c r="V832" s="625"/>
      <c r="W832" s="625"/>
      <c r="X832" s="625"/>
      <c r="Y832" s="625"/>
      <c r="Z832" s="625"/>
    </row>
    <row r="833">
      <c r="A833" s="625"/>
      <c r="B833" s="625"/>
      <c r="C833" s="625"/>
      <c r="D833" s="625"/>
      <c r="E833" s="625"/>
      <c r="F833" s="625"/>
      <c r="G833" s="625"/>
      <c r="H833" s="625"/>
      <c r="I833" s="625"/>
      <c r="J833" s="625"/>
      <c r="K833" s="625"/>
      <c r="L833" s="625"/>
      <c r="M833" s="625"/>
      <c r="N833" s="625"/>
      <c r="O833" s="625"/>
      <c r="P833" s="625"/>
      <c r="Q833" s="625"/>
      <c r="R833" s="625"/>
      <c r="S833" s="625"/>
      <c r="T833" s="625"/>
      <c r="U833" s="625"/>
      <c r="V833" s="625"/>
      <c r="W833" s="625"/>
      <c r="X833" s="625"/>
      <c r="Y833" s="625"/>
      <c r="Z833" s="625"/>
    </row>
    <row r="834">
      <c r="A834" s="625"/>
      <c r="B834" s="625"/>
      <c r="C834" s="625"/>
      <c r="D834" s="625"/>
      <c r="E834" s="625"/>
      <c r="F834" s="625"/>
      <c r="G834" s="625"/>
      <c r="H834" s="625"/>
      <c r="I834" s="625"/>
      <c r="J834" s="625"/>
      <c r="K834" s="625"/>
      <c r="L834" s="625"/>
      <c r="M834" s="625"/>
      <c r="N834" s="625"/>
      <c r="O834" s="625"/>
      <c r="P834" s="625"/>
      <c r="Q834" s="625"/>
      <c r="R834" s="625"/>
      <c r="S834" s="625"/>
      <c r="T834" s="625"/>
      <c r="U834" s="625"/>
      <c r="V834" s="625"/>
      <c r="W834" s="625"/>
      <c r="X834" s="625"/>
      <c r="Y834" s="625"/>
      <c r="Z834" s="625"/>
    </row>
    <row r="835">
      <c r="A835" s="625"/>
      <c r="B835" s="625"/>
      <c r="C835" s="625"/>
      <c r="D835" s="625"/>
      <c r="E835" s="625"/>
      <c r="F835" s="625"/>
      <c r="G835" s="625"/>
      <c r="H835" s="625"/>
      <c r="I835" s="625"/>
      <c r="J835" s="625"/>
      <c r="K835" s="625"/>
      <c r="L835" s="625"/>
      <c r="M835" s="625"/>
      <c r="N835" s="625"/>
      <c r="O835" s="625"/>
      <c r="P835" s="625"/>
      <c r="Q835" s="625"/>
      <c r="R835" s="625"/>
      <c r="S835" s="625"/>
      <c r="T835" s="625"/>
      <c r="U835" s="625"/>
      <c r="V835" s="625"/>
      <c r="W835" s="625"/>
      <c r="X835" s="625"/>
      <c r="Y835" s="625"/>
      <c r="Z835" s="625"/>
    </row>
    <row r="836">
      <c r="A836" s="625"/>
      <c r="B836" s="625"/>
      <c r="C836" s="625"/>
      <c r="D836" s="625"/>
      <c r="E836" s="625"/>
      <c r="F836" s="625"/>
      <c r="G836" s="625"/>
      <c r="H836" s="625"/>
      <c r="I836" s="625"/>
      <c r="J836" s="625"/>
      <c r="K836" s="625"/>
      <c r="L836" s="625"/>
      <c r="M836" s="625"/>
      <c r="N836" s="625"/>
      <c r="O836" s="625"/>
      <c r="P836" s="625"/>
      <c r="Q836" s="625"/>
      <c r="R836" s="625"/>
      <c r="S836" s="625"/>
      <c r="T836" s="625"/>
      <c r="U836" s="625"/>
      <c r="V836" s="625"/>
      <c r="W836" s="625"/>
      <c r="X836" s="625"/>
      <c r="Y836" s="625"/>
      <c r="Z836" s="625"/>
    </row>
    <row r="837">
      <c r="A837" s="625"/>
      <c r="B837" s="625"/>
      <c r="C837" s="625"/>
      <c r="D837" s="625"/>
      <c r="E837" s="625"/>
      <c r="F837" s="625"/>
      <c r="G837" s="625"/>
      <c r="H837" s="625"/>
      <c r="I837" s="625"/>
      <c r="J837" s="625"/>
      <c r="K837" s="625"/>
      <c r="L837" s="625"/>
      <c r="M837" s="625"/>
      <c r="N837" s="625"/>
      <c r="O837" s="625"/>
      <c r="P837" s="625"/>
      <c r="Q837" s="625"/>
      <c r="R837" s="625"/>
      <c r="S837" s="625"/>
      <c r="T837" s="625"/>
      <c r="U837" s="625"/>
      <c r="V837" s="625"/>
      <c r="W837" s="625"/>
      <c r="X837" s="625"/>
      <c r="Y837" s="625"/>
      <c r="Z837" s="625"/>
    </row>
    <row r="838">
      <c r="A838" s="625"/>
      <c r="B838" s="625"/>
      <c r="C838" s="625"/>
      <c r="D838" s="625"/>
      <c r="E838" s="625"/>
      <c r="F838" s="625"/>
      <c r="G838" s="625"/>
      <c r="H838" s="625"/>
      <c r="I838" s="625"/>
      <c r="J838" s="625"/>
      <c r="K838" s="625"/>
      <c r="L838" s="625"/>
      <c r="M838" s="625"/>
      <c r="N838" s="625"/>
      <c r="O838" s="625"/>
      <c r="P838" s="625"/>
      <c r="Q838" s="625"/>
      <c r="R838" s="625"/>
      <c r="S838" s="625"/>
      <c r="T838" s="625"/>
      <c r="U838" s="625"/>
      <c r="V838" s="625"/>
      <c r="W838" s="625"/>
      <c r="X838" s="625"/>
      <c r="Y838" s="625"/>
      <c r="Z838" s="625"/>
    </row>
    <row r="839">
      <c r="A839" s="625"/>
      <c r="B839" s="625"/>
      <c r="C839" s="625"/>
      <c r="D839" s="625"/>
      <c r="E839" s="625"/>
      <c r="F839" s="625"/>
      <c r="G839" s="625"/>
      <c r="H839" s="625"/>
      <c r="I839" s="625"/>
      <c r="J839" s="625"/>
      <c r="K839" s="625"/>
      <c r="L839" s="625"/>
      <c r="M839" s="625"/>
      <c r="N839" s="625"/>
      <c r="O839" s="625"/>
      <c r="P839" s="625"/>
      <c r="Q839" s="625"/>
      <c r="R839" s="625"/>
      <c r="S839" s="625"/>
      <c r="T839" s="625"/>
      <c r="U839" s="625"/>
      <c r="V839" s="625"/>
      <c r="W839" s="625"/>
      <c r="X839" s="625"/>
      <c r="Y839" s="625"/>
      <c r="Z839" s="625"/>
    </row>
    <row r="840">
      <c r="A840" s="625"/>
      <c r="B840" s="625"/>
      <c r="C840" s="625"/>
      <c r="D840" s="625"/>
      <c r="E840" s="625"/>
      <c r="F840" s="625"/>
      <c r="G840" s="625"/>
      <c r="H840" s="625"/>
      <c r="I840" s="625"/>
      <c r="J840" s="625"/>
      <c r="K840" s="625"/>
      <c r="L840" s="625"/>
      <c r="M840" s="625"/>
      <c r="N840" s="625"/>
      <c r="O840" s="625"/>
      <c r="P840" s="625"/>
      <c r="Q840" s="625"/>
      <c r="R840" s="625"/>
      <c r="S840" s="625"/>
      <c r="T840" s="625"/>
      <c r="U840" s="625"/>
      <c r="V840" s="625"/>
      <c r="W840" s="625"/>
      <c r="X840" s="625"/>
      <c r="Y840" s="625"/>
      <c r="Z840" s="625"/>
    </row>
    <row r="841">
      <c r="A841" s="625"/>
      <c r="B841" s="625"/>
      <c r="C841" s="625"/>
      <c r="D841" s="625"/>
      <c r="E841" s="625"/>
      <c r="F841" s="625"/>
      <c r="G841" s="625"/>
      <c r="H841" s="625"/>
      <c r="I841" s="625"/>
      <c r="J841" s="625"/>
      <c r="K841" s="625"/>
      <c r="L841" s="625"/>
      <c r="M841" s="625"/>
      <c r="N841" s="625"/>
      <c r="O841" s="625"/>
      <c r="P841" s="625"/>
      <c r="Q841" s="625"/>
      <c r="R841" s="625"/>
      <c r="S841" s="625"/>
      <c r="T841" s="625"/>
      <c r="U841" s="625"/>
      <c r="V841" s="625"/>
      <c r="W841" s="625"/>
      <c r="X841" s="625"/>
      <c r="Y841" s="625"/>
      <c r="Z841" s="625"/>
    </row>
    <row r="842">
      <c r="A842" s="625"/>
      <c r="B842" s="625"/>
      <c r="C842" s="625"/>
      <c r="D842" s="625"/>
      <c r="E842" s="625"/>
      <c r="F842" s="625"/>
      <c r="G842" s="625"/>
      <c r="H842" s="625"/>
      <c r="I842" s="625"/>
      <c r="J842" s="625"/>
      <c r="K842" s="625"/>
      <c r="L842" s="625"/>
      <c r="M842" s="625"/>
      <c r="N842" s="625"/>
      <c r="O842" s="625"/>
      <c r="P842" s="625"/>
      <c r="Q842" s="625"/>
      <c r="R842" s="625"/>
      <c r="S842" s="625"/>
      <c r="T842" s="625"/>
      <c r="U842" s="625"/>
      <c r="V842" s="625"/>
      <c r="W842" s="625"/>
      <c r="X842" s="625"/>
      <c r="Y842" s="625"/>
      <c r="Z842" s="625"/>
    </row>
    <row r="843">
      <c r="A843" s="625"/>
      <c r="B843" s="625"/>
      <c r="C843" s="625"/>
      <c r="D843" s="625"/>
      <c r="E843" s="625"/>
      <c r="F843" s="625"/>
      <c r="G843" s="625"/>
      <c r="H843" s="625"/>
      <c r="I843" s="625"/>
      <c r="J843" s="625"/>
      <c r="K843" s="625"/>
      <c r="L843" s="625"/>
      <c r="M843" s="625"/>
      <c r="N843" s="625"/>
      <c r="O843" s="625"/>
      <c r="P843" s="625"/>
      <c r="Q843" s="625"/>
      <c r="R843" s="625"/>
      <c r="S843" s="625"/>
      <c r="T843" s="625"/>
      <c r="U843" s="625"/>
      <c r="V843" s="625"/>
      <c r="W843" s="625"/>
      <c r="X843" s="625"/>
      <c r="Y843" s="625"/>
      <c r="Z843" s="625"/>
    </row>
    <row r="844">
      <c r="A844" s="625"/>
      <c r="B844" s="625"/>
      <c r="C844" s="625"/>
      <c r="D844" s="625"/>
      <c r="E844" s="625"/>
      <c r="F844" s="625"/>
      <c r="G844" s="625"/>
      <c r="H844" s="625"/>
      <c r="I844" s="625"/>
      <c r="J844" s="625"/>
      <c r="K844" s="625"/>
      <c r="L844" s="625"/>
      <c r="M844" s="625"/>
      <c r="N844" s="625"/>
      <c r="O844" s="625"/>
      <c r="P844" s="625"/>
      <c r="Q844" s="625"/>
      <c r="R844" s="625"/>
      <c r="S844" s="625"/>
      <c r="T844" s="625"/>
      <c r="U844" s="625"/>
      <c r="V844" s="625"/>
      <c r="W844" s="625"/>
      <c r="X844" s="625"/>
      <c r="Y844" s="625"/>
      <c r="Z844" s="625"/>
    </row>
    <row r="845">
      <c r="A845" s="625"/>
      <c r="B845" s="625"/>
      <c r="C845" s="625"/>
      <c r="D845" s="625"/>
      <c r="E845" s="625"/>
      <c r="F845" s="625"/>
      <c r="G845" s="625"/>
      <c r="H845" s="625"/>
      <c r="I845" s="625"/>
      <c r="J845" s="625"/>
      <c r="K845" s="625"/>
      <c r="L845" s="625"/>
      <c r="M845" s="625"/>
      <c r="N845" s="625"/>
      <c r="O845" s="625"/>
      <c r="P845" s="625"/>
      <c r="Q845" s="625"/>
      <c r="R845" s="625"/>
      <c r="S845" s="625"/>
      <c r="T845" s="625"/>
      <c r="U845" s="625"/>
      <c r="V845" s="625"/>
      <c r="W845" s="625"/>
      <c r="X845" s="625"/>
      <c r="Y845" s="625"/>
      <c r="Z845" s="625"/>
    </row>
    <row r="846">
      <c r="A846" s="625"/>
      <c r="B846" s="625"/>
      <c r="C846" s="625"/>
      <c r="D846" s="625"/>
      <c r="E846" s="625"/>
      <c r="F846" s="625"/>
      <c r="G846" s="625"/>
      <c r="H846" s="625"/>
      <c r="I846" s="625"/>
      <c r="J846" s="625"/>
      <c r="K846" s="625"/>
      <c r="L846" s="625"/>
      <c r="M846" s="625"/>
      <c r="N846" s="625"/>
      <c r="O846" s="625"/>
      <c r="P846" s="625"/>
      <c r="Q846" s="625"/>
      <c r="R846" s="625"/>
      <c r="S846" s="625"/>
      <c r="T846" s="625"/>
      <c r="U846" s="625"/>
      <c r="V846" s="625"/>
      <c r="W846" s="625"/>
      <c r="X846" s="625"/>
      <c r="Y846" s="625"/>
      <c r="Z846" s="625"/>
    </row>
    <row r="847">
      <c r="A847" s="625"/>
      <c r="B847" s="625"/>
      <c r="C847" s="625"/>
      <c r="D847" s="625"/>
      <c r="E847" s="625"/>
      <c r="F847" s="625"/>
      <c r="G847" s="625"/>
      <c r="H847" s="625"/>
      <c r="I847" s="625"/>
      <c r="J847" s="625"/>
      <c r="K847" s="625"/>
      <c r="L847" s="625"/>
      <c r="M847" s="625"/>
      <c r="N847" s="625"/>
      <c r="O847" s="625"/>
      <c r="P847" s="625"/>
      <c r="Q847" s="625"/>
      <c r="R847" s="625"/>
      <c r="S847" s="625"/>
      <c r="T847" s="625"/>
      <c r="U847" s="625"/>
      <c r="V847" s="625"/>
      <c r="W847" s="625"/>
      <c r="X847" s="625"/>
      <c r="Y847" s="625"/>
      <c r="Z847" s="625"/>
    </row>
    <row r="848">
      <c r="A848" s="625"/>
      <c r="B848" s="625"/>
      <c r="C848" s="625"/>
      <c r="D848" s="625"/>
      <c r="E848" s="625"/>
      <c r="F848" s="625"/>
      <c r="G848" s="625"/>
      <c r="H848" s="625"/>
      <c r="I848" s="625"/>
      <c r="J848" s="625"/>
      <c r="K848" s="625"/>
      <c r="L848" s="625"/>
      <c r="M848" s="625"/>
      <c r="N848" s="625"/>
      <c r="O848" s="625"/>
      <c r="P848" s="625"/>
      <c r="Q848" s="625"/>
      <c r="R848" s="625"/>
      <c r="S848" s="625"/>
      <c r="T848" s="625"/>
      <c r="U848" s="625"/>
      <c r="V848" s="625"/>
      <c r="W848" s="625"/>
      <c r="X848" s="625"/>
      <c r="Y848" s="625"/>
      <c r="Z848" s="625"/>
    </row>
    <row r="849">
      <c r="A849" s="625"/>
      <c r="B849" s="625"/>
      <c r="C849" s="625"/>
      <c r="D849" s="625"/>
      <c r="E849" s="625"/>
      <c r="F849" s="625"/>
      <c r="G849" s="625"/>
      <c r="H849" s="625"/>
      <c r="I849" s="625"/>
      <c r="J849" s="625"/>
      <c r="K849" s="625"/>
      <c r="L849" s="625"/>
      <c r="M849" s="625"/>
      <c r="N849" s="625"/>
      <c r="O849" s="625"/>
      <c r="P849" s="625"/>
      <c r="Q849" s="625"/>
      <c r="R849" s="625"/>
      <c r="S849" s="625"/>
      <c r="T849" s="625"/>
      <c r="U849" s="625"/>
      <c r="V849" s="625"/>
      <c r="W849" s="625"/>
      <c r="X849" s="625"/>
      <c r="Y849" s="625"/>
      <c r="Z849" s="625"/>
    </row>
    <row r="850">
      <c r="A850" s="625"/>
      <c r="B850" s="625"/>
      <c r="C850" s="625"/>
      <c r="D850" s="625"/>
      <c r="E850" s="625"/>
      <c r="F850" s="625"/>
      <c r="G850" s="625"/>
      <c r="H850" s="625"/>
      <c r="I850" s="625"/>
      <c r="J850" s="625"/>
      <c r="K850" s="625"/>
      <c r="L850" s="625"/>
      <c r="M850" s="625"/>
      <c r="N850" s="625"/>
      <c r="O850" s="625"/>
      <c r="P850" s="625"/>
      <c r="Q850" s="625"/>
      <c r="R850" s="625"/>
      <c r="S850" s="625"/>
      <c r="T850" s="625"/>
      <c r="U850" s="625"/>
      <c r="V850" s="625"/>
      <c r="W850" s="625"/>
      <c r="X850" s="625"/>
      <c r="Y850" s="625"/>
      <c r="Z850" s="625"/>
    </row>
    <row r="851">
      <c r="A851" s="625"/>
      <c r="B851" s="625"/>
      <c r="C851" s="625"/>
      <c r="D851" s="625"/>
      <c r="E851" s="625"/>
      <c r="F851" s="625"/>
      <c r="G851" s="625"/>
      <c r="H851" s="625"/>
      <c r="I851" s="625"/>
      <c r="J851" s="625"/>
      <c r="K851" s="625"/>
      <c r="L851" s="625"/>
      <c r="M851" s="625"/>
      <c r="N851" s="625"/>
      <c r="O851" s="625"/>
      <c r="P851" s="625"/>
      <c r="Q851" s="625"/>
      <c r="R851" s="625"/>
      <c r="S851" s="625"/>
      <c r="T851" s="625"/>
      <c r="U851" s="625"/>
      <c r="V851" s="625"/>
      <c r="W851" s="625"/>
      <c r="X851" s="625"/>
      <c r="Y851" s="625"/>
      <c r="Z851" s="625"/>
    </row>
    <row r="852">
      <c r="A852" s="625"/>
      <c r="B852" s="625"/>
      <c r="C852" s="625"/>
      <c r="D852" s="625"/>
      <c r="E852" s="625"/>
      <c r="F852" s="625"/>
      <c r="G852" s="625"/>
      <c r="H852" s="625"/>
      <c r="I852" s="625"/>
      <c r="J852" s="625"/>
      <c r="K852" s="625"/>
      <c r="L852" s="625"/>
      <c r="M852" s="625"/>
      <c r="N852" s="625"/>
      <c r="O852" s="625"/>
      <c r="P852" s="625"/>
      <c r="Q852" s="625"/>
      <c r="R852" s="625"/>
      <c r="S852" s="625"/>
      <c r="T852" s="625"/>
      <c r="U852" s="625"/>
      <c r="V852" s="625"/>
      <c r="W852" s="625"/>
      <c r="X852" s="625"/>
      <c r="Y852" s="625"/>
      <c r="Z852" s="625"/>
    </row>
    <row r="853">
      <c r="A853" s="625"/>
      <c r="B853" s="625"/>
      <c r="C853" s="625"/>
      <c r="D853" s="625"/>
      <c r="E853" s="625"/>
      <c r="F853" s="625"/>
      <c r="G853" s="625"/>
      <c r="H853" s="625"/>
      <c r="I853" s="625"/>
      <c r="J853" s="625"/>
      <c r="K853" s="625"/>
      <c r="L853" s="625"/>
      <c r="M853" s="625"/>
      <c r="N853" s="625"/>
      <c r="O853" s="625"/>
      <c r="P853" s="625"/>
      <c r="Q853" s="625"/>
      <c r="R853" s="625"/>
      <c r="S853" s="625"/>
      <c r="T853" s="625"/>
      <c r="U853" s="625"/>
      <c r="V853" s="625"/>
      <c r="W853" s="625"/>
      <c r="X853" s="625"/>
      <c r="Y853" s="625"/>
      <c r="Z853" s="625"/>
    </row>
    <row r="854">
      <c r="A854" s="625"/>
      <c r="B854" s="625"/>
      <c r="C854" s="625"/>
      <c r="D854" s="625"/>
      <c r="E854" s="625"/>
      <c r="F854" s="625"/>
      <c r="G854" s="625"/>
      <c r="H854" s="625"/>
      <c r="I854" s="625"/>
      <c r="J854" s="625"/>
      <c r="K854" s="625"/>
      <c r="L854" s="625"/>
      <c r="M854" s="625"/>
      <c r="N854" s="625"/>
      <c r="O854" s="625"/>
      <c r="P854" s="625"/>
      <c r="Q854" s="625"/>
      <c r="R854" s="625"/>
      <c r="S854" s="625"/>
      <c r="T854" s="625"/>
      <c r="U854" s="625"/>
      <c r="V854" s="625"/>
      <c r="W854" s="625"/>
      <c r="X854" s="625"/>
      <c r="Y854" s="625"/>
      <c r="Z854" s="625"/>
    </row>
    <row r="855">
      <c r="A855" s="625"/>
      <c r="B855" s="625"/>
      <c r="C855" s="625"/>
      <c r="D855" s="625"/>
      <c r="E855" s="625"/>
      <c r="F855" s="625"/>
      <c r="G855" s="625"/>
      <c r="H855" s="625"/>
      <c r="I855" s="625"/>
      <c r="J855" s="625"/>
      <c r="K855" s="625"/>
      <c r="L855" s="625"/>
      <c r="M855" s="625"/>
      <c r="N855" s="625"/>
      <c r="O855" s="625"/>
      <c r="P855" s="625"/>
      <c r="Q855" s="625"/>
      <c r="R855" s="625"/>
      <c r="S855" s="625"/>
      <c r="T855" s="625"/>
      <c r="U855" s="625"/>
      <c r="V855" s="625"/>
      <c r="W855" s="625"/>
      <c r="X855" s="625"/>
      <c r="Y855" s="625"/>
      <c r="Z855" s="625"/>
    </row>
    <row r="856">
      <c r="A856" s="625"/>
      <c r="B856" s="625"/>
      <c r="C856" s="625"/>
      <c r="D856" s="625"/>
      <c r="E856" s="625"/>
      <c r="F856" s="625"/>
      <c r="G856" s="625"/>
      <c r="H856" s="625"/>
      <c r="I856" s="625"/>
      <c r="J856" s="625"/>
      <c r="K856" s="625"/>
      <c r="L856" s="625"/>
      <c r="M856" s="625"/>
      <c r="N856" s="625"/>
      <c r="O856" s="625"/>
      <c r="P856" s="625"/>
      <c r="Q856" s="625"/>
      <c r="R856" s="625"/>
      <c r="S856" s="625"/>
      <c r="T856" s="625"/>
      <c r="U856" s="625"/>
      <c r="V856" s="625"/>
      <c r="W856" s="625"/>
      <c r="X856" s="625"/>
      <c r="Y856" s="625"/>
      <c r="Z856" s="625"/>
    </row>
    <row r="857">
      <c r="A857" s="625"/>
      <c r="B857" s="625"/>
      <c r="C857" s="625"/>
      <c r="D857" s="625"/>
      <c r="E857" s="625"/>
      <c r="F857" s="625"/>
      <c r="G857" s="625"/>
      <c r="H857" s="625"/>
      <c r="I857" s="625"/>
      <c r="J857" s="625"/>
      <c r="K857" s="625"/>
      <c r="L857" s="625"/>
      <c r="M857" s="625"/>
      <c r="N857" s="625"/>
      <c r="O857" s="625"/>
      <c r="P857" s="625"/>
      <c r="Q857" s="625"/>
      <c r="R857" s="625"/>
      <c r="S857" s="625"/>
      <c r="T857" s="625"/>
      <c r="U857" s="625"/>
      <c r="V857" s="625"/>
      <c r="W857" s="625"/>
      <c r="X857" s="625"/>
      <c r="Y857" s="625"/>
      <c r="Z857" s="625"/>
    </row>
    <row r="858">
      <c r="A858" s="625"/>
      <c r="B858" s="625"/>
      <c r="C858" s="625"/>
      <c r="D858" s="625"/>
      <c r="E858" s="625"/>
      <c r="F858" s="625"/>
      <c r="G858" s="625"/>
      <c r="H858" s="625"/>
      <c r="I858" s="625"/>
      <c r="J858" s="625"/>
      <c r="K858" s="625"/>
      <c r="L858" s="625"/>
      <c r="M858" s="625"/>
      <c r="N858" s="625"/>
      <c r="O858" s="625"/>
      <c r="P858" s="625"/>
      <c r="Q858" s="625"/>
      <c r="R858" s="625"/>
      <c r="S858" s="625"/>
      <c r="T858" s="625"/>
      <c r="U858" s="625"/>
      <c r="V858" s="625"/>
      <c r="W858" s="625"/>
      <c r="X858" s="625"/>
      <c r="Y858" s="625"/>
      <c r="Z858" s="625"/>
    </row>
    <row r="859">
      <c r="A859" s="625"/>
      <c r="B859" s="625"/>
      <c r="C859" s="625"/>
      <c r="D859" s="625"/>
      <c r="E859" s="625"/>
      <c r="F859" s="625"/>
      <c r="G859" s="625"/>
      <c r="H859" s="625"/>
      <c r="I859" s="625"/>
      <c r="J859" s="625"/>
      <c r="K859" s="625"/>
      <c r="L859" s="625"/>
      <c r="M859" s="625"/>
      <c r="N859" s="625"/>
      <c r="O859" s="625"/>
      <c r="P859" s="625"/>
      <c r="Q859" s="625"/>
      <c r="R859" s="625"/>
      <c r="S859" s="625"/>
      <c r="T859" s="625"/>
      <c r="U859" s="625"/>
      <c r="V859" s="625"/>
      <c r="W859" s="625"/>
      <c r="X859" s="625"/>
      <c r="Y859" s="625"/>
      <c r="Z859" s="625"/>
    </row>
    <row r="860">
      <c r="A860" s="625"/>
      <c r="B860" s="625"/>
      <c r="C860" s="625"/>
      <c r="D860" s="625"/>
      <c r="E860" s="625"/>
      <c r="F860" s="625"/>
      <c r="G860" s="625"/>
      <c r="H860" s="625"/>
      <c r="I860" s="625"/>
      <c r="J860" s="625"/>
      <c r="K860" s="625"/>
      <c r="L860" s="625"/>
      <c r="M860" s="625"/>
      <c r="N860" s="625"/>
      <c r="O860" s="625"/>
      <c r="P860" s="625"/>
      <c r="Q860" s="625"/>
      <c r="R860" s="625"/>
      <c r="S860" s="625"/>
      <c r="T860" s="625"/>
      <c r="U860" s="625"/>
      <c r="V860" s="625"/>
      <c r="W860" s="625"/>
      <c r="X860" s="625"/>
      <c r="Y860" s="625"/>
      <c r="Z860" s="625"/>
    </row>
    <row r="861">
      <c r="A861" s="625"/>
      <c r="B861" s="625"/>
      <c r="C861" s="625"/>
      <c r="D861" s="625"/>
      <c r="E861" s="625"/>
      <c r="F861" s="625"/>
      <c r="G861" s="625"/>
      <c r="H861" s="625"/>
      <c r="I861" s="625"/>
      <c r="J861" s="625"/>
      <c r="K861" s="625"/>
      <c r="L861" s="625"/>
      <c r="M861" s="625"/>
      <c r="N861" s="625"/>
      <c r="O861" s="625"/>
      <c r="P861" s="625"/>
      <c r="Q861" s="625"/>
      <c r="R861" s="625"/>
      <c r="S861" s="625"/>
      <c r="T861" s="625"/>
      <c r="U861" s="625"/>
      <c r="V861" s="625"/>
      <c r="W861" s="625"/>
      <c r="X861" s="625"/>
      <c r="Y861" s="625"/>
      <c r="Z861" s="625"/>
    </row>
    <row r="862">
      <c r="A862" s="625"/>
      <c r="B862" s="625"/>
      <c r="C862" s="625"/>
      <c r="D862" s="625"/>
      <c r="E862" s="625"/>
      <c r="F862" s="625"/>
      <c r="G862" s="625"/>
      <c r="H862" s="625"/>
      <c r="I862" s="625"/>
      <c r="J862" s="625"/>
      <c r="K862" s="625"/>
      <c r="L862" s="625"/>
      <c r="M862" s="625"/>
      <c r="N862" s="625"/>
      <c r="O862" s="625"/>
      <c r="P862" s="625"/>
      <c r="Q862" s="625"/>
      <c r="R862" s="625"/>
      <c r="S862" s="625"/>
      <c r="T862" s="625"/>
      <c r="U862" s="625"/>
      <c r="V862" s="625"/>
      <c r="W862" s="625"/>
      <c r="X862" s="625"/>
      <c r="Y862" s="625"/>
      <c r="Z862" s="625"/>
    </row>
    <row r="863">
      <c r="A863" s="625"/>
      <c r="B863" s="625"/>
      <c r="C863" s="625"/>
      <c r="D863" s="625"/>
      <c r="E863" s="625"/>
      <c r="F863" s="625"/>
      <c r="G863" s="625"/>
      <c r="H863" s="625"/>
      <c r="I863" s="625"/>
      <c r="J863" s="625"/>
      <c r="K863" s="625"/>
      <c r="L863" s="625"/>
      <c r="M863" s="625"/>
      <c r="N863" s="625"/>
      <c r="O863" s="625"/>
      <c r="P863" s="625"/>
      <c r="Q863" s="625"/>
      <c r="R863" s="625"/>
      <c r="S863" s="625"/>
      <c r="T863" s="625"/>
      <c r="U863" s="625"/>
      <c r="V863" s="625"/>
      <c r="W863" s="625"/>
      <c r="X863" s="625"/>
      <c r="Y863" s="625"/>
      <c r="Z863" s="625"/>
    </row>
    <row r="864">
      <c r="A864" s="625"/>
      <c r="B864" s="625"/>
      <c r="C864" s="625"/>
      <c r="D864" s="625"/>
      <c r="E864" s="625"/>
      <c r="F864" s="625"/>
      <c r="G864" s="625"/>
      <c r="H864" s="625"/>
      <c r="I864" s="625"/>
      <c r="J864" s="625"/>
      <c r="K864" s="625"/>
      <c r="L864" s="625"/>
      <c r="M864" s="625"/>
      <c r="N864" s="625"/>
      <c r="O864" s="625"/>
      <c r="P864" s="625"/>
      <c r="Q864" s="625"/>
      <c r="R864" s="625"/>
      <c r="S864" s="625"/>
      <c r="T864" s="625"/>
      <c r="U864" s="625"/>
      <c r="V864" s="625"/>
      <c r="W864" s="625"/>
      <c r="X864" s="625"/>
      <c r="Y864" s="625"/>
      <c r="Z864" s="625"/>
    </row>
    <row r="865">
      <c r="A865" s="625"/>
      <c r="B865" s="625"/>
      <c r="C865" s="625"/>
      <c r="D865" s="625"/>
      <c r="E865" s="625"/>
      <c r="F865" s="625"/>
      <c r="G865" s="625"/>
      <c r="H865" s="625"/>
      <c r="I865" s="625"/>
      <c r="J865" s="625"/>
      <c r="K865" s="625"/>
      <c r="L865" s="625"/>
      <c r="M865" s="625"/>
      <c r="N865" s="625"/>
      <c r="O865" s="625"/>
      <c r="P865" s="625"/>
      <c r="Q865" s="625"/>
      <c r="R865" s="625"/>
      <c r="S865" s="625"/>
      <c r="T865" s="625"/>
      <c r="U865" s="625"/>
      <c r="V865" s="625"/>
      <c r="W865" s="625"/>
      <c r="X865" s="625"/>
      <c r="Y865" s="625"/>
      <c r="Z865" s="625"/>
    </row>
    <row r="866">
      <c r="A866" s="625"/>
      <c r="B866" s="625"/>
      <c r="C866" s="625"/>
      <c r="D866" s="625"/>
      <c r="E866" s="625"/>
      <c r="F866" s="625"/>
      <c r="G866" s="625"/>
      <c r="H866" s="625"/>
      <c r="I866" s="625"/>
      <c r="J866" s="625"/>
      <c r="K866" s="625"/>
      <c r="L866" s="625"/>
      <c r="M866" s="625"/>
      <c r="N866" s="625"/>
      <c r="O866" s="625"/>
      <c r="P866" s="625"/>
      <c r="Q866" s="625"/>
      <c r="R866" s="625"/>
      <c r="S866" s="625"/>
      <c r="T866" s="625"/>
      <c r="U866" s="625"/>
      <c r="V866" s="625"/>
      <c r="W866" s="625"/>
      <c r="X866" s="625"/>
      <c r="Y866" s="625"/>
      <c r="Z866" s="625"/>
    </row>
    <row r="867">
      <c r="A867" s="625"/>
      <c r="B867" s="625"/>
      <c r="C867" s="625"/>
      <c r="D867" s="625"/>
      <c r="E867" s="625"/>
      <c r="F867" s="625"/>
      <c r="G867" s="625"/>
      <c r="H867" s="625"/>
      <c r="I867" s="625"/>
      <c r="J867" s="625"/>
      <c r="K867" s="625"/>
      <c r="L867" s="625"/>
      <c r="M867" s="625"/>
      <c r="N867" s="625"/>
      <c r="O867" s="625"/>
      <c r="P867" s="625"/>
      <c r="Q867" s="625"/>
      <c r="R867" s="625"/>
      <c r="S867" s="625"/>
      <c r="T867" s="625"/>
      <c r="U867" s="625"/>
      <c r="V867" s="625"/>
      <c r="W867" s="625"/>
      <c r="X867" s="625"/>
      <c r="Y867" s="625"/>
      <c r="Z867" s="625"/>
    </row>
    <row r="868">
      <c r="A868" s="625"/>
      <c r="B868" s="625"/>
      <c r="C868" s="625"/>
      <c r="D868" s="625"/>
      <c r="E868" s="625"/>
      <c r="F868" s="625"/>
      <c r="G868" s="625"/>
      <c r="H868" s="625"/>
      <c r="I868" s="625"/>
      <c r="J868" s="625"/>
      <c r="K868" s="625"/>
      <c r="L868" s="625"/>
      <c r="M868" s="625"/>
      <c r="N868" s="625"/>
      <c r="O868" s="625"/>
      <c r="P868" s="625"/>
      <c r="Q868" s="625"/>
      <c r="R868" s="625"/>
      <c r="S868" s="625"/>
      <c r="T868" s="625"/>
      <c r="U868" s="625"/>
      <c r="V868" s="625"/>
      <c r="W868" s="625"/>
      <c r="X868" s="625"/>
      <c r="Y868" s="625"/>
      <c r="Z868" s="625"/>
    </row>
    <row r="869">
      <c r="A869" s="625"/>
      <c r="B869" s="625"/>
      <c r="C869" s="625"/>
      <c r="D869" s="625"/>
      <c r="E869" s="625"/>
      <c r="F869" s="625"/>
      <c r="G869" s="625"/>
      <c r="H869" s="625"/>
      <c r="I869" s="625"/>
      <c r="J869" s="625"/>
      <c r="K869" s="625"/>
      <c r="L869" s="625"/>
      <c r="M869" s="625"/>
      <c r="N869" s="625"/>
      <c r="O869" s="625"/>
      <c r="P869" s="625"/>
      <c r="Q869" s="625"/>
      <c r="R869" s="625"/>
      <c r="S869" s="625"/>
      <c r="T869" s="625"/>
      <c r="U869" s="625"/>
      <c r="V869" s="625"/>
      <c r="W869" s="625"/>
      <c r="X869" s="625"/>
      <c r="Y869" s="625"/>
      <c r="Z869" s="625"/>
    </row>
    <row r="870">
      <c r="A870" s="625"/>
      <c r="B870" s="625"/>
      <c r="C870" s="625"/>
      <c r="D870" s="625"/>
      <c r="E870" s="625"/>
      <c r="F870" s="625"/>
      <c r="G870" s="625"/>
      <c r="H870" s="625"/>
      <c r="I870" s="625"/>
      <c r="J870" s="625"/>
      <c r="K870" s="625"/>
      <c r="L870" s="625"/>
      <c r="M870" s="625"/>
      <c r="N870" s="625"/>
      <c r="O870" s="625"/>
      <c r="P870" s="625"/>
      <c r="Q870" s="625"/>
      <c r="R870" s="625"/>
      <c r="S870" s="625"/>
      <c r="T870" s="625"/>
      <c r="U870" s="625"/>
      <c r="V870" s="625"/>
      <c r="W870" s="625"/>
      <c r="X870" s="625"/>
      <c r="Y870" s="625"/>
      <c r="Z870" s="625"/>
    </row>
    <row r="871">
      <c r="A871" s="625"/>
      <c r="B871" s="625"/>
      <c r="C871" s="625"/>
      <c r="D871" s="625"/>
      <c r="E871" s="625"/>
      <c r="F871" s="625"/>
      <c r="G871" s="625"/>
      <c r="H871" s="625"/>
      <c r="I871" s="625"/>
      <c r="J871" s="625"/>
      <c r="K871" s="625"/>
      <c r="L871" s="625"/>
      <c r="M871" s="625"/>
      <c r="N871" s="625"/>
      <c r="O871" s="625"/>
      <c r="P871" s="625"/>
      <c r="Q871" s="625"/>
      <c r="R871" s="625"/>
      <c r="S871" s="625"/>
      <c r="T871" s="625"/>
      <c r="U871" s="625"/>
      <c r="V871" s="625"/>
      <c r="W871" s="625"/>
      <c r="X871" s="625"/>
      <c r="Y871" s="625"/>
      <c r="Z871" s="625"/>
    </row>
    <row r="872">
      <c r="A872" s="625"/>
      <c r="B872" s="625"/>
      <c r="C872" s="625"/>
      <c r="D872" s="625"/>
      <c r="E872" s="625"/>
      <c r="F872" s="625"/>
      <c r="G872" s="625"/>
      <c r="H872" s="625"/>
      <c r="I872" s="625"/>
      <c r="J872" s="625"/>
      <c r="K872" s="625"/>
      <c r="L872" s="625"/>
      <c r="M872" s="625"/>
      <c r="N872" s="625"/>
      <c r="O872" s="625"/>
      <c r="P872" s="625"/>
      <c r="Q872" s="625"/>
      <c r="R872" s="625"/>
      <c r="S872" s="625"/>
      <c r="T872" s="625"/>
      <c r="U872" s="625"/>
      <c r="V872" s="625"/>
      <c r="W872" s="625"/>
      <c r="X872" s="625"/>
      <c r="Y872" s="625"/>
      <c r="Z872" s="625"/>
    </row>
    <row r="873">
      <c r="A873" s="625"/>
      <c r="B873" s="625"/>
      <c r="C873" s="625"/>
      <c r="D873" s="625"/>
      <c r="E873" s="625"/>
      <c r="F873" s="625"/>
      <c r="G873" s="625"/>
      <c r="H873" s="625"/>
      <c r="I873" s="625"/>
      <c r="J873" s="625"/>
      <c r="K873" s="625"/>
      <c r="L873" s="625"/>
      <c r="M873" s="625"/>
      <c r="N873" s="625"/>
      <c r="O873" s="625"/>
      <c r="P873" s="625"/>
      <c r="Q873" s="625"/>
      <c r="R873" s="625"/>
      <c r="S873" s="625"/>
      <c r="T873" s="625"/>
      <c r="U873" s="625"/>
      <c r="V873" s="625"/>
      <c r="W873" s="625"/>
      <c r="X873" s="625"/>
      <c r="Y873" s="625"/>
      <c r="Z873" s="625"/>
    </row>
    <row r="874">
      <c r="A874" s="625"/>
      <c r="B874" s="625"/>
      <c r="C874" s="625"/>
      <c r="D874" s="625"/>
      <c r="E874" s="625"/>
      <c r="F874" s="625"/>
      <c r="G874" s="625"/>
      <c r="H874" s="625"/>
      <c r="I874" s="625"/>
      <c r="J874" s="625"/>
      <c r="K874" s="625"/>
      <c r="L874" s="625"/>
      <c r="M874" s="625"/>
      <c r="N874" s="625"/>
      <c r="O874" s="625"/>
      <c r="P874" s="625"/>
      <c r="Q874" s="625"/>
      <c r="R874" s="625"/>
      <c r="S874" s="625"/>
      <c r="T874" s="625"/>
      <c r="U874" s="625"/>
      <c r="V874" s="625"/>
      <c r="W874" s="625"/>
      <c r="X874" s="625"/>
      <c r="Y874" s="625"/>
      <c r="Z874" s="625"/>
    </row>
    <row r="875">
      <c r="A875" s="625"/>
      <c r="B875" s="625"/>
      <c r="C875" s="625"/>
      <c r="D875" s="625"/>
      <c r="E875" s="625"/>
      <c r="F875" s="625"/>
      <c r="G875" s="625"/>
      <c r="H875" s="625"/>
      <c r="I875" s="625"/>
      <c r="J875" s="625"/>
      <c r="K875" s="625"/>
      <c r="L875" s="625"/>
      <c r="M875" s="625"/>
      <c r="N875" s="625"/>
      <c r="O875" s="625"/>
      <c r="P875" s="625"/>
      <c r="Q875" s="625"/>
      <c r="R875" s="625"/>
      <c r="S875" s="625"/>
      <c r="T875" s="625"/>
      <c r="U875" s="625"/>
      <c r="V875" s="625"/>
      <c r="W875" s="625"/>
      <c r="X875" s="625"/>
      <c r="Y875" s="625"/>
      <c r="Z875" s="625"/>
    </row>
    <row r="876">
      <c r="A876" s="625"/>
      <c r="B876" s="625"/>
      <c r="C876" s="625"/>
      <c r="D876" s="625"/>
      <c r="E876" s="625"/>
      <c r="F876" s="625"/>
      <c r="G876" s="625"/>
      <c r="H876" s="625"/>
      <c r="I876" s="625"/>
      <c r="J876" s="625"/>
      <c r="K876" s="625"/>
      <c r="L876" s="625"/>
      <c r="M876" s="625"/>
      <c r="N876" s="625"/>
      <c r="O876" s="625"/>
      <c r="P876" s="625"/>
      <c r="Q876" s="625"/>
      <c r="R876" s="625"/>
      <c r="S876" s="625"/>
      <c r="T876" s="625"/>
      <c r="U876" s="625"/>
      <c r="V876" s="625"/>
      <c r="W876" s="625"/>
      <c r="X876" s="625"/>
      <c r="Y876" s="625"/>
      <c r="Z876" s="625"/>
    </row>
    <row r="877">
      <c r="A877" s="625"/>
      <c r="B877" s="625"/>
      <c r="C877" s="625"/>
      <c r="D877" s="625"/>
      <c r="E877" s="625"/>
      <c r="F877" s="625"/>
      <c r="G877" s="625"/>
      <c r="H877" s="625"/>
      <c r="I877" s="625"/>
      <c r="J877" s="625"/>
      <c r="K877" s="625"/>
      <c r="L877" s="625"/>
      <c r="M877" s="625"/>
      <c r="N877" s="625"/>
      <c r="O877" s="625"/>
      <c r="P877" s="625"/>
      <c r="Q877" s="625"/>
      <c r="R877" s="625"/>
      <c r="S877" s="625"/>
      <c r="T877" s="625"/>
      <c r="U877" s="625"/>
      <c r="V877" s="625"/>
      <c r="W877" s="625"/>
      <c r="X877" s="625"/>
      <c r="Y877" s="625"/>
      <c r="Z877" s="625"/>
    </row>
    <row r="878">
      <c r="A878" s="625"/>
      <c r="B878" s="625"/>
      <c r="C878" s="625"/>
      <c r="D878" s="625"/>
      <c r="E878" s="625"/>
      <c r="F878" s="625"/>
      <c r="G878" s="625"/>
      <c r="H878" s="625"/>
      <c r="I878" s="625"/>
      <c r="J878" s="625"/>
      <c r="K878" s="625"/>
      <c r="L878" s="625"/>
      <c r="M878" s="625"/>
      <c r="N878" s="625"/>
      <c r="O878" s="625"/>
      <c r="P878" s="625"/>
      <c r="Q878" s="625"/>
      <c r="R878" s="625"/>
      <c r="S878" s="625"/>
      <c r="T878" s="625"/>
      <c r="U878" s="625"/>
      <c r="V878" s="625"/>
      <c r="W878" s="625"/>
      <c r="X878" s="625"/>
      <c r="Y878" s="625"/>
      <c r="Z878" s="625"/>
    </row>
    <row r="879">
      <c r="A879" s="625"/>
      <c r="B879" s="625"/>
      <c r="C879" s="625"/>
      <c r="D879" s="625"/>
      <c r="E879" s="625"/>
      <c r="F879" s="625"/>
      <c r="G879" s="625"/>
      <c r="H879" s="625"/>
      <c r="I879" s="625"/>
      <c r="J879" s="625"/>
      <c r="K879" s="625"/>
      <c r="L879" s="625"/>
      <c r="M879" s="625"/>
      <c r="N879" s="625"/>
      <c r="O879" s="625"/>
      <c r="P879" s="625"/>
      <c r="Q879" s="625"/>
      <c r="R879" s="625"/>
      <c r="S879" s="625"/>
      <c r="T879" s="625"/>
      <c r="U879" s="625"/>
      <c r="V879" s="625"/>
      <c r="W879" s="625"/>
      <c r="X879" s="625"/>
      <c r="Y879" s="625"/>
      <c r="Z879" s="625"/>
    </row>
    <row r="880">
      <c r="A880" s="625"/>
      <c r="B880" s="625"/>
      <c r="C880" s="625"/>
      <c r="D880" s="625"/>
      <c r="E880" s="625"/>
      <c r="F880" s="625"/>
      <c r="G880" s="625"/>
      <c r="H880" s="625"/>
      <c r="I880" s="625"/>
      <c r="J880" s="625"/>
      <c r="K880" s="625"/>
      <c r="L880" s="625"/>
      <c r="M880" s="625"/>
      <c r="N880" s="625"/>
      <c r="O880" s="625"/>
      <c r="P880" s="625"/>
      <c r="Q880" s="625"/>
      <c r="R880" s="625"/>
      <c r="S880" s="625"/>
      <c r="T880" s="625"/>
      <c r="U880" s="625"/>
      <c r="V880" s="625"/>
      <c r="W880" s="625"/>
      <c r="X880" s="625"/>
      <c r="Y880" s="625"/>
      <c r="Z880" s="625"/>
    </row>
    <row r="881">
      <c r="A881" s="625"/>
      <c r="B881" s="625"/>
      <c r="C881" s="625"/>
      <c r="D881" s="625"/>
      <c r="E881" s="625"/>
      <c r="F881" s="625"/>
      <c r="G881" s="625"/>
      <c r="H881" s="625"/>
      <c r="I881" s="625"/>
      <c r="J881" s="625"/>
      <c r="K881" s="625"/>
      <c r="L881" s="625"/>
      <c r="M881" s="625"/>
      <c r="N881" s="625"/>
      <c r="O881" s="625"/>
      <c r="P881" s="625"/>
      <c r="Q881" s="625"/>
      <c r="R881" s="625"/>
      <c r="S881" s="625"/>
      <c r="T881" s="625"/>
      <c r="U881" s="625"/>
      <c r="V881" s="625"/>
      <c r="W881" s="625"/>
      <c r="X881" s="625"/>
      <c r="Y881" s="625"/>
      <c r="Z881" s="625"/>
    </row>
    <row r="882">
      <c r="A882" s="625"/>
      <c r="B882" s="625"/>
      <c r="C882" s="625"/>
      <c r="D882" s="625"/>
      <c r="E882" s="625"/>
      <c r="F882" s="625"/>
      <c r="G882" s="625"/>
      <c r="H882" s="625"/>
      <c r="I882" s="625"/>
      <c r="J882" s="625"/>
      <c r="K882" s="625"/>
      <c r="L882" s="625"/>
      <c r="M882" s="625"/>
      <c r="N882" s="625"/>
      <c r="O882" s="625"/>
      <c r="P882" s="625"/>
      <c r="Q882" s="625"/>
      <c r="R882" s="625"/>
      <c r="S882" s="625"/>
      <c r="T882" s="625"/>
      <c r="U882" s="625"/>
      <c r="V882" s="625"/>
      <c r="W882" s="625"/>
      <c r="X882" s="625"/>
      <c r="Y882" s="625"/>
      <c r="Z882" s="625"/>
    </row>
    <row r="883">
      <c r="A883" s="625"/>
      <c r="B883" s="625"/>
      <c r="C883" s="625"/>
      <c r="D883" s="625"/>
      <c r="E883" s="625"/>
      <c r="F883" s="625"/>
      <c r="G883" s="625"/>
      <c r="H883" s="625"/>
      <c r="I883" s="625"/>
      <c r="J883" s="625"/>
      <c r="K883" s="625"/>
      <c r="L883" s="625"/>
      <c r="M883" s="625"/>
      <c r="N883" s="625"/>
      <c r="O883" s="625"/>
      <c r="P883" s="625"/>
      <c r="Q883" s="625"/>
      <c r="R883" s="625"/>
      <c r="S883" s="625"/>
      <c r="T883" s="625"/>
      <c r="U883" s="625"/>
      <c r="V883" s="625"/>
      <c r="W883" s="625"/>
      <c r="X883" s="625"/>
      <c r="Y883" s="625"/>
      <c r="Z883" s="625"/>
    </row>
    <row r="884">
      <c r="A884" s="625"/>
      <c r="B884" s="625"/>
      <c r="C884" s="625"/>
      <c r="D884" s="625"/>
      <c r="E884" s="625"/>
      <c r="F884" s="625"/>
      <c r="G884" s="625"/>
      <c r="H884" s="625"/>
      <c r="I884" s="625"/>
      <c r="J884" s="625"/>
      <c r="K884" s="625"/>
      <c r="L884" s="625"/>
      <c r="M884" s="625"/>
      <c r="N884" s="625"/>
      <c r="O884" s="625"/>
      <c r="P884" s="625"/>
      <c r="Q884" s="625"/>
      <c r="R884" s="625"/>
      <c r="S884" s="625"/>
      <c r="T884" s="625"/>
      <c r="U884" s="625"/>
      <c r="V884" s="625"/>
      <c r="W884" s="625"/>
      <c r="X884" s="625"/>
      <c r="Y884" s="625"/>
      <c r="Z884" s="625"/>
    </row>
    <row r="885">
      <c r="A885" s="625"/>
      <c r="B885" s="625"/>
      <c r="C885" s="625"/>
      <c r="D885" s="625"/>
      <c r="E885" s="625"/>
      <c r="F885" s="625"/>
      <c r="G885" s="625"/>
      <c r="H885" s="625"/>
      <c r="I885" s="625"/>
      <c r="J885" s="625"/>
      <c r="K885" s="625"/>
      <c r="L885" s="625"/>
      <c r="M885" s="625"/>
      <c r="N885" s="625"/>
      <c r="O885" s="625"/>
      <c r="P885" s="625"/>
      <c r="Q885" s="625"/>
      <c r="R885" s="625"/>
      <c r="S885" s="625"/>
      <c r="T885" s="625"/>
      <c r="U885" s="625"/>
      <c r="V885" s="625"/>
      <c r="W885" s="625"/>
      <c r="X885" s="625"/>
      <c r="Y885" s="625"/>
      <c r="Z885" s="625"/>
    </row>
    <row r="886">
      <c r="A886" s="625"/>
      <c r="B886" s="625"/>
      <c r="C886" s="625"/>
      <c r="D886" s="625"/>
      <c r="E886" s="625"/>
      <c r="F886" s="625"/>
      <c r="G886" s="625"/>
      <c r="H886" s="625"/>
      <c r="I886" s="625"/>
      <c r="J886" s="625"/>
      <c r="K886" s="625"/>
      <c r="L886" s="625"/>
      <c r="M886" s="625"/>
      <c r="N886" s="625"/>
      <c r="O886" s="625"/>
      <c r="P886" s="625"/>
      <c r="Q886" s="625"/>
      <c r="R886" s="625"/>
      <c r="S886" s="625"/>
      <c r="T886" s="625"/>
      <c r="U886" s="625"/>
      <c r="V886" s="625"/>
      <c r="W886" s="625"/>
      <c r="X886" s="625"/>
      <c r="Y886" s="625"/>
      <c r="Z886" s="625"/>
    </row>
    <row r="887">
      <c r="A887" s="625"/>
      <c r="B887" s="625"/>
      <c r="C887" s="625"/>
      <c r="D887" s="625"/>
      <c r="E887" s="625"/>
      <c r="F887" s="625"/>
      <c r="G887" s="625"/>
      <c r="H887" s="625"/>
      <c r="I887" s="625"/>
      <c r="J887" s="625"/>
      <c r="K887" s="625"/>
      <c r="L887" s="625"/>
      <c r="M887" s="625"/>
      <c r="N887" s="625"/>
      <c r="O887" s="625"/>
      <c r="P887" s="625"/>
      <c r="Q887" s="625"/>
      <c r="R887" s="625"/>
      <c r="S887" s="625"/>
      <c r="T887" s="625"/>
      <c r="U887" s="625"/>
      <c r="V887" s="625"/>
      <c r="W887" s="625"/>
      <c r="X887" s="625"/>
      <c r="Y887" s="625"/>
      <c r="Z887" s="625"/>
    </row>
    <row r="888">
      <c r="A888" s="625"/>
      <c r="B888" s="625"/>
      <c r="C888" s="625"/>
      <c r="D888" s="625"/>
      <c r="E888" s="625"/>
      <c r="F888" s="625"/>
      <c r="G888" s="625"/>
      <c r="H888" s="625"/>
      <c r="I888" s="625"/>
      <c r="J888" s="625"/>
      <c r="K888" s="625"/>
      <c r="L888" s="625"/>
      <c r="M888" s="625"/>
      <c r="N888" s="625"/>
      <c r="O888" s="625"/>
      <c r="P888" s="625"/>
      <c r="Q888" s="625"/>
      <c r="R888" s="625"/>
      <c r="S888" s="625"/>
      <c r="T888" s="625"/>
      <c r="U888" s="625"/>
      <c r="V888" s="625"/>
      <c r="W888" s="625"/>
      <c r="X888" s="625"/>
      <c r="Y888" s="625"/>
      <c r="Z888" s="625"/>
    </row>
    <row r="889">
      <c r="A889" s="625"/>
      <c r="B889" s="625"/>
      <c r="C889" s="625"/>
      <c r="D889" s="625"/>
      <c r="E889" s="625"/>
      <c r="F889" s="625"/>
      <c r="G889" s="625"/>
      <c r="H889" s="625"/>
      <c r="I889" s="625"/>
      <c r="J889" s="625"/>
      <c r="K889" s="625"/>
      <c r="L889" s="625"/>
      <c r="M889" s="625"/>
      <c r="N889" s="625"/>
      <c r="O889" s="625"/>
      <c r="P889" s="625"/>
      <c r="Q889" s="625"/>
      <c r="R889" s="625"/>
      <c r="S889" s="625"/>
      <c r="T889" s="625"/>
      <c r="U889" s="625"/>
      <c r="V889" s="625"/>
      <c r="W889" s="625"/>
      <c r="X889" s="625"/>
      <c r="Y889" s="625"/>
      <c r="Z889" s="625"/>
    </row>
    <row r="890">
      <c r="A890" s="625"/>
      <c r="B890" s="625"/>
      <c r="C890" s="625"/>
      <c r="D890" s="625"/>
      <c r="E890" s="625"/>
      <c r="F890" s="625"/>
      <c r="G890" s="625"/>
      <c r="H890" s="625"/>
      <c r="I890" s="625"/>
      <c r="J890" s="625"/>
      <c r="K890" s="625"/>
      <c r="L890" s="625"/>
      <c r="M890" s="625"/>
      <c r="N890" s="625"/>
      <c r="O890" s="625"/>
      <c r="P890" s="625"/>
      <c r="Q890" s="625"/>
      <c r="R890" s="625"/>
      <c r="S890" s="625"/>
      <c r="T890" s="625"/>
      <c r="U890" s="625"/>
      <c r="V890" s="625"/>
      <c r="W890" s="625"/>
      <c r="X890" s="625"/>
      <c r="Y890" s="625"/>
      <c r="Z890" s="625"/>
    </row>
    <row r="891">
      <c r="A891" s="625"/>
      <c r="B891" s="625"/>
      <c r="C891" s="625"/>
      <c r="D891" s="625"/>
      <c r="E891" s="625"/>
      <c r="F891" s="625"/>
      <c r="G891" s="625"/>
      <c r="H891" s="625"/>
      <c r="I891" s="625"/>
      <c r="J891" s="625"/>
      <c r="K891" s="625"/>
      <c r="L891" s="625"/>
      <c r="M891" s="625"/>
      <c r="N891" s="625"/>
      <c r="O891" s="625"/>
      <c r="P891" s="625"/>
      <c r="Q891" s="625"/>
      <c r="R891" s="625"/>
      <c r="S891" s="625"/>
      <c r="T891" s="625"/>
      <c r="U891" s="625"/>
      <c r="V891" s="625"/>
      <c r="W891" s="625"/>
      <c r="X891" s="625"/>
      <c r="Y891" s="625"/>
      <c r="Z891" s="625"/>
    </row>
    <row r="892">
      <c r="A892" s="625"/>
      <c r="B892" s="625"/>
      <c r="C892" s="625"/>
      <c r="D892" s="625"/>
      <c r="E892" s="625"/>
      <c r="F892" s="625"/>
      <c r="G892" s="625"/>
      <c r="H892" s="625"/>
      <c r="I892" s="625"/>
      <c r="J892" s="625"/>
      <c r="K892" s="625"/>
      <c r="L892" s="625"/>
      <c r="M892" s="625"/>
      <c r="N892" s="625"/>
      <c r="O892" s="625"/>
      <c r="P892" s="625"/>
      <c r="Q892" s="625"/>
      <c r="R892" s="625"/>
      <c r="S892" s="625"/>
      <c r="T892" s="625"/>
      <c r="U892" s="625"/>
      <c r="V892" s="625"/>
      <c r="W892" s="625"/>
      <c r="X892" s="625"/>
      <c r="Y892" s="625"/>
      <c r="Z892" s="625"/>
    </row>
    <row r="893">
      <c r="A893" s="625"/>
      <c r="B893" s="625"/>
      <c r="C893" s="625"/>
      <c r="D893" s="625"/>
      <c r="E893" s="625"/>
      <c r="F893" s="625"/>
      <c r="G893" s="625"/>
      <c r="H893" s="625"/>
      <c r="I893" s="625"/>
      <c r="J893" s="625"/>
      <c r="K893" s="625"/>
      <c r="L893" s="625"/>
      <c r="M893" s="625"/>
      <c r="N893" s="625"/>
      <c r="O893" s="625"/>
      <c r="P893" s="625"/>
      <c r="Q893" s="625"/>
      <c r="R893" s="625"/>
      <c r="S893" s="625"/>
      <c r="T893" s="625"/>
      <c r="U893" s="625"/>
      <c r="V893" s="625"/>
      <c r="W893" s="625"/>
      <c r="X893" s="625"/>
      <c r="Y893" s="625"/>
      <c r="Z893" s="625"/>
    </row>
    <row r="894">
      <c r="A894" s="625"/>
      <c r="B894" s="625"/>
      <c r="C894" s="625"/>
      <c r="D894" s="625"/>
      <c r="E894" s="625"/>
      <c r="F894" s="625"/>
      <c r="G894" s="625"/>
      <c r="H894" s="625"/>
      <c r="I894" s="625"/>
      <c r="J894" s="625"/>
      <c r="K894" s="625"/>
      <c r="L894" s="625"/>
      <c r="M894" s="625"/>
      <c r="N894" s="625"/>
      <c r="O894" s="625"/>
      <c r="P894" s="625"/>
      <c r="Q894" s="625"/>
      <c r="R894" s="625"/>
      <c r="S894" s="625"/>
      <c r="T894" s="625"/>
      <c r="U894" s="625"/>
      <c r="V894" s="625"/>
      <c r="W894" s="625"/>
      <c r="X894" s="625"/>
      <c r="Y894" s="625"/>
      <c r="Z894" s="625"/>
    </row>
    <row r="895">
      <c r="A895" s="625"/>
      <c r="B895" s="625"/>
      <c r="C895" s="625"/>
      <c r="D895" s="625"/>
      <c r="E895" s="625"/>
      <c r="F895" s="625"/>
      <c r="G895" s="625"/>
      <c r="H895" s="625"/>
      <c r="I895" s="625"/>
      <c r="J895" s="625"/>
      <c r="K895" s="625"/>
      <c r="L895" s="625"/>
      <c r="M895" s="625"/>
      <c r="N895" s="625"/>
      <c r="O895" s="625"/>
      <c r="P895" s="625"/>
      <c r="Q895" s="625"/>
      <c r="R895" s="625"/>
      <c r="S895" s="625"/>
      <c r="T895" s="625"/>
      <c r="U895" s="625"/>
      <c r="V895" s="625"/>
      <c r="W895" s="625"/>
      <c r="X895" s="625"/>
      <c r="Y895" s="625"/>
      <c r="Z895" s="625"/>
    </row>
    <row r="896">
      <c r="A896" s="625"/>
      <c r="B896" s="625"/>
      <c r="C896" s="625"/>
      <c r="D896" s="625"/>
      <c r="E896" s="625"/>
      <c r="F896" s="625"/>
      <c r="G896" s="625"/>
      <c r="H896" s="625"/>
      <c r="I896" s="625"/>
      <c r="J896" s="625"/>
      <c r="K896" s="625"/>
      <c r="L896" s="625"/>
      <c r="M896" s="625"/>
      <c r="N896" s="625"/>
      <c r="O896" s="625"/>
      <c r="P896" s="625"/>
      <c r="Q896" s="625"/>
      <c r="R896" s="625"/>
      <c r="S896" s="625"/>
      <c r="T896" s="625"/>
      <c r="U896" s="625"/>
      <c r="V896" s="625"/>
      <c r="W896" s="625"/>
      <c r="X896" s="625"/>
      <c r="Y896" s="625"/>
      <c r="Z896" s="625"/>
    </row>
    <row r="897">
      <c r="A897" s="625"/>
      <c r="B897" s="625"/>
      <c r="C897" s="625"/>
      <c r="D897" s="625"/>
      <c r="E897" s="625"/>
      <c r="F897" s="625"/>
      <c r="G897" s="625"/>
      <c r="H897" s="625"/>
      <c r="I897" s="625"/>
      <c r="J897" s="625"/>
      <c r="K897" s="625"/>
      <c r="L897" s="625"/>
      <c r="M897" s="625"/>
      <c r="N897" s="625"/>
      <c r="O897" s="625"/>
      <c r="P897" s="625"/>
      <c r="Q897" s="625"/>
      <c r="R897" s="625"/>
      <c r="S897" s="625"/>
      <c r="T897" s="625"/>
      <c r="U897" s="625"/>
      <c r="V897" s="625"/>
      <c r="W897" s="625"/>
      <c r="X897" s="625"/>
      <c r="Y897" s="625"/>
      <c r="Z897" s="625"/>
    </row>
    <row r="898">
      <c r="A898" s="625"/>
      <c r="B898" s="625"/>
      <c r="C898" s="625"/>
      <c r="D898" s="625"/>
      <c r="E898" s="625"/>
      <c r="F898" s="625"/>
      <c r="G898" s="625"/>
      <c r="H898" s="625"/>
      <c r="I898" s="625"/>
      <c r="J898" s="625"/>
      <c r="K898" s="625"/>
      <c r="L898" s="625"/>
      <c r="M898" s="625"/>
      <c r="N898" s="625"/>
      <c r="O898" s="625"/>
      <c r="P898" s="625"/>
      <c r="Q898" s="625"/>
      <c r="R898" s="625"/>
      <c r="S898" s="625"/>
      <c r="T898" s="625"/>
      <c r="U898" s="625"/>
      <c r="V898" s="625"/>
      <c r="W898" s="625"/>
      <c r="X898" s="625"/>
      <c r="Y898" s="625"/>
      <c r="Z898" s="625"/>
    </row>
    <row r="899">
      <c r="A899" s="625"/>
      <c r="B899" s="625"/>
      <c r="C899" s="625"/>
      <c r="D899" s="625"/>
      <c r="E899" s="625"/>
      <c r="F899" s="625"/>
      <c r="G899" s="625"/>
      <c r="H899" s="625"/>
      <c r="I899" s="625"/>
      <c r="J899" s="625"/>
      <c r="K899" s="625"/>
      <c r="L899" s="625"/>
      <c r="M899" s="625"/>
      <c r="N899" s="625"/>
      <c r="O899" s="625"/>
      <c r="P899" s="625"/>
      <c r="Q899" s="625"/>
      <c r="R899" s="625"/>
      <c r="S899" s="625"/>
      <c r="T899" s="625"/>
      <c r="U899" s="625"/>
      <c r="V899" s="625"/>
      <c r="W899" s="625"/>
      <c r="X899" s="625"/>
      <c r="Y899" s="625"/>
      <c r="Z899" s="625"/>
    </row>
    <row r="900">
      <c r="A900" s="625"/>
      <c r="B900" s="625"/>
      <c r="C900" s="625"/>
      <c r="D900" s="625"/>
      <c r="E900" s="625"/>
      <c r="F900" s="625"/>
      <c r="G900" s="625"/>
      <c r="H900" s="625"/>
      <c r="I900" s="625"/>
      <c r="J900" s="625"/>
      <c r="K900" s="625"/>
      <c r="L900" s="625"/>
      <c r="M900" s="625"/>
      <c r="N900" s="625"/>
      <c r="O900" s="625"/>
      <c r="P900" s="625"/>
      <c r="Q900" s="625"/>
      <c r="R900" s="625"/>
      <c r="S900" s="625"/>
      <c r="T900" s="625"/>
      <c r="U900" s="625"/>
      <c r="V900" s="625"/>
      <c r="W900" s="625"/>
      <c r="X900" s="625"/>
      <c r="Y900" s="625"/>
      <c r="Z900" s="625"/>
    </row>
    <row r="901">
      <c r="A901" s="625"/>
      <c r="B901" s="625"/>
      <c r="C901" s="625"/>
      <c r="D901" s="625"/>
      <c r="E901" s="625"/>
      <c r="F901" s="625"/>
      <c r="G901" s="625"/>
      <c r="H901" s="625"/>
      <c r="I901" s="625"/>
      <c r="J901" s="625"/>
      <c r="K901" s="625"/>
      <c r="L901" s="625"/>
      <c r="M901" s="625"/>
      <c r="N901" s="625"/>
      <c r="O901" s="625"/>
      <c r="P901" s="625"/>
      <c r="Q901" s="625"/>
      <c r="R901" s="625"/>
      <c r="S901" s="625"/>
      <c r="T901" s="625"/>
      <c r="U901" s="625"/>
      <c r="V901" s="625"/>
      <c r="W901" s="625"/>
      <c r="X901" s="625"/>
      <c r="Y901" s="625"/>
      <c r="Z901" s="625"/>
    </row>
    <row r="902">
      <c r="A902" s="625"/>
      <c r="B902" s="625"/>
      <c r="C902" s="625"/>
      <c r="D902" s="625"/>
      <c r="E902" s="625"/>
      <c r="F902" s="625"/>
      <c r="G902" s="625"/>
      <c r="H902" s="625"/>
      <c r="I902" s="625"/>
      <c r="J902" s="625"/>
      <c r="K902" s="625"/>
      <c r="L902" s="625"/>
      <c r="M902" s="625"/>
      <c r="N902" s="625"/>
      <c r="O902" s="625"/>
      <c r="P902" s="625"/>
      <c r="Q902" s="625"/>
      <c r="R902" s="625"/>
      <c r="S902" s="625"/>
      <c r="T902" s="625"/>
      <c r="U902" s="625"/>
      <c r="V902" s="625"/>
      <c r="W902" s="625"/>
      <c r="X902" s="625"/>
      <c r="Y902" s="625"/>
      <c r="Z902" s="625"/>
    </row>
    <row r="903">
      <c r="A903" s="625"/>
      <c r="B903" s="625"/>
      <c r="C903" s="625"/>
      <c r="D903" s="625"/>
      <c r="E903" s="625"/>
      <c r="F903" s="625"/>
      <c r="G903" s="625"/>
      <c r="H903" s="625"/>
      <c r="I903" s="625"/>
      <c r="J903" s="625"/>
      <c r="K903" s="625"/>
      <c r="L903" s="625"/>
      <c r="M903" s="625"/>
      <c r="N903" s="625"/>
      <c r="O903" s="625"/>
      <c r="P903" s="625"/>
      <c r="Q903" s="625"/>
      <c r="R903" s="625"/>
      <c r="S903" s="625"/>
      <c r="T903" s="625"/>
      <c r="U903" s="625"/>
      <c r="V903" s="625"/>
      <c r="W903" s="625"/>
      <c r="X903" s="625"/>
      <c r="Y903" s="625"/>
      <c r="Z903" s="625"/>
    </row>
    <row r="904">
      <c r="A904" s="625"/>
      <c r="B904" s="625"/>
      <c r="C904" s="625"/>
      <c r="D904" s="625"/>
      <c r="E904" s="625"/>
      <c r="F904" s="625"/>
      <c r="G904" s="625"/>
      <c r="H904" s="625"/>
      <c r="I904" s="625"/>
      <c r="J904" s="625"/>
      <c r="K904" s="625"/>
      <c r="L904" s="625"/>
      <c r="M904" s="625"/>
      <c r="N904" s="625"/>
      <c r="O904" s="625"/>
      <c r="P904" s="625"/>
      <c r="Q904" s="625"/>
      <c r="R904" s="625"/>
      <c r="S904" s="625"/>
      <c r="T904" s="625"/>
      <c r="U904" s="625"/>
      <c r="V904" s="625"/>
      <c r="W904" s="625"/>
      <c r="X904" s="625"/>
      <c r="Y904" s="625"/>
      <c r="Z904" s="625"/>
    </row>
    <row r="905">
      <c r="A905" s="625"/>
      <c r="B905" s="625"/>
      <c r="C905" s="625"/>
      <c r="D905" s="625"/>
      <c r="E905" s="625"/>
      <c r="F905" s="625"/>
      <c r="G905" s="625"/>
      <c r="H905" s="625"/>
      <c r="I905" s="625"/>
      <c r="J905" s="625"/>
      <c r="K905" s="625"/>
      <c r="L905" s="625"/>
      <c r="M905" s="625"/>
      <c r="N905" s="625"/>
      <c r="O905" s="625"/>
      <c r="P905" s="625"/>
      <c r="Q905" s="625"/>
      <c r="R905" s="625"/>
      <c r="S905" s="625"/>
      <c r="T905" s="625"/>
      <c r="U905" s="625"/>
      <c r="V905" s="625"/>
      <c r="W905" s="625"/>
      <c r="X905" s="625"/>
      <c r="Y905" s="625"/>
      <c r="Z905" s="625"/>
    </row>
    <row r="906">
      <c r="A906" s="625"/>
      <c r="B906" s="625"/>
      <c r="C906" s="625"/>
      <c r="D906" s="625"/>
      <c r="E906" s="625"/>
      <c r="F906" s="625"/>
      <c r="G906" s="625"/>
      <c r="H906" s="625"/>
      <c r="I906" s="625"/>
      <c r="J906" s="625"/>
      <c r="K906" s="625"/>
      <c r="L906" s="625"/>
      <c r="M906" s="625"/>
      <c r="N906" s="625"/>
      <c r="O906" s="625"/>
      <c r="P906" s="625"/>
      <c r="Q906" s="625"/>
      <c r="R906" s="625"/>
      <c r="S906" s="625"/>
      <c r="T906" s="625"/>
      <c r="U906" s="625"/>
      <c r="V906" s="625"/>
      <c r="W906" s="625"/>
      <c r="X906" s="625"/>
      <c r="Y906" s="625"/>
      <c r="Z906" s="625"/>
    </row>
    <row r="907">
      <c r="A907" s="625"/>
      <c r="B907" s="625"/>
      <c r="C907" s="625"/>
      <c r="D907" s="625"/>
      <c r="E907" s="625"/>
      <c r="F907" s="625"/>
      <c r="G907" s="625"/>
      <c r="H907" s="625"/>
      <c r="I907" s="625"/>
      <c r="J907" s="625"/>
      <c r="K907" s="625"/>
      <c r="L907" s="625"/>
      <c r="M907" s="625"/>
      <c r="N907" s="625"/>
      <c r="O907" s="625"/>
      <c r="P907" s="625"/>
      <c r="Q907" s="625"/>
      <c r="R907" s="625"/>
      <c r="S907" s="625"/>
      <c r="T907" s="625"/>
      <c r="U907" s="625"/>
      <c r="V907" s="625"/>
      <c r="W907" s="625"/>
      <c r="X907" s="625"/>
      <c r="Y907" s="625"/>
      <c r="Z907" s="625"/>
    </row>
    <row r="908">
      <c r="A908" s="625"/>
      <c r="B908" s="625"/>
      <c r="C908" s="625"/>
      <c r="D908" s="625"/>
      <c r="E908" s="625"/>
      <c r="F908" s="625"/>
      <c r="G908" s="625"/>
      <c r="H908" s="625"/>
      <c r="I908" s="625"/>
      <c r="J908" s="625"/>
      <c r="K908" s="625"/>
      <c r="L908" s="625"/>
      <c r="M908" s="625"/>
      <c r="N908" s="625"/>
      <c r="O908" s="625"/>
      <c r="P908" s="625"/>
      <c r="Q908" s="625"/>
      <c r="R908" s="625"/>
      <c r="S908" s="625"/>
      <c r="T908" s="625"/>
      <c r="U908" s="625"/>
      <c r="V908" s="625"/>
      <c r="W908" s="625"/>
      <c r="X908" s="625"/>
      <c r="Y908" s="625"/>
      <c r="Z908" s="625"/>
    </row>
    <row r="909">
      <c r="A909" s="625"/>
      <c r="B909" s="625"/>
      <c r="C909" s="625"/>
      <c r="D909" s="625"/>
      <c r="E909" s="625"/>
      <c r="F909" s="625"/>
      <c r="G909" s="625"/>
      <c r="H909" s="625"/>
      <c r="I909" s="625"/>
      <c r="J909" s="625"/>
      <c r="K909" s="625"/>
      <c r="L909" s="625"/>
      <c r="M909" s="625"/>
      <c r="N909" s="625"/>
      <c r="O909" s="625"/>
      <c r="P909" s="625"/>
      <c r="Q909" s="625"/>
      <c r="R909" s="625"/>
      <c r="S909" s="625"/>
      <c r="T909" s="625"/>
      <c r="U909" s="625"/>
      <c r="V909" s="625"/>
      <c r="W909" s="625"/>
      <c r="X909" s="625"/>
      <c r="Y909" s="625"/>
      <c r="Z909" s="625"/>
    </row>
    <row r="910">
      <c r="A910" s="625"/>
      <c r="B910" s="625"/>
      <c r="C910" s="625"/>
      <c r="D910" s="625"/>
      <c r="E910" s="625"/>
      <c r="F910" s="625"/>
      <c r="G910" s="625"/>
      <c r="H910" s="625"/>
      <c r="I910" s="625"/>
      <c r="J910" s="625"/>
      <c r="K910" s="625"/>
      <c r="L910" s="625"/>
      <c r="M910" s="625"/>
      <c r="N910" s="625"/>
      <c r="O910" s="625"/>
      <c r="P910" s="625"/>
      <c r="Q910" s="625"/>
      <c r="R910" s="625"/>
      <c r="S910" s="625"/>
      <c r="T910" s="625"/>
      <c r="U910" s="625"/>
      <c r="V910" s="625"/>
      <c r="W910" s="625"/>
      <c r="X910" s="625"/>
      <c r="Y910" s="625"/>
      <c r="Z910" s="625"/>
    </row>
    <row r="911">
      <c r="A911" s="625"/>
      <c r="B911" s="625"/>
      <c r="C911" s="625"/>
      <c r="D911" s="625"/>
      <c r="E911" s="625"/>
      <c r="F911" s="625"/>
      <c r="G911" s="625"/>
      <c r="H911" s="625"/>
      <c r="I911" s="625"/>
      <c r="J911" s="625"/>
      <c r="K911" s="625"/>
      <c r="L911" s="625"/>
      <c r="M911" s="625"/>
      <c r="N911" s="625"/>
      <c r="O911" s="625"/>
      <c r="P911" s="625"/>
      <c r="Q911" s="625"/>
      <c r="R911" s="625"/>
      <c r="S911" s="625"/>
      <c r="T911" s="625"/>
      <c r="U911" s="625"/>
      <c r="V911" s="625"/>
      <c r="W911" s="625"/>
      <c r="X911" s="625"/>
      <c r="Y911" s="625"/>
      <c r="Z911" s="625"/>
    </row>
    <row r="912">
      <c r="A912" s="625"/>
      <c r="B912" s="625"/>
      <c r="C912" s="625"/>
      <c r="D912" s="625"/>
      <c r="E912" s="625"/>
      <c r="F912" s="625"/>
      <c r="G912" s="625"/>
      <c r="H912" s="625"/>
      <c r="I912" s="625"/>
      <c r="J912" s="625"/>
      <c r="K912" s="625"/>
      <c r="L912" s="625"/>
      <c r="M912" s="625"/>
      <c r="N912" s="625"/>
      <c r="O912" s="625"/>
      <c r="P912" s="625"/>
      <c r="Q912" s="625"/>
      <c r="R912" s="625"/>
      <c r="S912" s="625"/>
      <c r="T912" s="625"/>
      <c r="U912" s="625"/>
      <c r="V912" s="625"/>
      <c r="W912" s="625"/>
      <c r="X912" s="625"/>
      <c r="Y912" s="625"/>
      <c r="Z912" s="625"/>
    </row>
    <row r="913">
      <c r="A913" s="625"/>
      <c r="B913" s="625"/>
      <c r="C913" s="625"/>
      <c r="D913" s="625"/>
      <c r="E913" s="625"/>
      <c r="F913" s="625"/>
      <c r="G913" s="625"/>
      <c r="H913" s="625"/>
      <c r="I913" s="625"/>
      <c r="J913" s="625"/>
      <c r="K913" s="625"/>
      <c r="L913" s="625"/>
      <c r="M913" s="625"/>
      <c r="N913" s="625"/>
      <c r="O913" s="625"/>
      <c r="P913" s="625"/>
      <c r="Q913" s="625"/>
      <c r="R913" s="625"/>
      <c r="S913" s="625"/>
      <c r="T913" s="625"/>
      <c r="U913" s="625"/>
      <c r="V913" s="625"/>
      <c r="W913" s="625"/>
      <c r="X913" s="625"/>
      <c r="Y913" s="625"/>
      <c r="Z913" s="625"/>
    </row>
    <row r="914">
      <c r="A914" s="625"/>
      <c r="B914" s="625"/>
      <c r="C914" s="625"/>
      <c r="D914" s="625"/>
      <c r="E914" s="625"/>
      <c r="F914" s="625"/>
      <c r="G914" s="625"/>
      <c r="H914" s="625"/>
      <c r="I914" s="625"/>
      <c r="J914" s="625"/>
      <c r="K914" s="625"/>
      <c r="L914" s="625"/>
      <c r="M914" s="625"/>
      <c r="N914" s="625"/>
      <c r="O914" s="625"/>
      <c r="P914" s="625"/>
      <c r="Q914" s="625"/>
      <c r="R914" s="625"/>
      <c r="S914" s="625"/>
      <c r="T914" s="625"/>
      <c r="U914" s="625"/>
      <c r="V914" s="625"/>
      <c r="W914" s="625"/>
      <c r="X914" s="625"/>
      <c r="Y914" s="625"/>
      <c r="Z914" s="625"/>
    </row>
    <row r="915">
      <c r="A915" s="625"/>
      <c r="B915" s="625"/>
      <c r="C915" s="625"/>
      <c r="D915" s="625"/>
      <c r="E915" s="625"/>
      <c r="F915" s="625"/>
      <c r="G915" s="625"/>
      <c r="H915" s="625"/>
      <c r="I915" s="625"/>
      <c r="J915" s="625"/>
      <c r="K915" s="625"/>
      <c r="L915" s="625"/>
      <c r="M915" s="625"/>
      <c r="N915" s="625"/>
      <c r="O915" s="625"/>
      <c r="P915" s="625"/>
      <c r="Q915" s="625"/>
      <c r="R915" s="625"/>
      <c r="S915" s="625"/>
      <c r="T915" s="625"/>
      <c r="U915" s="625"/>
      <c r="V915" s="625"/>
      <c r="W915" s="625"/>
      <c r="X915" s="625"/>
      <c r="Y915" s="625"/>
      <c r="Z915" s="625"/>
    </row>
    <row r="916">
      <c r="A916" s="625"/>
      <c r="B916" s="625"/>
      <c r="C916" s="625"/>
      <c r="D916" s="625"/>
      <c r="E916" s="625"/>
      <c r="F916" s="625"/>
      <c r="G916" s="625"/>
      <c r="H916" s="625"/>
      <c r="I916" s="625"/>
      <c r="J916" s="625"/>
      <c r="K916" s="625"/>
      <c r="L916" s="625"/>
      <c r="M916" s="625"/>
      <c r="N916" s="625"/>
      <c r="O916" s="625"/>
      <c r="P916" s="625"/>
      <c r="Q916" s="625"/>
      <c r="R916" s="625"/>
      <c r="S916" s="625"/>
      <c r="T916" s="625"/>
      <c r="U916" s="625"/>
      <c r="V916" s="625"/>
      <c r="W916" s="625"/>
      <c r="X916" s="625"/>
      <c r="Y916" s="625"/>
      <c r="Z916" s="625"/>
    </row>
    <row r="917">
      <c r="A917" s="625"/>
      <c r="B917" s="625"/>
      <c r="C917" s="625"/>
      <c r="D917" s="625"/>
      <c r="E917" s="625"/>
      <c r="F917" s="625"/>
      <c r="G917" s="625"/>
      <c r="H917" s="625"/>
      <c r="I917" s="625"/>
      <c r="J917" s="625"/>
      <c r="K917" s="625"/>
      <c r="L917" s="625"/>
      <c r="M917" s="625"/>
      <c r="N917" s="625"/>
      <c r="O917" s="625"/>
      <c r="P917" s="625"/>
      <c r="Q917" s="625"/>
      <c r="R917" s="625"/>
      <c r="S917" s="625"/>
      <c r="T917" s="625"/>
      <c r="U917" s="625"/>
      <c r="V917" s="625"/>
      <c r="W917" s="625"/>
      <c r="X917" s="625"/>
      <c r="Y917" s="625"/>
      <c r="Z917" s="625"/>
    </row>
    <row r="918">
      <c r="A918" s="625"/>
      <c r="B918" s="625"/>
      <c r="C918" s="625"/>
      <c r="D918" s="625"/>
      <c r="E918" s="625"/>
      <c r="F918" s="625"/>
      <c r="G918" s="625"/>
      <c r="H918" s="625"/>
      <c r="I918" s="625"/>
      <c r="J918" s="625"/>
      <c r="K918" s="625"/>
      <c r="L918" s="625"/>
      <c r="M918" s="625"/>
      <c r="N918" s="625"/>
      <c r="O918" s="625"/>
      <c r="P918" s="625"/>
      <c r="Q918" s="625"/>
      <c r="R918" s="625"/>
      <c r="S918" s="625"/>
      <c r="T918" s="625"/>
      <c r="U918" s="625"/>
      <c r="V918" s="625"/>
      <c r="W918" s="625"/>
      <c r="X918" s="625"/>
      <c r="Y918" s="625"/>
      <c r="Z918" s="625"/>
    </row>
    <row r="919">
      <c r="A919" s="625"/>
      <c r="B919" s="625"/>
      <c r="C919" s="625"/>
      <c r="D919" s="625"/>
      <c r="E919" s="625"/>
      <c r="F919" s="625"/>
      <c r="G919" s="625"/>
      <c r="H919" s="625"/>
      <c r="I919" s="625"/>
      <c r="J919" s="625"/>
      <c r="K919" s="625"/>
      <c r="L919" s="625"/>
      <c r="M919" s="625"/>
      <c r="N919" s="625"/>
      <c r="O919" s="625"/>
      <c r="P919" s="625"/>
      <c r="Q919" s="625"/>
      <c r="R919" s="625"/>
      <c r="S919" s="625"/>
      <c r="T919" s="625"/>
      <c r="U919" s="625"/>
      <c r="V919" s="625"/>
      <c r="W919" s="625"/>
      <c r="X919" s="625"/>
      <c r="Y919" s="625"/>
      <c r="Z919" s="625"/>
    </row>
    <row r="920">
      <c r="A920" s="625"/>
      <c r="B920" s="625"/>
      <c r="C920" s="625"/>
      <c r="D920" s="625"/>
      <c r="E920" s="625"/>
      <c r="F920" s="625"/>
      <c r="G920" s="625"/>
      <c r="H920" s="625"/>
      <c r="I920" s="625"/>
      <c r="J920" s="625"/>
      <c r="K920" s="625"/>
      <c r="L920" s="625"/>
      <c r="M920" s="625"/>
      <c r="N920" s="625"/>
      <c r="O920" s="625"/>
      <c r="P920" s="625"/>
      <c r="Q920" s="625"/>
      <c r="R920" s="625"/>
      <c r="S920" s="625"/>
      <c r="T920" s="625"/>
      <c r="U920" s="625"/>
      <c r="V920" s="625"/>
      <c r="W920" s="625"/>
      <c r="X920" s="625"/>
      <c r="Y920" s="625"/>
      <c r="Z920" s="625"/>
    </row>
    <row r="921">
      <c r="A921" s="625"/>
      <c r="B921" s="625"/>
      <c r="C921" s="625"/>
      <c r="D921" s="625"/>
      <c r="E921" s="625"/>
      <c r="F921" s="625"/>
      <c r="G921" s="625"/>
      <c r="H921" s="625"/>
      <c r="I921" s="625"/>
      <c r="J921" s="625"/>
      <c r="K921" s="625"/>
      <c r="L921" s="625"/>
      <c r="M921" s="625"/>
      <c r="N921" s="625"/>
      <c r="O921" s="625"/>
      <c r="P921" s="625"/>
      <c r="Q921" s="625"/>
      <c r="R921" s="625"/>
      <c r="S921" s="625"/>
      <c r="T921" s="625"/>
      <c r="U921" s="625"/>
      <c r="V921" s="625"/>
      <c r="W921" s="625"/>
      <c r="X921" s="625"/>
      <c r="Y921" s="625"/>
      <c r="Z921" s="625"/>
    </row>
    <row r="922">
      <c r="A922" s="625"/>
      <c r="B922" s="625"/>
      <c r="C922" s="625"/>
      <c r="D922" s="625"/>
      <c r="E922" s="625"/>
      <c r="F922" s="625"/>
      <c r="G922" s="625"/>
      <c r="H922" s="625"/>
      <c r="I922" s="625"/>
      <c r="J922" s="625"/>
      <c r="K922" s="625"/>
      <c r="L922" s="625"/>
      <c r="M922" s="625"/>
      <c r="N922" s="625"/>
      <c r="O922" s="625"/>
      <c r="P922" s="625"/>
      <c r="Q922" s="625"/>
      <c r="R922" s="625"/>
      <c r="S922" s="625"/>
      <c r="T922" s="625"/>
      <c r="U922" s="625"/>
      <c r="V922" s="625"/>
      <c r="W922" s="625"/>
      <c r="X922" s="625"/>
      <c r="Y922" s="625"/>
      <c r="Z922" s="625"/>
    </row>
    <row r="923">
      <c r="A923" s="625"/>
      <c r="B923" s="625"/>
      <c r="C923" s="625"/>
      <c r="D923" s="625"/>
      <c r="E923" s="625"/>
      <c r="F923" s="625"/>
      <c r="G923" s="625"/>
      <c r="H923" s="625"/>
      <c r="I923" s="625"/>
      <c r="J923" s="625"/>
      <c r="K923" s="625"/>
      <c r="L923" s="625"/>
      <c r="M923" s="625"/>
      <c r="N923" s="625"/>
      <c r="O923" s="625"/>
      <c r="P923" s="625"/>
      <c r="Q923" s="625"/>
      <c r="R923" s="625"/>
      <c r="S923" s="625"/>
      <c r="T923" s="625"/>
      <c r="U923" s="625"/>
      <c r="V923" s="625"/>
      <c r="W923" s="625"/>
      <c r="X923" s="625"/>
      <c r="Y923" s="625"/>
      <c r="Z923" s="625"/>
    </row>
    <row r="924">
      <c r="A924" s="625"/>
      <c r="B924" s="625"/>
      <c r="C924" s="625"/>
      <c r="D924" s="625"/>
      <c r="E924" s="625"/>
      <c r="F924" s="625"/>
      <c r="G924" s="625"/>
      <c r="H924" s="625"/>
      <c r="I924" s="625"/>
      <c r="J924" s="625"/>
      <c r="K924" s="625"/>
      <c r="L924" s="625"/>
      <c r="M924" s="625"/>
      <c r="N924" s="625"/>
      <c r="O924" s="625"/>
      <c r="P924" s="625"/>
      <c r="Q924" s="625"/>
      <c r="R924" s="625"/>
      <c r="S924" s="625"/>
      <c r="T924" s="625"/>
      <c r="U924" s="625"/>
      <c r="V924" s="625"/>
      <c r="W924" s="625"/>
      <c r="X924" s="625"/>
      <c r="Y924" s="625"/>
      <c r="Z924" s="625"/>
    </row>
    <row r="925">
      <c r="A925" s="625"/>
      <c r="B925" s="625"/>
      <c r="C925" s="625"/>
      <c r="D925" s="625"/>
      <c r="E925" s="625"/>
      <c r="F925" s="625"/>
      <c r="G925" s="625"/>
      <c r="H925" s="625"/>
      <c r="I925" s="625"/>
      <c r="J925" s="625"/>
      <c r="K925" s="625"/>
      <c r="L925" s="625"/>
      <c r="M925" s="625"/>
      <c r="N925" s="625"/>
      <c r="O925" s="625"/>
      <c r="P925" s="625"/>
      <c r="Q925" s="625"/>
      <c r="R925" s="625"/>
      <c r="S925" s="625"/>
      <c r="T925" s="625"/>
      <c r="U925" s="625"/>
      <c r="V925" s="625"/>
      <c r="W925" s="625"/>
      <c r="X925" s="625"/>
      <c r="Y925" s="625"/>
      <c r="Z925" s="625"/>
    </row>
    <row r="926">
      <c r="A926" s="625"/>
      <c r="B926" s="625"/>
      <c r="C926" s="625"/>
      <c r="D926" s="625"/>
      <c r="E926" s="625"/>
      <c r="F926" s="625"/>
      <c r="G926" s="625"/>
      <c r="H926" s="625"/>
      <c r="I926" s="625"/>
      <c r="J926" s="625"/>
      <c r="K926" s="625"/>
      <c r="L926" s="625"/>
      <c r="M926" s="625"/>
      <c r="N926" s="625"/>
      <c r="O926" s="625"/>
      <c r="P926" s="625"/>
      <c r="Q926" s="625"/>
      <c r="R926" s="625"/>
      <c r="S926" s="625"/>
      <c r="T926" s="625"/>
      <c r="U926" s="625"/>
      <c r="V926" s="625"/>
      <c r="W926" s="625"/>
      <c r="X926" s="625"/>
      <c r="Y926" s="625"/>
      <c r="Z926" s="625"/>
    </row>
    <row r="927">
      <c r="A927" s="625"/>
      <c r="B927" s="625"/>
      <c r="C927" s="625"/>
      <c r="D927" s="625"/>
      <c r="E927" s="625"/>
      <c r="F927" s="625"/>
      <c r="G927" s="625"/>
      <c r="H927" s="625"/>
      <c r="I927" s="625"/>
      <c r="J927" s="625"/>
      <c r="K927" s="625"/>
      <c r="L927" s="625"/>
      <c r="M927" s="625"/>
      <c r="N927" s="625"/>
      <c r="O927" s="625"/>
      <c r="P927" s="625"/>
      <c r="Q927" s="625"/>
      <c r="R927" s="625"/>
      <c r="S927" s="625"/>
      <c r="T927" s="625"/>
      <c r="U927" s="625"/>
      <c r="V927" s="625"/>
      <c r="W927" s="625"/>
      <c r="X927" s="625"/>
      <c r="Y927" s="625"/>
      <c r="Z927" s="625"/>
    </row>
    <row r="928">
      <c r="A928" s="625"/>
      <c r="B928" s="625"/>
      <c r="C928" s="625"/>
      <c r="D928" s="625"/>
      <c r="E928" s="625"/>
      <c r="F928" s="625"/>
      <c r="G928" s="625"/>
      <c r="H928" s="625"/>
      <c r="I928" s="625"/>
      <c r="J928" s="625"/>
      <c r="K928" s="625"/>
      <c r="L928" s="625"/>
      <c r="M928" s="625"/>
      <c r="N928" s="625"/>
      <c r="O928" s="625"/>
      <c r="P928" s="625"/>
      <c r="Q928" s="625"/>
      <c r="R928" s="625"/>
      <c r="S928" s="625"/>
      <c r="T928" s="625"/>
      <c r="U928" s="625"/>
      <c r="V928" s="625"/>
      <c r="W928" s="625"/>
      <c r="X928" s="625"/>
      <c r="Y928" s="625"/>
      <c r="Z928" s="625"/>
    </row>
    <row r="929">
      <c r="A929" s="625"/>
      <c r="B929" s="625"/>
      <c r="C929" s="625"/>
      <c r="D929" s="625"/>
      <c r="E929" s="625"/>
      <c r="F929" s="625"/>
      <c r="G929" s="625"/>
      <c r="H929" s="625"/>
      <c r="I929" s="625"/>
      <c r="J929" s="625"/>
      <c r="K929" s="625"/>
      <c r="L929" s="625"/>
      <c r="M929" s="625"/>
      <c r="N929" s="625"/>
      <c r="O929" s="625"/>
      <c r="P929" s="625"/>
      <c r="Q929" s="625"/>
      <c r="R929" s="625"/>
      <c r="S929" s="625"/>
      <c r="T929" s="625"/>
      <c r="U929" s="625"/>
      <c r="V929" s="625"/>
      <c r="W929" s="625"/>
      <c r="X929" s="625"/>
      <c r="Y929" s="625"/>
      <c r="Z929" s="625"/>
    </row>
    <row r="930">
      <c r="A930" s="625"/>
      <c r="B930" s="625"/>
      <c r="C930" s="625"/>
      <c r="D930" s="625"/>
      <c r="E930" s="625"/>
      <c r="F930" s="625"/>
      <c r="G930" s="625"/>
      <c r="H930" s="625"/>
      <c r="I930" s="625"/>
      <c r="J930" s="625"/>
      <c r="K930" s="625"/>
      <c r="L930" s="625"/>
      <c r="M930" s="625"/>
      <c r="N930" s="625"/>
      <c r="O930" s="625"/>
      <c r="P930" s="625"/>
      <c r="Q930" s="625"/>
      <c r="R930" s="625"/>
      <c r="S930" s="625"/>
      <c r="T930" s="625"/>
      <c r="U930" s="625"/>
      <c r="V930" s="625"/>
      <c r="W930" s="625"/>
      <c r="X930" s="625"/>
      <c r="Y930" s="625"/>
      <c r="Z930" s="625"/>
    </row>
    <row r="931">
      <c r="A931" s="625"/>
      <c r="B931" s="625"/>
      <c r="C931" s="625"/>
      <c r="D931" s="625"/>
      <c r="E931" s="625"/>
      <c r="F931" s="625"/>
      <c r="G931" s="625"/>
      <c r="H931" s="625"/>
      <c r="I931" s="625"/>
      <c r="J931" s="625"/>
      <c r="K931" s="625"/>
      <c r="L931" s="625"/>
      <c r="M931" s="625"/>
      <c r="N931" s="625"/>
      <c r="O931" s="625"/>
      <c r="P931" s="625"/>
      <c r="Q931" s="625"/>
      <c r="R931" s="625"/>
      <c r="S931" s="625"/>
      <c r="T931" s="625"/>
      <c r="U931" s="625"/>
      <c r="V931" s="625"/>
      <c r="W931" s="625"/>
      <c r="X931" s="625"/>
      <c r="Y931" s="625"/>
      <c r="Z931" s="625"/>
    </row>
    <row r="932">
      <c r="A932" s="625"/>
      <c r="B932" s="625"/>
      <c r="C932" s="625"/>
      <c r="D932" s="625"/>
      <c r="E932" s="625"/>
      <c r="F932" s="625"/>
      <c r="G932" s="625"/>
      <c r="H932" s="625"/>
      <c r="I932" s="625"/>
      <c r="J932" s="625"/>
      <c r="K932" s="625"/>
      <c r="L932" s="625"/>
      <c r="M932" s="625"/>
      <c r="N932" s="625"/>
      <c r="O932" s="625"/>
      <c r="P932" s="625"/>
      <c r="Q932" s="625"/>
      <c r="R932" s="625"/>
      <c r="S932" s="625"/>
      <c r="T932" s="625"/>
      <c r="U932" s="625"/>
      <c r="V932" s="625"/>
      <c r="W932" s="625"/>
      <c r="X932" s="625"/>
      <c r="Y932" s="625"/>
      <c r="Z932" s="625"/>
    </row>
    <row r="933">
      <c r="A933" s="625"/>
      <c r="B933" s="625"/>
      <c r="C933" s="625"/>
      <c r="D933" s="625"/>
      <c r="E933" s="625"/>
      <c r="F933" s="625"/>
      <c r="G933" s="625"/>
      <c r="H933" s="625"/>
      <c r="I933" s="625"/>
      <c r="J933" s="625"/>
      <c r="K933" s="625"/>
      <c r="L933" s="625"/>
      <c r="M933" s="625"/>
      <c r="N933" s="625"/>
      <c r="O933" s="625"/>
      <c r="P933" s="625"/>
      <c r="Q933" s="625"/>
      <c r="R933" s="625"/>
      <c r="S933" s="625"/>
      <c r="T933" s="625"/>
      <c r="U933" s="625"/>
      <c r="V933" s="625"/>
      <c r="W933" s="625"/>
      <c r="X933" s="625"/>
      <c r="Y933" s="625"/>
      <c r="Z933" s="625"/>
    </row>
    <row r="934">
      <c r="A934" s="625"/>
      <c r="B934" s="625"/>
      <c r="C934" s="625"/>
      <c r="D934" s="625"/>
      <c r="E934" s="625"/>
      <c r="F934" s="625"/>
      <c r="G934" s="625"/>
      <c r="H934" s="625"/>
      <c r="I934" s="625"/>
      <c r="J934" s="625"/>
      <c r="K934" s="625"/>
      <c r="L934" s="625"/>
      <c r="M934" s="625"/>
      <c r="N934" s="625"/>
      <c r="O934" s="625"/>
      <c r="P934" s="625"/>
      <c r="Q934" s="625"/>
      <c r="R934" s="625"/>
      <c r="S934" s="625"/>
      <c r="T934" s="625"/>
      <c r="U934" s="625"/>
      <c r="V934" s="625"/>
      <c r="W934" s="625"/>
      <c r="X934" s="625"/>
      <c r="Y934" s="625"/>
      <c r="Z934" s="625"/>
    </row>
    <row r="935">
      <c r="A935" s="625"/>
      <c r="B935" s="625"/>
      <c r="C935" s="625"/>
      <c r="D935" s="625"/>
      <c r="E935" s="625"/>
      <c r="F935" s="625"/>
      <c r="G935" s="625"/>
      <c r="H935" s="625"/>
      <c r="I935" s="625"/>
      <c r="J935" s="625"/>
      <c r="K935" s="625"/>
      <c r="L935" s="625"/>
      <c r="M935" s="625"/>
      <c r="N935" s="625"/>
      <c r="O935" s="625"/>
      <c r="P935" s="625"/>
      <c r="Q935" s="625"/>
      <c r="R935" s="625"/>
      <c r="S935" s="625"/>
      <c r="T935" s="625"/>
      <c r="U935" s="625"/>
      <c r="V935" s="625"/>
      <c r="W935" s="625"/>
      <c r="X935" s="625"/>
      <c r="Y935" s="625"/>
      <c r="Z935" s="625"/>
    </row>
    <row r="936">
      <c r="A936" s="625"/>
      <c r="B936" s="625"/>
      <c r="C936" s="625"/>
      <c r="D936" s="625"/>
      <c r="E936" s="625"/>
      <c r="F936" s="625"/>
      <c r="G936" s="625"/>
      <c r="H936" s="625"/>
      <c r="I936" s="625"/>
      <c r="J936" s="625"/>
      <c r="K936" s="625"/>
      <c r="L936" s="625"/>
      <c r="M936" s="625"/>
      <c r="N936" s="625"/>
      <c r="O936" s="625"/>
      <c r="P936" s="625"/>
      <c r="Q936" s="625"/>
      <c r="R936" s="625"/>
      <c r="S936" s="625"/>
      <c r="T936" s="625"/>
      <c r="U936" s="625"/>
      <c r="V936" s="625"/>
      <c r="W936" s="625"/>
      <c r="X936" s="625"/>
      <c r="Y936" s="625"/>
      <c r="Z936" s="625"/>
    </row>
    <row r="937">
      <c r="A937" s="625"/>
      <c r="B937" s="625"/>
      <c r="C937" s="625"/>
      <c r="D937" s="625"/>
      <c r="E937" s="625"/>
      <c r="F937" s="625"/>
      <c r="G937" s="625"/>
      <c r="H937" s="625"/>
      <c r="I937" s="625"/>
      <c r="J937" s="625"/>
      <c r="K937" s="625"/>
      <c r="L937" s="625"/>
      <c r="M937" s="625"/>
      <c r="N937" s="625"/>
      <c r="O937" s="625"/>
      <c r="P937" s="625"/>
      <c r="Q937" s="625"/>
      <c r="R937" s="625"/>
      <c r="S937" s="625"/>
      <c r="T937" s="625"/>
      <c r="U937" s="625"/>
      <c r="V937" s="625"/>
      <c r="W937" s="625"/>
      <c r="X937" s="625"/>
      <c r="Y937" s="625"/>
      <c r="Z937" s="625"/>
    </row>
    <row r="938">
      <c r="A938" s="625"/>
      <c r="B938" s="625"/>
      <c r="C938" s="625"/>
      <c r="D938" s="625"/>
      <c r="E938" s="625"/>
      <c r="F938" s="625"/>
      <c r="G938" s="625"/>
      <c r="H938" s="625"/>
      <c r="I938" s="625"/>
      <c r="J938" s="625"/>
      <c r="K938" s="625"/>
      <c r="L938" s="625"/>
      <c r="M938" s="625"/>
      <c r="N938" s="625"/>
      <c r="O938" s="625"/>
      <c r="P938" s="625"/>
      <c r="Q938" s="625"/>
      <c r="R938" s="625"/>
      <c r="S938" s="625"/>
      <c r="T938" s="625"/>
      <c r="U938" s="625"/>
      <c r="V938" s="625"/>
      <c r="W938" s="625"/>
      <c r="X938" s="625"/>
      <c r="Y938" s="625"/>
      <c r="Z938" s="625"/>
    </row>
    <row r="939">
      <c r="A939" s="625"/>
      <c r="B939" s="625"/>
      <c r="C939" s="625"/>
      <c r="D939" s="625"/>
      <c r="E939" s="625"/>
      <c r="F939" s="625"/>
      <c r="G939" s="625"/>
      <c r="H939" s="625"/>
      <c r="I939" s="625"/>
      <c r="J939" s="625"/>
      <c r="K939" s="625"/>
      <c r="L939" s="625"/>
      <c r="M939" s="625"/>
      <c r="N939" s="625"/>
      <c r="O939" s="625"/>
      <c r="P939" s="625"/>
      <c r="Q939" s="625"/>
      <c r="R939" s="625"/>
      <c r="S939" s="625"/>
      <c r="T939" s="625"/>
      <c r="U939" s="625"/>
      <c r="V939" s="625"/>
      <c r="W939" s="625"/>
      <c r="X939" s="625"/>
      <c r="Y939" s="625"/>
      <c r="Z939" s="625"/>
    </row>
    <row r="940">
      <c r="A940" s="625"/>
      <c r="B940" s="625"/>
      <c r="C940" s="625"/>
      <c r="D940" s="625"/>
      <c r="E940" s="625"/>
      <c r="F940" s="625"/>
      <c r="G940" s="625"/>
      <c r="H940" s="625"/>
      <c r="I940" s="625"/>
      <c r="J940" s="625"/>
      <c r="K940" s="625"/>
      <c r="L940" s="625"/>
      <c r="M940" s="625"/>
      <c r="N940" s="625"/>
      <c r="O940" s="625"/>
      <c r="P940" s="625"/>
      <c r="Q940" s="625"/>
      <c r="R940" s="625"/>
      <c r="S940" s="625"/>
      <c r="T940" s="625"/>
      <c r="U940" s="625"/>
      <c r="V940" s="625"/>
      <c r="W940" s="625"/>
      <c r="X940" s="625"/>
      <c r="Y940" s="625"/>
      <c r="Z940" s="625"/>
    </row>
    <row r="941">
      <c r="A941" s="625"/>
      <c r="B941" s="625"/>
      <c r="C941" s="625"/>
      <c r="D941" s="625"/>
      <c r="E941" s="625"/>
      <c r="F941" s="625"/>
      <c r="G941" s="625"/>
      <c r="H941" s="625"/>
      <c r="I941" s="625"/>
      <c r="J941" s="625"/>
      <c r="K941" s="625"/>
      <c r="L941" s="625"/>
      <c r="M941" s="625"/>
      <c r="N941" s="625"/>
      <c r="O941" s="625"/>
      <c r="P941" s="625"/>
      <c r="Q941" s="625"/>
      <c r="R941" s="625"/>
      <c r="S941" s="625"/>
      <c r="T941" s="625"/>
      <c r="U941" s="625"/>
      <c r="V941" s="625"/>
      <c r="W941" s="625"/>
      <c r="X941" s="625"/>
      <c r="Y941" s="625"/>
      <c r="Z941" s="625"/>
    </row>
    <row r="942">
      <c r="A942" s="625"/>
      <c r="B942" s="625"/>
      <c r="C942" s="625"/>
      <c r="D942" s="625"/>
      <c r="E942" s="625"/>
      <c r="F942" s="625"/>
      <c r="G942" s="625"/>
      <c r="H942" s="625"/>
      <c r="I942" s="625"/>
      <c r="J942" s="625"/>
      <c r="K942" s="625"/>
      <c r="L942" s="625"/>
      <c r="M942" s="625"/>
      <c r="N942" s="625"/>
      <c r="O942" s="625"/>
      <c r="P942" s="625"/>
      <c r="Q942" s="625"/>
      <c r="R942" s="625"/>
      <c r="S942" s="625"/>
      <c r="T942" s="625"/>
      <c r="U942" s="625"/>
      <c r="V942" s="625"/>
      <c r="W942" s="625"/>
      <c r="X942" s="625"/>
      <c r="Y942" s="625"/>
      <c r="Z942" s="625"/>
    </row>
    <row r="943">
      <c r="A943" s="625"/>
      <c r="B943" s="625"/>
      <c r="C943" s="625"/>
      <c r="D943" s="625"/>
      <c r="E943" s="625"/>
      <c r="F943" s="625"/>
      <c r="G943" s="625"/>
      <c r="H943" s="625"/>
      <c r="I943" s="625"/>
      <c r="J943" s="625"/>
      <c r="K943" s="625"/>
      <c r="L943" s="625"/>
      <c r="M943" s="625"/>
      <c r="N943" s="625"/>
      <c r="O943" s="625"/>
      <c r="P943" s="625"/>
      <c r="Q943" s="625"/>
      <c r="R943" s="625"/>
      <c r="S943" s="625"/>
      <c r="T943" s="625"/>
      <c r="U943" s="625"/>
      <c r="V943" s="625"/>
      <c r="W943" s="625"/>
      <c r="X943" s="625"/>
      <c r="Y943" s="625"/>
      <c r="Z943" s="625"/>
    </row>
    <row r="944">
      <c r="A944" s="625"/>
      <c r="B944" s="625"/>
      <c r="C944" s="625"/>
      <c r="D944" s="625"/>
      <c r="E944" s="625"/>
      <c r="F944" s="625"/>
      <c r="G944" s="625"/>
      <c r="H944" s="625"/>
      <c r="I944" s="625"/>
      <c r="J944" s="625"/>
      <c r="K944" s="625"/>
      <c r="L944" s="625"/>
      <c r="M944" s="625"/>
      <c r="N944" s="625"/>
      <c r="O944" s="625"/>
      <c r="P944" s="625"/>
      <c r="Q944" s="625"/>
      <c r="R944" s="625"/>
      <c r="S944" s="625"/>
      <c r="T944" s="625"/>
      <c r="U944" s="625"/>
      <c r="V944" s="625"/>
      <c r="W944" s="625"/>
      <c r="X944" s="625"/>
      <c r="Y944" s="625"/>
      <c r="Z944" s="625"/>
    </row>
    <row r="945">
      <c r="A945" s="625"/>
      <c r="B945" s="625"/>
      <c r="C945" s="625"/>
      <c r="D945" s="625"/>
      <c r="E945" s="625"/>
      <c r="F945" s="625"/>
      <c r="G945" s="625"/>
      <c r="H945" s="625"/>
      <c r="I945" s="625"/>
      <c r="J945" s="625"/>
      <c r="K945" s="625"/>
      <c r="L945" s="625"/>
      <c r="M945" s="625"/>
      <c r="N945" s="625"/>
      <c r="O945" s="625"/>
      <c r="P945" s="625"/>
      <c r="Q945" s="625"/>
      <c r="R945" s="625"/>
      <c r="S945" s="625"/>
      <c r="T945" s="625"/>
      <c r="U945" s="625"/>
      <c r="V945" s="625"/>
      <c r="W945" s="625"/>
      <c r="X945" s="625"/>
      <c r="Y945" s="625"/>
      <c r="Z945" s="625"/>
    </row>
    <row r="946">
      <c r="A946" s="625"/>
      <c r="B946" s="625"/>
      <c r="C946" s="625"/>
      <c r="D946" s="625"/>
      <c r="E946" s="625"/>
      <c r="F946" s="625"/>
      <c r="G946" s="625"/>
      <c r="H946" s="625"/>
      <c r="I946" s="625"/>
      <c r="J946" s="625"/>
      <c r="K946" s="625"/>
      <c r="L946" s="625"/>
      <c r="M946" s="625"/>
      <c r="N946" s="625"/>
      <c r="O946" s="625"/>
      <c r="P946" s="625"/>
      <c r="Q946" s="625"/>
      <c r="R946" s="625"/>
      <c r="S946" s="625"/>
      <c r="T946" s="625"/>
      <c r="U946" s="625"/>
      <c r="V946" s="625"/>
      <c r="W946" s="625"/>
      <c r="X946" s="625"/>
      <c r="Y946" s="625"/>
      <c r="Z946" s="625"/>
    </row>
    <row r="947">
      <c r="A947" s="625"/>
      <c r="B947" s="625"/>
      <c r="C947" s="625"/>
      <c r="D947" s="625"/>
      <c r="E947" s="625"/>
      <c r="F947" s="625"/>
      <c r="G947" s="625"/>
      <c r="H947" s="625"/>
      <c r="I947" s="625"/>
      <c r="J947" s="625"/>
      <c r="K947" s="625"/>
      <c r="L947" s="625"/>
      <c r="M947" s="625"/>
      <c r="N947" s="625"/>
      <c r="O947" s="625"/>
      <c r="P947" s="625"/>
      <c r="Q947" s="625"/>
      <c r="R947" s="625"/>
      <c r="S947" s="625"/>
      <c r="T947" s="625"/>
      <c r="U947" s="625"/>
      <c r="V947" s="625"/>
      <c r="W947" s="625"/>
      <c r="X947" s="625"/>
      <c r="Y947" s="625"/>
      <c r="Z947" s="625"/>
    </row>
    <row r="948">
      <c r="A948" s="625"/>
      <c r="B948" s="625"/>
      <c r="C948" s="625"/>
      <c r="D948" s="625"/>
      <c r="E948" s="625"/>
      <c r="F948" s="625"/>
      <c r="G948" s="625"/>
      <c r="H948" s="625"/>
      <c r="I948" s="625"/>
      <c r="J948" s="625"/>
      <c r="K948" s="625"/>
      <c r="L948" s="625"/>
      <c r="M948" s="625"/>
      <c r="N948" s="625"/>
      <c r="O948" s="625"/>
      <c r="P948" s="625"/>
      <c r="Q948" s="625"/>
      <c r="R948" s="625"/>
      <c r="S948" s="625"/>
      <c r="T948" s="625"/>
      <c r="U948" s="625"/>
      <c r="V948" s="625"/>
      <c r="W948" s="625"/>
      <c r="X948" s="625"/>
      <c r="Y948" s="625"/>
      <c r="Z948" s="625"/>
    </row>
    <row r="949">
      <c r="A949" s="625"/>
      <c r="B949" s="625"/>
      <c r="C949" s="625"/>
      <c r="D949" s="625"/>
      <c r="E949" s="625"/>
      <c r="F949" s="625"/>
      <c r="G949" s="625"/>
      <c r="H949" s="625"/>
      <c r="I949" s="625"/>
      <c r="J949" s="625"/>
      <c r="K949" s="625"/>
      <c r="L949" s="625"/>
      <c r="M949" s="625"/>
      <c r="N949" s="625"/>
      <c r="O949" s="625"/>
      <c r="P949" s="625"/>
      <c r="Q949" s="625"/>
      <c r="R949" s="625"/>
      <c r="S949" s="625"/>
      <c r="T949" s="625"/>
      <c r="U949" s="625"/>
      <c r="V949" s="625"/>
      <c r="W949" s="625"/>
      <c r="X949" s="625"/>
      <c r="Y949" s="625"/>
      <c r="Z949" s="625"/>
    </row>
    <row r="950">
      <c r="A950" s="625"/>
      <c r="B950" s="625"/>
      <c r="C950" s="625"/>
      <c r="D950" s="625"/>
      <c r="E950" s="625"/>
      <c r="F950" s="625"/>
      <c r="G950" s="625"/>
      <c r="H950" s="625"/>
      <c r="I950" s="625"/>
      <c r="J950" s="625"/>
      <c r="K950" s="625"/>
      <c r="L950" s="625"/>
      <c r="M950" s="625"/>
      <c r="N950" s="625"/>
      <c r="O950" s="625"/>
      <c r="P950" s="625"/>
      <c r="Q950" s="625"/>
      <c r="R950" s="625"/>
      <c r="S950" s="625"/>
      <c r="T950" s="625"/>
      <c r="U950" s="625"/>
      <c r="V950" s="625"/>
      <c r="W950" s="625"/>
      <c r="X950" s="625"/>
      <c r="Y950" s="625"/>
      <c r="Z950" s="625"/>
    </row>
    <row r="951">
      <c r="A951" s="625"/>
      <c r="B951" s="625"/>
      <c r="C951" s="625"/>
      <c r="D951" s="625"/>
      <c r="E951" s="625"/>
      <c r="F951" s="625"/>
      <c r="G951" s="625"/>
      <c r="H951" s="625"/>
      <c r="I951" s="625"/>
      <c r="J951" s="625"/>
      <c r="K951" s="625"/>
      <c r="L951" s="625"/>
      <c r="M951" s="625"/>
      <c r="N951" s="625"/>
      <c r="O951" s="625"/>
      <c r="P951" s="625"/>
      <c r="Q951" s="625"/>
      <c r="R951" s="625"/>
      <c r="S951" s="625"/>
      <c r="T951" s="625"/>
      <c r="U951" s="625"/>
      <c r="V951" s="625"/>
      <c r="W951" s="625"/>
      <c r="X951" s="625"/>
      <c r="Y951" s="625"/>
      <c r="Z951" s="625"/>
    </row>
    <row r="952">
      <c r="A952" s="625"/>
      <c r="B952" s="625"/>
      <c r="C952" s="625"/>
      <c r="D952" s="625"/>
      <c r="E952" s="625"/>
      <c r="F952" s="625"/>
      <c r="G952" s="625"/>
      <c r="H952" s="625"/>
      <c r="I952" s="625"/>
      <c r="J952" s="625"/>
      <c r="K952" s="625"/>
      <c r="L952" s="625"/>
      <c r="M952" s="625"/>
      <c r="N952" s="625"/>
      <c r="O952" s="625"/>
      <c r="P952" s="625"/>
      <c r="Q952" s="625"/>
      <c r="R952" s="625"/>
      <c r="S952" s="625"/>
      <c r="T952" s="625"/>
      <c r="U952" s="625"/>
      <c r="V952" s="625"/>
      <c r="W952" s="625"/>
      <c r="X952" s="625"/>
      <c r="Y952" s="625"/>
      <c r="Z952" s="625"/>
    </row>
    <row r="953">
      <c r="A953" s="625"/>
      <c r="B953" s="625"/>
      <c r="C953" s="625"/>
      <c r="D953" s="625"/>
      <c r="E953" s="625"/>
      <c r="F953" s="625"/>
      <c r="G953" s="625"/>
      <c r="H953" s="625"/>
      <c r="I953" s="625"/>
      <c r="J953" s="625"/>
      <c r="K953" s="625"/>
      <c r="L953" s="625"/>
      <c r="M953" s="625"/>
      <c r="N953" s="625"/>
      <c r="O953" s="625"/>
      <c r="P953" s="625"/>
      <c r="Q953" s="625"/>
      <c r="R953" s="625"/>
      <c r="S953" s="625"/>
      <c r="T953" s="625"/>
      <c r="U953" s="625"/>
      <c r="V953" s="625"/>
      <c r="W953" s="625"/>
      <c r="X953" s="625"/>
      <c r="Y953" s="625"/>
      <c r="Z953" s="625"/>
    </row>
    <row r="954">
      <c r="A954" s="625"/>
      <c r="B954" s="625"/>
      <c r="C954" s="625"/>
      <c r="D954" s="625"/>
      <c r="E954" s="625"/>
      <c r="F954" s="625"/>
      <c r="G954" s="625"/>
      <c r="H954" s="625"/>
      <c r="I954" s="625"/>
      <c r="J954" s="625"/>
      <c r="K954" s="625"/>
      <c r="L954" s="625"/>
      <c r="M954" s="625"/>
      <c r="N954" s="625"/>
      <c r="O954" s="625"/>
      <c r="P954" s="625"/>
      <c r="Q954" s="625"/>
      <c r="R954" s="625"/>
      <c r="S954" s="625"/>
      <c r="T954" s="625"/>
      <c r="U954" s="625"/>
      <c r="V954" s="625"/>
      <c r="W954" s="625"/>
      <c r="X954" s="625"/>
      <c r="Y954" s="625"/>
      <c r="Z954" s="625"/>
    </row>
    <row r="955">
      <c r="A955" s="625"/>
      <c r="B955" s="625"/>
      <c r="C955" s="625"/>
      <c r="D955" s="625"/>
      <c r="E955" s="625"/>
      <c r="F955" s="625"/>
      <c r="G955" s="625"/>
      <c r="H955" s="625"/>
      <c r="I955" s="625"/>
      <c r="J955" s="625"/>
      <c r="K955" s="625"/>
      <c r="L955" s="625"/>
      <c r="M955" s="625"/>
      <c r="N955" s="625"/>
      <c r="O955" s="625"/>
      <c r="P955" s="625"/>
      <c r="Q955" s="625"/>
      <c r="R955" s="625"/>
      <c r="S955" s="625"/>
      <c r="T955" s="625"/>
      <c r="U955" s="625"/>
      <c r="V955" s="625"/>
      <c r="W955" s="625"/>
      <c r="X955" s="625"/>
      <c r="Y955" s="625"/>
      <c r="Z955" s="625"/>
    </row>
    <row r="956">
      <c r="A956" s="625"/>
      <c r="B956" s="625"/>
      <c r="C956" s="625"/>
      <c r="D956" s="625"/>
      <c r="E956" s="625"/>
      <c r="F956" s="625"/>
      <c r="G956" s="625"/>
      <c r="H956" s="625"/>
      <c r="I956" s="625"/>
      <c r="J956" s="625"/>
      <c r="K956" s="625"/>
      <c r="L956" s="625"/>
      <c r="M956" s="625"/>
      <c r="N956" s="625"/>
      <c r="O956" s="625"/>
      <c r="P956" s="625"/>
      <c r="Q956" s="625"/>
      <c r="R956" s="625"/>
      <c r="S956" s="625"/>
      <c r="T956" s="625"/>
      <c r="U956" s="625"/>
      <c r="V956" s="625"/>
      <c r="W956" s="625"/>
      <c r="X956" s="625"/>
      <c r="Y956" s="625"/>
      <c r="Z956" s="625"/>
    </row>
    <row r="957">
      <c r="A957" s="625"/>
      <c r="B957" s="625"/>
      <c r="C957" s="625"/>
      <c r="D957" s="625"/>
      <c r="E957" s="625"/>
      <c r="F957" s="625"/>
      <c r="G957" s="625"/>
      <c r="H957" s="625"/>
      <c r="I957" s="625"/>
      <c r="J957" s="625"/>
      <c r="K957" s="625"/>
      <c r="L957" s="625"/>
      <c r="M957" s="625"/>
      <c r="N957" s="625"/>
      <c r="O957" s="625"/>
      <c r="P957" s="625"/>
      <c r="Q957" s="625"/>
      <c r="R957" s="625"/>
      <c r="S957" s="625"/>
      <c r="T957" s="625"/>
      <c r="U957" s="625"/>
      <c r="V957" s="625"/>
      <c r="W957" s="625"/>
      <c r="X957" s="625"/>
      <c r="Y957" s="625"/>
      <c r="Z957" s="625"/>
    </row>
    <row r="958">
      <c r="A958" s="625"/>
      <c r="B958" s="625"/>
      <c r="C958" s="625"/>
      <c r="D958" s="625"/>
      <c r="E958" s="625"/>
      <c r="F958" s="625"/>
      <c r="G958" s="625"/>
      <c r="H958" s="625"/>
      <c r="I958" s="625"/>
      <c r="J958" s="625"/>
      <c r="K958" s="625"/>
      <c r="L958" s="625"/>
      <c r="M958" s="625"/>
      <c r="N958" s="625"/>
      <c r="O958" s="625"/>
      <c r="P958" s="625"/>
      <c r="Q958" s="625"/>
      <c r="R958" s="625"/>
      <c r="S958" s="625"/>
      <c r="T958" s="625"/>
      <c r="U958" s="625"/>
      <c r="V958" s="625"/>
      <c r="W958" s="625"/>
      <c r="X958" s="625"/>
      <c r="Y958" s="625"/>
      <c r="Z958" s="625"/>
    </row>
    <row r="959">
      <c r="A959" s="625"/>
      <c r="B959" s="625"/>
      <c r="C959" s="625"/>
      <c r="D959" s="625"/>
      <c r="E959" s="625"/>
      <c r="F959" s="625"/>
      <c r="G959" s="625"/>
      <c r="H959" s="625"/>
      <c r="I959" s="625"/>
      <c r="J959" s="625"/>
      <c r="K959" s="625"/>
      <c r="L959" s="625"/>
      <c r="M959" s="625"/>
      <c r="N959" s="625"/>
      <c r="O959" s="625"/>
      <c r="P959" s="625"/>
      <c r="Q959" s="625"/>
      <c r="R959" s="625"/>
      <c r="S959" s="625"/>
      <c r="T959" s="625"/>
      <c r="U959" s="625"/>
      <c r="V959" s="625"/>
      <c r="W959" s="625"/>
      <c r="X959" s="625"/>
      <c r="Y959" s="625"/>
      <c r="Z959" s="625"/>
    </row>
    <row r="960">
      <c r="A960" s="625"/>
      <c r="B960" s="625"/>
      <c r="C960" s="625"/>
      <c r="D960" s="625"/>
      <c r="E960" s="625"/>
      <c r="F960" s="625"/>
      <c r="G960" s="625"/>
      <c r="H960" s="625"/>
      <c r="I960" s="625"/>
      <c r="J960" s="625"/>
      <c r="K960" s="625"/>
      <c r="L960" s="625"/>
      <c r="M960" s="625"/>
      <c r="N960" s="625"/>
      <c r="O960" s="625"/>
      <c r="P960" s="625"/>
      <c r="Q960" s="625"/>
      <c r="R960" s="625"/>
      <c r="S960" s="625"/>
      <c r="T960" s="625"/>
      <c r="U960" s="625"/>
      <c r="V960" s="625"/>
      <c r="W960" s="625"/>
      <c r="X960" s="625"/>
      <c r="Y960" s="625"/>
      <c r="Z960" s="625"/>
    </row>
    <row r="961">
      <c r="A961" s="625"/>
      <c r="B961" s="625"/>
      <c r="C961" s="625"/>
      <c r="D961" s="625"/>
      <c r="E961" s="625"/>
      <c r="F961" s="625"/>
      <c r="G961" s="625"/>
      <c r="H961" s="625"/>
      <c r="I961" s="625"/>
      <c r="J961" s="625"/>
      <c r="K961" s="625"/>
      <c r="L961" s="625"/>
      <c r="M961" s="625"/>
      <c r="N961" s="625"/>
      <c r="O961" s="625"/>
      <c r="P961" s="625"/>
      <c r="Q961" s="625"/>
      <c r="R961" s="625"/>
      <c r="S961" s="625"/>
      <c r="T961" s="625"/>
      <c r="U961" s="625"/>
      <c r="V961" s="625"/>
      <c r="W961" s="625"/>
      <c r="X961" s="625"/>
      <c r="Y961" s="625"/>
      <c r="Z961" s="625"/>
    </row>
    <row r="962">
      <c r="A962" s="625"/>
      <c r="B962" s="625"/>
      <c r="C962" s="625"/>
      <c r="D962" s="625"/>
      <c r="E962" s="625"/>
      <c r="F962" s="625"/>
      <c r="G962" s="625"/>
      <c r="H962" s="625"/>
      <c r="I962" s="625"/>
      <c r="J962" s="625"/>
      <c r="K962" s="625"/>
      <c r="L962" s="625"/>
      <c r="M962" s="625"/>
      <c r="N962" s="625"/>
      <c r="O962" s="625"/>
      <c r="P962" s="625"/>
      <c r="Q962" s="625"/>
      <c r="R962" s="625"/>
      <c r="S962" s="625"/>
      <c r="T962" s="625"/>
      <c r="U962" s="625"/>
      <c r="V962" s="625"/>
      <c r="W962" s="625"/>
      <c r="X962" s="625"/>
      <c r="Y962" s="625"/>
      <c r="Z962" s="625"/>
    </row>
    <row r="963">
      <c r="A963" s="625"/>
      <c r="B963" s="625"/>
      <c r="C963" s="625"/>
      <c r="D963" s="625"/>
      <c r="E963" s="625"/>
      <c r="F963" s="625"/>
      <c r="G963" s="625"/>
      <c r="H963" s="625"/>
      <c r="I963" s="625"/>
      <c r="J963" s="625"/>
      <c r="K963" s="625"/>
      <c r="L963" s="625"/>
      <c r="M963" s="625"/>
      <c r="N963" s="625"/>
      <c r="O963" s="625"/>
      <c r="P963" s="625"/>
      <c r="Q963" s="625"/>
      <c r="R963" s="625"/>
      <c r="S963" s="625"/>
      <c r="T963" s="625"/>
      <c r="U963" s="625"/>
      <c r="V963" s="625"/>
      <c r="W963" s="625"/>
      <c r="X963" s="625"/>
      <c r="Y963" s="625"/>
      <c r="Z963" s="625"/>
    </row>
    <row r="964">
      <c r="A964" s="625"/>
      <c r="B964" s="625"/>
      <c r="C964" s="625"/>
      <c r="D964" s="625"/>
      <c r="E964" s="625"/>
      <c r="F964" s="625"/>
      <c r="G964" s="625"/>
      <c r="H964" s="625"/>
      <c r="I964" s="625"/>
      <c r="J964" s="625"/>
      <c r="K964" s="625"/>
      <c r="L964" s="625"/>
      <c r="M964" s="625"/>
      <c r="N964" s="625"/>
      <c r="O964" s="625"/>
      <c r="P964" s="625"/>
      <c r="Q964" s="625"/>
      <c r="R964" s="625"/>
      <c r="S964" s="625"/>
      <c r="T964" s="625"/>
      <c r="U964" s="625"/>
      <c r="V964" s="625"/>
      <c r="W964" s="625"/>
      <c r="X964" s="625"/>
      <c r="Y964" s="625"/>
      <c r="Z964" s="625"/>
    </row>
    <row r="965">
      <c r="A965" s="625"/>
      <c r="B965" s="625"/>
      <c r="C965" s="625"/>
      <c r="D965" s="625"/>
      <c r="E965" s="625"/>
      <c r="F965" s="625"/>
      <c r="G965" s="625"/>
      <c r="H965" s="625"/>
      <c r="I965" s="625"/>
      <c r="J965" s="625"/>
      <c r="K965" s="625"/>
      <c r="L965" s="625"/>
      <c r="M965" s="625"/>
      <c r="N965" s="625"/>
      <c r="O965" s="625"/>
      <c r="P965" s="625"/>
      <c r="Q965" s="625"/>
      <c r="R965" s="625"/>
      <c r="S965" s="625"/>
      <c r="T965" s="625"/>
      <c r="U965" s="625"/>
      <c r="V965" s="625"/>
      <c r="W965" s="625"/>
      <c r="X965" s="625"/>
      <c r="Y965" s="625"/>
      <c r="Z965" s="625"/>
    </row>
    <row r="966">
      <c r="A966" s="625"/>
      <c r="B966" s="625"/>
      <c r="C966" s="625"/>
      <c r="D966" s="625"/>
      <c r="E966" s="625"/>
      <c r="F966" s="625"/>
      <c r="G966" s="625"/>
      <c r="H966" s="625"/>
      <c r="I966" s="625"/>
      <c r="J966" s="625"/>
      <c r="K966" s="625"/>
      <c r="L966" s="625"/>
      <c r="M966" s="625"/>
      <c r="N966" s="625"/>
      <c r="O966" s="625"/>
      <c r="P966" s="625"/>
      <c r="Q966" s="625"/>
      <c r="R966" s="625"/>
      <c r="S966" s="625"/>
      <c r="T966" s="625"/>
      <c r="U966" s="625"/>
      <c r="V966" s="625"/>
      <c r="W966" s="625"/>
      <c r="X966" s="625"/>
      <c r="Y966" s="625"/>
      <c r="Z966" s="625"/>
    </row>
    <row r="967">
      <c r="A967" s="625"/>
      <c r="B967" s="625"/>
      <c r="C967" s="625"/>
      <c r="D967" s="625"/>
      <c r="E967" s="625"/>
      <c r="F967" s="625"/>
      <c r="G967" s="625"/>
      <c r="H967" s="625"/>
      <c r="I967" s="625"/>
      <c r="J967" s="625"/>
      <c r="K967" s="625"/>
      <c r="L967" s="625"/>
      <c r="M967" s="625"/>
      <c r="N967" s="625"/>
      <c r="O967" s="625"/>
      <c r="P967" s="625"/>
      <c r="Q967" s="625"/>
      <c r="R967" s="625"/>
      <c r="S967" s="625"/>
      <c r="T967" s="625"/>
      <c r="U967" s="625"/>
      <c r="V967" s="625"/>
      <c r="W967" s="625"/>
      <c r="X967" s="625"/>
      <c r="Y967" s="625"/>
      <c r="Z967" s="625"/>
    </row>
    <row r="968">
      <c r="A968" s="625"/>
      <c r="B968" s="625"/>
      <c r="C968" s="625"/>
      <c r="D968" s="625"/>
      <c r="E968" s="625"/>
      <c r="F968" s="625"/>
      <c r="G968" s="625"/>
      <c r="H968" s="625"/>
      <c r="I968" s="625"/>
      <c r="J968" s="625"/>
      <c r="K968" s="625"/>
      <c r="L968" s="625"/>
      <c r="M968" s="625"/>
      <c r="N968" s="625"/>
      <c r="O968" s="625"/>
      <c r="P968" s="625"/>
      <c r="Q968" s="625"/>
      <c r="R968" s="625"/>
      <c r="S968" s="625"/>
      <c r="T968" s="625"/>
      <c r="U968" s="625"/>
      <c r="V968" s="625"/>
      <c r="W968" s="625"/>
      <c r="X968" s="625"/>
      <c r="Y968" s="625"/>
      <c r="Z968" s="625"/>
    </row>
    <row r="969">
      <c r="A969" s="625"/>
      <c r="B969" s="625"/>
      <c r="C969" s="625"/>
      <c r="D969" s="625"/>
      <c r="E969" s="625"/>
      <c r="F969" s="625"/>
      <c r="G969" s="625"/>
      <c r="H969" s="625"/>
      <c r="I969" s="625"/>
      <c r="J969" s="625"/>
      <c r="K969" s="625"/>
      <c r="L969" s="625"/>
      <c r="M969" s="625"/>
      <c r="N969" s="625"/>
      <c r="O969" s="625"/>
      <c r="P969" s="625"/>
      <c r="Q969" s="625"/>
      <c r="R969" s="625"/>
      <c r="S969" s="625"/>
      <c r="T969" s="625"/>
      <c r="U969" s="625"/>
      <c r="V969" s="625"/>
      <c r="W969" s="625"/>
      <c r="X969" s="625"/>
      <c r="Y969" s="625"/>
      <c r="Z969" s="625"/>
    </row>
    <row r="970">
      <c r="A970" s="625"/>
      <c r="B970" s="625"/>
      <c r="C970" s="625"/>
      <c r="D970" s="625"/>
      <c r="E970" s="625"/>
      <c r="F970" s="625"/>
      <c r="G970" s="625"/>
      <c r="H970" s="625"/>
      <c r="I970" s="625"/>
      <c r="J970" s="625"/>
      <c r="K970" s="625"/>
      <c r="L970" s="625"/>
      <c r="M970" s="625"/>
      <c r="N970" s="625"/>
      <c r="O970" s="625"/>
      <c r="P970" s="625"/>
      <c r="Q970" s="625"/>
      <c r="R970" s="625"/>
      <c r="S970" s="625"/>
      <c r="T970" s="625"/>
      <c r="U970" s="625"/>
      <c r="V970" s="625"/>
      <c r="W970" s="625"/>
      <c r="X970" s="625"/>
      <c r="Y970" s="625"/>
      <c r="Z970" s="625"/>
    </row>
    <row r="971">
      <c r="A971" s="625"/>
      <c r="B971" s="625"/>
      <c r="C971" s="625"/>
      <c r="D971" s="625"/>
      <c r="E971" s="625"/>
      <c r="F971" s="625"/>
      <c r="G971" s="625"/>
      <c r="H971" s="625"/>
      <c r="I971" s="625"/>
      <c r="J971" s="625"/>
      <c r="K971" s="625"/>
      <c r="L971" s="625"/>
      <c r="M971" s="625"/>
      <c r="N971" s="625"/>
      <c r="O971" s="625"/>
      <c r="P971" s="625"/>
      <c r="Q971" s="625"/>
      <c r="R971" s="625"/>
      <c r="S971" s="625"/>
      <c r="T971" s="625"/>
      <c r="U971" s="625"/>
      <c r="V971" s="625"/>
      <c r="W971" s="625"/>
      <c r="X971" s="625"/>
      <c r="Y971" s="625"/>
      <c r="Z971" s="625"/>
    </row>
    <row r="972">
      <c r="A972" s="625"/>
      <c r="B972" s="625"/>
      <c r="C972" s="625"/>
      <c r="D972" s="625"/>
      <c r="E972" s="625"/>
      <c r="F972" s="625"/>
      <c r="G972" s="625"/>
      <c r="H972" s="625"/>
      <c r="I972" s="625"/>
      <c r="J972" s="625"/>
      <c r="K972" s="625"/>
      <c r="L972" s="625"/>
      <c r="M972" s="625"/>
      <c r="N972" s="625"/>
      <c r="O972" s="625"/>
      <c r="P972" s="625"/>
      <c r="Q972" s="625"/>
      <c r="R972" s="625"/>
      <c r="S972" s="625"/>
      <c r="T972" s="625"/>
      <c r="U972" s="625"/>
      <c r="V972" s="625"/>
      <c r="W972" s="625"/>
      <c r="X972" s="625"/>
      <c r="Y972" s="625"/>
      <c r="Z972" s="625"/>
    </row>
    <row r="973">
      <c r="A973" s="625"/>
      <c r="B973" s="625"/>
      <c r="C973" s="625"/>
      <c r="D973" s="625"/>
      <c r="E973" s="625"/>
      <c r="F973" s="625"/>
      <c r="G973" s="625"/>
      <c r="H973" s="625"/>
      <c r="I973" s="625"/>
      <c r="J973" s="625"/>
      <c r="K973" s="625"/>
      <c r="L973" s="625"/>
      <c r="M973" s="625"/>
      <c r="N973" s="625"/>
      <c r="O973" s="625"/>
      <c r="P973" s="625"/>
      <c r="Q973" s="625"/>
      <c r="R973" s="625"/>
      <c r="S973" s="625"/>
      <c r="T973" s="625"/>
      <c r="U973" s="625"/>
      <c r="V973" s="625"/>
      <c r="W973" s="625"/>
      <c r="X973" s="625"/>
      <c r="Y973" s="625"/>
      <c r="Z973" s="625"/>
    </row>
    <row r="974">
      <c r="A974" s="625"/>
      <c r="B974" s="625"/>
      <c r="C974" s="625"/>
      <c r="D974" s="625"/>
      <c r="E974" s="625"/>
      <c r="F974" s="625"/>
      <c r="G974" s="625"/>
      <c r="H974" s="625"/>
      <c r="I974" s="625"/>
      <c r="J974" s="625"/>
      <c r="K974" s="625"/>
      <c r="L974" s="625"/>
      <c r="M974" s="625"/>
      <c r="N974" s="625"/>
      <c r="O974" s="625"/>
      <c r="P974" s="625"/>
      <c r="Q974" s="625"/>
      <c r="R974" s="625"/>
      <c r="S974" s="625"/>
      <c r="T974" s="625"/>
      <c r="U974" s="625"/>
      <c r="V974" s="625"/>
      <c r="W974" s="625"/>
      <c r="X974" s="625"/>
      <c r="Y974" s="625"/>
      <c r="Z974" s="625"/>
    </row>
    <row r="975">
      <c r="A975" s="625"/>
      <c r="B975" s="625"/>
      <c r="C975" s="625"/>
      <c r="D975" s="625"/>
      <c r="E975" s="625"/>
      <c r="F975" s="625"/>
      <c r="G975" s="625"/>
      <c r="H975" s="625"/>
      <c r="I975" s="625"/>
      <c r="J975" s="625"/>
      <c r="K975" s="625"/>
      <c r="L975" s="625"/>
      <c r="M975" s="625"/>
      <c r="N975" s="625"/>
      <c r="O975" s="625"/>
      <c r="P975" s="625"/>
      <c r="Q975" s="625"/>
      <c r="R975" s="625"/>
      <c r="S975" s="625"/>
      <c r="T975" s="625"/>
      <c r="U975" s="625"/>
      <c r="V975" s="625"/>
      <c r="W975" s="625"/>
      <c r="X975" s="625"/>
      <c r="Y975" s="625"/>
      <c r="Z975" s="625"/>
    </row>
    <row r="976">
      <c r="A976" s="625"/>
      <c r="B976" s="625"/>
      <c r="C976" s="625"/>
      <c r="D976" s="625"/>
      <c r="E976" s="625"/>
      <c r="F976" s="625"/>
      <c r="G976" s="625"/>
      <c r="H976" s="625"/>
      <c r="I976" s="625"/>
      <c r="J976" s="625"/>
      <c r="K976" s="625"/>
      <c r="L976" s="625"/>
      <c r="M976" s="625"/>
      <c r="N976" s="625"/>
      <c r="O976" s="625"/>
      <c r="P976" s="625"/>
      <c r="Q976" s="625"/>
      <c r="R976" s="625"/>
      <c r="S976" s="625"/>
      <c r="T976" s="625"/>
      <c r="U976" s="625"/>
      <c r="V976" s="625"/>
      <c r="W976" s="625"/>
      <c r="X976" s="625"/>
      <c r="Y976" s="625"/>
      <c r="Z976" s="625"/>
    </row>
    <row r="977">
      <c r="A977" s="625"/>
      <c r="B977" s="625"/>
      <c r="C977" s="625"/>
      <c r="D977" s="625"/>
      <c r="E977" s="625"/>
      <c r="F977" s="625"/>
      <c r="G977" s="625"/>
      <c r="H977" s="625"/>
      <c r="I977" s="625"/>
      <c r="J977" s="625"/>
      <c r="K977" s="625"/>
      <c r="L977" s="625"/>
      <c r="M977" s="625"/>
      <c r="N977" s="625"/>
      <c r="O977" s="625"/>
      <c r="P977" s="625"/>
      <c r="Q977" s="625"/>
      <c r="R977" s="625"/>
      <c r="S977" s="625"/>
      <c r="T977" s="625"/>
      <c r="U977" s="625"/>
      <c r="V977" s="625"/>
      <c r="W977" s="625"/>
      <c r="X977" s="625"/>
      <c r="Y977" s="625"/>
      <c r="Z977" s="625"/>
    </row>
    <row r="978">
      <c r="A978" s="625"/>
      <c r="B978" s="625"/>
      <c r="C978" s="625"/>
      <c r="D978" s="625"/>
      <c r="E978" s="625"/>
      <c r="F978" s="625"/>
      <c r="G978" s="625"/>
      <c r="H978" s="625"/>
      <c r="I978" s="625"/>
      <c r="J978" s="625"/>
      <c r="K978" s="625"/>
      <c r="L978" s="625"/>
      <c r="M978" s="625"/>
      <c r="N978" s="625"/>
      <c r="O978" s="625"/>
      <c r="P978" s="625"/>
      <c r="Q978" s="625"/>
      <c r="R978" s="625"/>
      <c r="S978" s="625"/>
      <c r="T978" s="625"/>
      <c r="U978" s="625"/>
      <c r="V978" s="625"/>
      <c r="W978" s="625"/>
      <c r="X978" s="625"/>
      <c r="Y978" s="625"/>
      <c r="Z978" s="625"/>
    </row>
    <row r="979">
      <c r="A979" s="625"/>
      <c r="B979" s="625"/>
      <c r="C979" s="625"/>
      <c r="D979" s="625"/>
      <c r="E979" s="625"/>
      <c r="F979" s="625"/>
      <c r="G979" s="625"/>
      <c r="H979" s="625"/>
      <c r="I979" s="625"/>
      <c r="J979" s="625"/>
      <c r="K979" s="625"/>
      <c r="L979" s="625"/>
      <c r="M979" s="625"/>
      <c r="N979" s="625"/>
      <c r="O979" s="625"/>
      <c r="P979" s="625"/>
      <c r="Q979" s="625"/>
      <c r="R979" s="625"/>
      <c r="S979" s="625"/>
      <c r="T979" s="625"/>
      <c r="U979" s="625"/>
      <c r="V979" s="625"/>
      <c r="W979" s="625"/>
      <c r="X979" s="625"/>
      <c r="Y979" s="625"/>
      <c r="Z979" s="625"/>
    </row>
    <row r="980">
      <c r="A980" s="625"/>
      <c r="B980" s="625"/>
      <c r="C980" s="625"/>
      <c r="D980" s="625"/>
      <c r="E980" s="625"/>
      <c r="F980" s="625"/>
      <c r="G980" s="625"/>
      <c r="H980" s="625"/>
      <c r="I980" s="625"/>
      <c r="J980" s="625"/>
      <c r="K980" s="625"/>
      <c r="L980" s="625"/>
      <c r="M980" s="625"/>
      <c r="N980" s="625"/>
      <c r="O980" s="625"/>
      <c r="P980" s="625"/>
      <c r="Q980" s="625"/>
      <c r="R980" s="625"/>
      <c r="S980" s="625"/>
      <c r="T980" s="625"/>
      <c r="U980" s="625"/>
      <c r="V980" s="625"/>
      <c r="W980" s="625"/>
      <c r="X980" s="625"/>
      <c r="Y980" s="625"/>
      <c r="Z980" s="625"/>
    </row>
    <row r="981">
      <c r="A981" s="625"/>
      <c r="B981" s="625"/>
      <c r="C981" s="625"/>
      <c r="D981" s="625"/>
      <c r="E981" s="625"/>
      <c r="F981" s="625"/>
      <c r="G981" s="625"/>
      <c r="H981" s="625"/>
      <c r="I981" s="625"/>
      <c r="J981" s="625"/>
      <c r="K981" s="625"/>
      <c r="L981" s="625"/>
      <c r="M981" s="625"/>
      <c r="N981" s="625"/>
      <c r="O981" s="625"/>
      <c r="P981" s="625"/>
      <c r="Q981" s="625"/>
      <c r="R981" s="625"/>
      <c r="S981" s="625"/>
      <c r="T981" s="625"/>
      <c r="U981" s="625"/>
      <c r="V981" s="625"/>
      <c r="W981" s="625"/>
      <c r="X981" s="625"/>
      <c r="Y981" s="625"/>
      <c r="Z981" s="625"/>
    </row>
    <row r="982">
      <c r="A982" s="625"/>
      <c r="B982" s="625"/>
      <c r="C982" s="625"/>
      <c r="D982" s="625"/>
      <c r="E982" s="625"/>
      <c r="F982" s="625"/>
      <c r="G982" s="625"/>
      <c r="H982" s="625"/>
      <c r="I982" s="625"/>
      <c r="J982" s="625"/>
      <c r="K982" s="625"/>
      <c r="L982" s="625"/>
      <c r="M982" s="625"/>
      <c r="N982" s="625"/>
      <c r="O982" s="625"/>
      <c r="P982" s="625"/>
      <c r="Q982" s="625"/>
      <c r="R982" s="625"/>
      <c r="S982" s="625"/>
      <c r="T982" s="625"/>
      <c r="U982" s="625"/>
      <c r="V982" s="625"/>
      <c r="W982" s="625"/>
      <c r="X982" s="625"/>
      <c r="Y982" s="625"/>
      <c r="Z982" s="625"/>
    </row>
    <row r="983">
      <c r="A983" s="625"/>
      <c r="B983" s="625"/>
      <c r="C983" s="625"/>
      <c r="D983" s="625"/>
      <c r="E983" s="625"/>
      <c r="F983" s="625"/>
      <c r="G983" s="625"/>
      <c r="H983" s="625"/>
      <c r="I983" s="625"/>
      <c r="J983" s="625"/>
      <c r="K983" s="625"/>
      <c r="L983" s="625"/>
      <c r="M983" s="625"/>
      <c r="N983" s="625"/>
      <c r="O983" s="625"/>
      <c r="P983" s="625"/>
      <c r="Q983" s="625"/>
      <c r="R983" s="625"/>
      <c r="S983" s="625"/>
      <c r="T983" s="625"/>
      <c r="U983" s="625"/>
      <c r="V983" s="625"/>
      <c r="W983" s="625"/>
      <c r="X983" s="625"/>
      <c r="Y983" s="625"/>
      <c r="Z983" s="625"/>
    </row>
    <row r="984">
      <c r="A984" s="625"/>
      <c r="B984" s="625"/>
      <c r="C984" s="625"/>
      <c r="D984" s="625"/>
      <c r="E984" s="625"/>
      <c r="F984" s="625"/>
      <c r="G984" s="625"/>
      <c r="H984" s="625"/>
      <c r="I984" s="625"/>
      <c r="J984" s="625"/>
      <c r="K984" s="625"/>
      <c r="L984" s="625"/>
      <c r="M984" s="625"/>
      <c r="N984" s="625"/>
      <c r="O984" s="625"/>
      <c r="P984" s="625"/>
      <c r="Q984" s="625"/>
      <c r="R984" s="625"/>
      <c r="S984" s="625"/>
      <c r="T984" s="625"/>
      <c r="U984" s="625"/>
      <c r="V984" s="625"/>
      <c r="W984" s="625"/>
      <c r="X984" s="625"/>
      <c r="Y984" s="625"/>
      <c r="Z984" s="625"/>
    </row>
    <row r="985">
      <c r="A985" s="625"/>
      <c r="B985" s="625"/>
      <c r="C985" s="625"/>
      <c r="D985" s="625"/>
      <c r="E985" s="625"/>
      <c r="F985" s="625"/>
      <c r="G985" s="625"/>
      <c r="H985" s="625"/>
      <c r="I985" s="625"/>
      <c r="J985" s="625"/>
      <c r="K985" s="625"/>
      <c r="L985" s="625"/>
      <c r="M985" s="625"/>
      <c r="N985" s="625"/>
      <c r="O985" s="625"/>
      <c r="P985" s="625"/>
      <c r="Q985" s="625"/>
      <c r="R985" s="625"/>
      <c r="S985" s="625"/>
      <c r="T985" s="625"/>
      <c r="U985" s="625"/>
      <c r="V985" s="625"/>
      <c r="W985" s="625"/>
      <c r="X985" s="625"/>
      <c r="Y985" s="625"/>
      <c r="Z985" s="625"/>
    </row>
    <row r="986">
      <c r="A986" s="625"/>
      <c r="B986" s="625"/>
      <c r="C986" s="625"/>
      <c r="D986" s="625"/>
      <c r="E986" s="625"/>
      <c r="F986" s="625"/>
      <c r="G986" s="625"/>
      <c r="H986" s="625"/>
      <c r="I986" s="625"/>
      <c r="J986" s="625"/>
      <c r="K986" s="625"/>
      <c r="L986" s="625"/>
      <c r="M986" s="625"/>
      <c r="N986" s="625"/>
      <c r="O986" s="625"/>
      <c r="P986" s="625"/>
      <c r="Q986" s="625"/>
      <c r="R986" s="625"/>
      <c r="S986" s="625"/>
      <c r="T986" s="625"/>
      <c r="U986" s="625"/>
      <c r="V986" s="625"/>
      <c r="W986" s="625"/>
      <c r="X986" s="625"/>
      <c r="Y986" s="625"/>
      <c r="Z986" s="625"/>
    </row>
    <row r="987">
      <c r="A987" s="625"/>
      <c r="B987" s="625"/>
      <c r="C987" s="625"/>
      <c r="D987" s="625"/>
      <c r="E987" s="625"/>
      <c r="F987" s="625"/>
      <c r="G987" s="625"/>
      <c r="H987" s="625"/>
      <c r="I987" s="625"/>
      <c r="J987" s="625"/>
      <c r="K987" s="625"/>
      <c r="L987" s="625"/>
      <c r="M987" s="625"/>
      <c r="N987" s="625"/>
      <c r="O987" s="625"/>
      <c r="P987" s="625"/>
      <c r="Q987" s="625"/>
      <c r="R987" s="625"/>
      <c r="S987" s="625"/>
      <c r="T987" s="625"/>
      <c r="U987" s="625"/>
      <c r="V987" s="625"/>
      <c r="W987" s="625"/>
      <c r="X987" s="625"/>
      <c r="Y987" s="625"/>
      <c r="Z987" s="625"/>
    </row>
    <row r="988">
      <c r="A988" s="625"/>
      <c r="B988" s="625"/>
      <c r="C988" s="625"/>
      <c r="D988" s="625"/>
      <c r="E988" s="625"/>
      <c r="F988" s="625"/>
      <c r="G988" s="625"/>
      <c r="H988" s="625"/>
      <c r="I988" s="625"/>
      <c r="J988" s="625"/>
      <c r="K988" s="625"/>
      <c r="L988" s="625"/>
      <c r="M988" s="625"/>
      <c r="N988" s="625"/>
      <c r="O988" s="625"/>
      <c r="P988" s="625"/>
      <c r="Q988" s="625"/>
      <c r="R988" s="625"/>
      <c r="S988" s="625"/>
      <c r="T988" s="625"/>
      <c r="U988" s="625"/>
      <c r="V988" s="625"/>
      <c r="W988" s="625"/>
      <c r="X988" s="625"/>
      <c r="Y988" s="625"/>
      <c r="Z988" s="625"/>
    </row>
    <row r="989">
      <c r="A989" s="625"/>
      <c r="B989" s="625"/>
      <c r="C989" s="625"/>
      <c r="D989" s="625"/>
      <c r="E989" s="625"/>
      <c r="F989" s="625"/>
      <c r="G989" s="625"/>
      <c r="H989" s="625"/>
      <c r="I989" s="625"/>
      <c r="J989" s="625"/>
      <c r="K989" s="625"/>
      <c r="L989" s="625"/>
      <c r="M989" s="625"/>
      <c r="N989" s="625"/>
      <c r="O989" s="625"/>
      <c r="P989" s="625"/>
      <c r="Q989" s="625"/>
      <c r="R989" s="625"/>
      <c r="S989" s="625"/>
      <c r="T989" s="625"/>
      <c r="U989" s="625"/>
      <c r="V989" s="625"/>
      <c r="W989" s="625"/>
      <c r="X989" s="625"/>
      <c r="Y989" s="625"/>
      <c r="Z989" s="625"/>
    </row>
    <row r="990">
      <c r="A990" s="625"/>
      <c r="B990" s="625"/>
      <c r="C990" s="625"/>
      <c r="D990" s="625"/>
      <c r="E990" s="625"/>
      <c r="F990" s="625"/>
      <c r="G990" s="625"/>
      <c r="H990" s="625"/>
      <c r="I990" s="625"/>
      <c r="J990" s="625"/>
      <c r="K990" s="625"/>
      <c r="L990" s="625"/>
      <c r="M990" s="625"/>
      <c r="N990" s="625"/>
      <c r="O990" s="625"/>
      <c r="P990" s="625"/>
      <c r="Q990" s="625"/>
      <c r="R990" s="625"/>
      <c r="S990" s="625"/>
      <c r="T990" s="625"/>
      <c r="U990" s="625"/>
      <c r="V990" s="625"/>
      <c r="W990" s="625"/>
      <c r="X990" s="625"/>
      <c r="Y990" s="625"/>
      <c r="Z990" s="625"/>
    </row>
    <row r="991">
      <c r="A991" s="625"/>
      <c r="B991" s="625"/>
      <c r="C991" s="625"/>
      <c r="D991" s="625"/>
      <c r="E991" s="625"/>
      <c r="F991" s="625"/>
      <c r="G991" s="625"/>
      <c r="H991" s="625"/>
      <c r="I991" s="625"/>
      <c r="J991" s="625"/>
      <c r="K991" s="625"/>
      <c r="L991" s="625"/>
      <c r="M991" s="625"/>
      <c r="N991" s="625"/>
      <c r="O991" s="625"/>
      <c r="P991" s="625"/>
      <c r="Q991" s="625"/>
      <c r="R991" s="625"/>
      <c r="S991" s="625"/>
      <c r="T991" s="625"/>
      <c r="U991" s="625"/>
      <c r="V991" s="625"/>
      <c r="W991" s="625"/>
      <c r="X991" s="625"/>
      <c r="Y991" s="625"/>
      <c r="Z991" s="625"/>
    </row>
    <row r="992">
      <c r="A992" s="625"/>
      <c r="B992" s="625"/>
      <c r="C992" s="625"/>
      <c r="D992" s="625"/>
      <c r="E992" s="625"/>
      <c r="F992" s="625"/>
      <c r="G992" s="625"/>
      <c r="H992" s="625"/>
      <c r="I992" s="625"/>
      <c r="J992" s="625"/>
      <c r="K992" s="625"/>
      <c r="L992" s="625"/>
      <c r="M992" s="625"/>
      <c r="N992" s="625"/>
      <c r="O992" s="625"/>
      <c r="P992" s="625"/>
      <c r="Q992" s="625"/>
      <c r="R992" s="625"/>
      <c r="S992" s="625"/>
      <c r="T992" s="625"/>
      <c r="U992" s="625"/>
      <c r="V992" s="625"/>
      <c r="W992" s="625"/>
      <c r="X992" s="625"/>
      <c r="Y992" s="625"/>
      <c r="Z992" s="625"/>
    </row>
    <row r="993">
      <c r="A993" s="625"/>
      <c r="B993" s="625"/>
      <c r="C993" s="625"/>
      <c r="D993" s="625"/>
      <c r="E993" s="625"/>
      <c r="F993" s="625"/>
      <c r="G993" s="625"/>
      <c r="H993" s="625"/>
      <c r="I993" s="625"/>
      <c r="J993" s="625"/>
      <c r="K993" s="625"/>
      <c r="L993" s="625"/>
      <c r="M993" s="625"/>
      <c r="N993" s="625"/>
      <c r="O993" s="625"/>
      <c r="P993" s="625"/>
      <c r="Q993" s="625"/>
      <c r="R993" s="625"/>
      <c r="S993" s="625"/>
      <c r="T993" s="625"/>
      <c r="U993" s="625"/>
      <c r="V993" s="625"/>
      <c r="W993" s="625"/>
      <c r="X993" s="625"/>
      <c r="Y993" s="625"/>
      <c r="Z993" s="625"/>
    </row>
    <row r="994">
      <c r="A994" s="625"/>
      <c r="B994" s="625"/>
      <c r="C994" s="625"/>
      <c r="D994" s="625"/>
      <c r="E994" s="625"/>
      <c r="F994" s="625"/>
      <c r="G994" s="625"/>
      <c r="H994" s="625"/>
      <c r="I994" s="625"/>
      <c r="J994" s="625"/>
      <c r="K994" s="625"/>
      <c r="L994" s="625"/>
      <c r="M994" s="625"/>
      <c r="N994" s="625"/>
      <c r="O994" s="625"/>
      <c r="P994" s="625"/>
      <c r="Q994" s="625"/>
      <c r="R994" s="625"/>
      <c r="S994" s="625"/>
      <c r="T994" s="625"/>
      <c r="U994" s="625"/>
      <c r="V994" s="625"/>
      <c r="W994" s="625"/>
      <c r="X994" s="625"/>
      <c r="Y994" s="625"/>
      <c r="Z994" s="625"/>
    </row>
    <row r="995">
      <c r="A995" s="625"/>
      <c r="B995" s="625"/>
      <c r="C995" s="625"/>
      <c r="D995" s="625"/>
      <c r="E995" s="625"/>
      <c r="F995" s="625"/>
      <c r="G995" s="625"/>
      <c r="H995" s="625"/>
      <c r="I995" s="625"/>
      <c r="J995" s="625"/>
      <c r="K995" s="625"/>
      <c r="L995" s="625"/>
      <c r="M995" s="625"/>
      <c r="N995" s="625"/>
      <c r="O995" s="625"/>
      <c r="P995" s="625"/>
      <c r="Q995" s="625"/>
      <c r="R995" s="625"/>
      <c r="S995" s="625"/>
      <c r="T995" s="625"/>
      <c r="U995" s="625"/>
      <c r="V995" s="625"/>
      <c r="W995" s="625"/>
      <c r="X995" s="625"/>
      <c r="Y995" s="625"/>
      <c r="Z995" s="625"/>
    </row>
    <row r="996">
      <c r="A996" s="625"/>
      <c r="B996" s="625"/>
      <c r="C996" s="625"/>
      <c r="D996" s="625"/>
      <c r="E996" s="625"/>
      <c r="F996" s="625"/>
      <c r="G996" s="625"/>
      <c r="H996" s="625"/>
      <c r="I996" s="625"/>
      <c r="J996" s="625"/>
      <c r="K996" s="625"/>
      <c r="L996" s="625"/>
      <c r="M996" s="625"/>
      <c r="N996" s="625"/>
      <c r="O996" s="625"/>
      <c r="P996" s="625"/>
      <c r="Q996" s="625"/>
      <c r="R996" s="625"/>
      <c r="S996" s="625"/>
      <c r="T996" s="625"/>
      <c r="U996" s="625"/>
      <c r="V996" s="625"/>
      <c r="W996" s="625"/>
      <c r="X996" s="625"/>
      <c r="Y996" s="625"/>
      <c r="Z996" s="625"/>
    </row>
    <row r="997">
      <c r="A997" s="625"/>
      <c r="B997" s="625"/>
      <c r="C997" s="625"/>
      <c r="D997" s="625"/>
      <c r="E997" s="625"/>
      <c r="F997" s="625"/>
      <c r="G997" s="625"/>
      <c r="H997" s="625"/>
      <c r="I997" s="625"/>
      <c r="J997" s="625"/>
      <c r="K997" s="625"/>
      <c r="L997" s="625"/>
      <c r="M997" s="625"/>
      <c r="N997" s="625"/>
      <c r="O997" s="625"/>
      <c r="P997" s="625"/>
      <c r="Q997" s="625"/>
      <c r="R997" s="625"/>
      <c r="S997" s="625"/>
      <c r="T997" s="625"/>
      <c r="U997" s="625"/>
      <c r="V997" s="625"/>
      <c r="W997" s="625"/>
      <c r="X997" s="625"/>
      <c r="Y997" s="625"/>
      <c r="Z997" s="625"/>
    </row>
    <row r="998">
      <c r="A998" s="625"/>
      <c r="B998" s="625"/>
      <c r="C998" s="625"/>
      <c r="D998" s="625"/>
      <c r="E998" s="625"/>
      <c r="F998" s="625"/>
      <c r="G998" s="625"/>
      <c r="H998" s="625"/>
      <c r="I998" s="625"/>
      <c r="J998" s="625"/>
      <c r="K998" s="625"/>
      <c r="L998" s="625"/>
      <c r="M998" s="625"/>
      <c r="N998" s="625"/>
      <c r="O998" s="625"/>
      <c r="P998" s="625"/>
      <c r="Q998" s="625"/>
      <c r="R998" s="625"/>
      <c r="S998" s="625"/>
      <c r="T998" s="625"/>
      <c r="U998" s="625"/>
      <c r="V998" s="625"/>
      <c r="W998" s="625"/>
      <c r="X998" s="625"/>
      <c r="Y998" s="625"/>
      <c r="Z998" s="625"/>
    </row>
    <row r="999">
      <c r="A999" s="625"/>
      <c r="B999" s="625"/>
      <c r="C999" s="625"/>
      <c r="D999" s="625"/>
      <c r="E999" s="625"/>
      <c r="F999" s="625"/>
      <c r="G999" s="625"/>
      <c r="H999" s="625"/>
      <c r="I999" s="625"/>
      <c r="J999" s="625"/>
      <c r="K999" s="625"/>
      <c r="L999" s="625"/>
      <c r="M999" s="625"/>
      <c r="N999" s="625"/>
      <c r="O999" s="625"/>
      <c r="P999" s="625"/>
      <c r="Q999" s="625"/>
      <c r="R999" s="625"/>
      <c r="S999" s="625"/>
      <c r="T999" s="625"/>
      <c r="U999" s="625"/>
      <c r="V999" s="625"/>
      <c r="W999" s="625"/>
      <c r="X999" s="625"/>
      <c r="Y999" s="625"/>
      <c r="Z999" s="625"/>
    </row>
    <row r="1000">
      <c r="A1000" s="625"/>
      <c r="B1000" s="625"/>
      <c r="C1000" s="625"/>
      <c r="D1000" s="625"/>
      <c r="E1000" s="625"/>
      <c r="F1000" s="625"/>
      <c r="G1000" s="625"/>
      <c r="H1000" s="625"/>
      <c r="I1000" s="625"/>
      <c r="J1000" s="625"/>
      <c r="K1000" s="625"/>
      <c r="L1000" s="625"/>
      <c r="M1000" s="625"/>
      <c r="N1000" s="625"/>
      <c r="O1000" s="625"/>
      <c r="P1000" s="625"/>
      <c r="Q1000" s="625"/>
      <c r="R1000" s="625"/>
      <c r="S1000" s="625"/>
      <c r="T1000" s="625"/>
      <c r="U1000" s="625"/>
      <c r="V1000" s="625"/>
      <c r="W1000" s="625"/>
      <c r="X1000" s="625"/>
      <c r="Y1000" s="625"/>
      <c r="Z1000" s="625"/>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22.25"/>
    <col customWidth="1" min="15" max="15" width="24.63"/>
    <col customWidth="1" min="16" max="16" width="23.63"/>
    <col customWidth="1" min="19" max="19" width="20.13"/>
  </cols>
  <sheetData>
    <row r="1">
      <c r="A1" s="79" t="s">
        <v>2039</v>
      </c>
      <c r="B1" s="79" t="s">
        <v>2040</v>
      </c>
      <c r="C1" s="79" t="s">
        <v>2041</v>
      </c>
      <c r="D1" s="79" t="s">
        <v>2042</v>
      </c>
      <c r="E1" s="79" t="s">
        <v>2043</v>
      </c>
      <c r="F1" s="79" t="s">
        <v>2044</v>
      </c>
    </row>
    <row r="2">
      <c r="A2" s="79" t="s">
        <v>59</v>
      </c>
      <c r="B2" s="79">
        <v>18.0</v>
      </c>
      <c r="C2" s="79">
        <v>12.0</v>
      </c>
      <c r="D2" s="79">
        <v>9.0</v>
      </c>
      <c r="E2" s="79">
        <v>3.0</v>
      </c>
      <c r="F2" s="79">
        <v>0.0</v>
      </c>
      <c r="L2" s="41"/>
      <c r="N2" s="644"/>
      <c r="P2" s="645"/>
    </row>
    <row r="3">
      <c r="A3" s="79" t="s">
        <v>78</v>
      </c>
      <c r="B3" s="79">
        <v>23.0</v>
      </c>
      <c r="C3" s="79">
        <v>16.0</v>
      </c>
      <c r="D3" s="79">
        <v>13.0</v>
      </c>
      <c r="E3" s="79">
        <v>7.0</v>
      </c>
      <c r="F3" s="79">
        <v>5.0</v>
      </c>
      <c r="L3" s="41"/>
      <c r="N3" s="644"/>
      <c r="P3" s="645"/>
    </row>
    <row r="4">
      <c r="A4" s="79" t="s">
        <v>26</v>
      </c>
      <c r="B4" s="79">
        <v>15.0</v>
      </c>
      <c r="C4" s="79">
        <v>13.0</v>
      </c>
      <c r="D4" s="79">
        <v>5.0</v>
      </c>
      <c r="E4" s="79">
        <v>4.0</v>
      </c>
      <c r="F4" s="79">
        <v>3.0</v>
      </c>
      <c r="L4" s="41"/>
      <c r="N4" s="644"/>
      <c r="P4" s="645"/>
    </row>
    <row r="5">
      <c r="A5" s="79" t="s">
        <v>73</v>
      </c>
      <c r="B5" s="79">
        <v>17.0</v>
      </c>
      <c r="C5" s="79">
        <v>11.0</v>
      </c>
      <c r="D5" s="79">
        <v>6.0</v>
      </c>
      <c r="E5" s="79">
        <v>5.0</v>
      </c>
      <c r="F5" s="79">
        <v>5.0</v>
      </c>
      <c r="L5" s="41"/>
      <c r="N5" s="644"/>
      <c r="P5" s="645"/>
    </row>
    <row r="6">
      <c r="A6" s="79" t="s">
        <v>3</v>
      </c>
      <c r="B6" s="79">
        <v>19.0</v>
      </c>
      <c r="C6" s="79">
        <v>13.0</v>
      </c>
      <c r="D6" s="79">
        <v>8.0</v>
      </c>
      <c r="E6" s="79">
        <v>5.0</v>
      </c>
      <c r="F6" s="79">
        <v>2.0</v>
      </c>
      <c r="L6" s="41"/>
      <c r="N6" s="644"/>
    </row>
    <row r="7">
      <c r="A7" s="79" t="s">
        <v>22</v>
      </c>
      <c r="B7" s="79">
        <v>18.0</v>
      </c>
      <c r="C7" s="79">
        <v>12.0</v>
      </c>
      <c r="D7" s="79">
        <v>7.0</v>
      </c>
      <c r="E7" s="79">
        <v>4.0</v>
      </c>
      <c r="F7" s="79">
        <v>1.0</v>
      </c>
    </row>
    <row r="8">
      <c r="A8" s="79" t="s">
        <v>2</v>
      </c>
      <c r="B8" s="79">
        <v>22.0</v>
      </c>
      <c r="C8" s="79">
        <v>14.0</v>
      </c>
      <c r="D8" s="79">
        <v>10.0</v>
      </c>
      <c r="E8" s="79">
        <v>7.0</v>
      </c>
      <c r="F8" s="79">
        <v>5.0</v>
      </c>
    </row>
    <row r="9">
      <c r="A9" s="79" t="s">
        <v>1061</v>
      </c>
      <c r="B9" s="79">
        <v>20.0</v>
      </c>
      <c r="C9" s="79">
        <v>18.0</v>
      </c>
      <c r="D9" s="79">
        <v>14.0</v>
      </c>
      <c r="E9" s="79">
        <v>8.0</v>
      </c>
      <c r="F9" s="79">
        <v>2.0</v>
      </c>
      <c r="M9" s="646"/>
      <c r="P9" s="646"/>
    </row>
    <row r="10">
      <c r="A10" s="79" t="s">
        <v>1</v>
      </c>
      <c r="B10" s="79">
        <v>13.0</v>
      </c>
      <c r="C10" s="79">
        <v>9.0</v>
      </c>
      <c r="D10" s="79">
        <v>7.0</v>
      </c>
      <c r="E10" s="79">
        <v>5.0</v>
      </c>
      <c r="F10" s="79">
        <v>3.0</v>
      </c>
      <c r="P10" s="646"/>
    </row>
    <row r="11">
      <c r="A11" s="79" t="s">
        <v>157</v>
      </c>
      <c r="B11" s="79">
        <v>22.0</v>
      </c>
      <c r="C11" s="79">
        <v>17.0</v>
      </c>
      <c r="D11" s="79">
        <v>13.0</v>
      </c>
      <c r="E11" s="79">
        <v>7.0</v>
      </c>
      <c r="F11" s="79">
        <v>6.0</v>
      </c>
      <c r="M11" s="646"/>
    </row>
    <row r="14">
      <c r="M14" s="646"/>
    </row>
    <row r="18">
      <c r="K18" s="41"/>
      <c r="L18" s="41"/>
    </row>
    <row r="22">
      <c r="K22" s="41"/>
    </row>
    <row r="24">
      <c r="L24" s="41"/>
    </row>
  </sheetData>
  <conditionalFormatting sqref="F2:F11">
    <cfRule type="colorScale" priority="1">
      <colorScale>
        <cfvo type="min"/>
        <cfvo type="percentile" val="50"/>
        <cfvo type="max"/>
        <color rgb="FFE67C73"/>
        <color rgb="FFFFD666"/>
        <color rgb="FF57BB8A"/>
      </colorScale>
    </cfRule>
  </conditionalFormatting>
  <conditionalFormatting sqref="E2:E11">
    <cfRule type="colorScale" priority="2">
      <colorScale>
        <cfvo type="min"/>
        <cfvo type="percentile" val="50"/>
        <cfvo type="max"/>
        <color rgb="FFE67C73"/>
        <color rgb="FFFFD666"/>
        <color rgb="FF57BB8A"/>
      </colorScale>
    </cfRule>
  </conditionalFormatting>
  <conditionalFormatting sqref="D2:D11">
    <cfRule type="colorScale" priority="3">
      <colorScale>
        <cfvo type="min"/>
        <cfvo type="percentile" val="50"/>
        <cfvo type="max"/>
        <color rgb="FFE67C73"/>
        <color rgb="FFFFD666"/>
        <color rgb="FF57BB8A"/>
      </colorScale>
    </cfRule>
  </conditionalFormatting>
  <conditionalFormatting sqref="C2:C11">
    <cfRule type="colorScale" priority="4">
      <colorScale>
        <cfvo type="min"/>
        <cfvo type="percentile" val="50"/>
        <cfvo type="max"/>
        <color rgb="FFE67C73"/>
        <color rgb="FFFFD666"/>
        <color rgb="FF57BB8A"/>
      </colorScale>
    </cfRule>
  </conditionalFormatting>
  <conditionalFormatting sqref="B2:B11">
    <cfRule type="colorScale" priority="5">
      <colorScale>
        <cfvo type="min"/>
        <cfvo type="percentile" val="50"/>
        <cfvo type="max"/>
        <color rgb="FFE67C73"/>
        <color rgb="FFFFD666"/>
        <color rgb="FF57BB8A"/>
      </colorScale>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5.5"/>
    <col customWidth="1" min="11" max="11" width="5.88"/>
    <col customWidth="1" min="14" max="14" width="21.0"/>
    <col customWidth="1" min="15" max="15" width="5.88"/>
    <col customWidth="1" min="18" max="18" width="21.0"/>
    <col customWidth="1" min="19" max="19" width="5.88"/>
  </cols>
  <sheetData>
    <row r="1">
      <c r="A1" s="79" t="s">
        <v>2045</v>
      </c>
      <c r="B1" s="79" t="s">
        <v>2046</v>
      </c>
      <c r="C1" s="79" t="s">
        <v>2047</v>
      </c>
      <c r="D1" s="79" t="s">
        <v>2048</v>
      </c>
    </row>
    <row r="2">
      <c r="A2" s="79">
        <v>1.0</v>
      </c>
      <c r="B2" s="79">
        <v>1.0</v>
      </c>
      <c r="C2" s="79">
        <v>1.0</v>
      </c>
      <c r="D2" s="79" t="s">
        <v>2</v>
      </c>
      <c r="E2" s="79" t="s">
        <v>2049</v>
      </c>
      <c r="I2" s="647"/>
    </row>
    <row r="3">
      <c r="B3" s="79">
        <v>2.0</v>
      </c>
      <c r="C3" s="79">
        <v>2.0</v>
      </c>
      <c r="D3" s="79" t="s">
        <v>73</v>
      </c>
      <c r="E3" s="79" t="s">
        <v>2050</v>
      </c>
      <c r="I3" s="648" t="s">
        <v>2051</v>
      </c>
      <c r="M3" s="648" t="s">
        <v>2052</v>
      </c>
      <c r="Q3" s="648" t="s">
        <v>408</v>
      </c>
    </row>
    <row r="4">
      <c r="B4" s="79">
        <v>3.0</v>
      </c>
      <c r="C4" s="79">
        <v>3.0</v>
      </c>
      <c r="D4" s="79" t="s">
        <v>78</v>
      </c>
      <c r="E4" s="79" t="s">
        <v>288</v>
      </c>
      <c r="I4" s="649" t="s">
        <v>2053</v>
      </c>
      <c r="J4" s="650" t="s">
        <v>2054</v>
      </c>
      <c r="K4" s="649" t="s">
        <v>2055</v>
      </c>
      <c r="M4" s="649" t="s">
        <v>2053</v>
      </c>
      <c r="N4" s="650" t="s">
        <v>2054</v>
      </c>
      <c r="O4" s="649" t="s">
        <v>2055</v>
      </c>
      <c r="Q4" s="649" t="s">
        <v>2053</v>
      </c>
      <c r="R4" s="650" t="s">
        <v>2054</v>
      </c>
      <c r="S4" s="649" t="s">
        <v>2055</v>
      </c>
    </row>
    <row r="5">
      <c r="B5" s="79">
        <v>4.0</v>
      </c>
      <c r="C5" s="79">
        <v>4.0</v>
      </c>
      <c r="D5" s="79" t="s">
        <v>26</v>
      </c>
      <c r="E5" s="79" t="s">
        <v>2056</v>
      </c>
      <c r="I5" s="651">
        <v>10.0</v>
      </c>
      <c r="J5" s="652" t="s">
        <v>2057</v>
      </c>
      <c r="K5" s="651">
        <v>1.0</v>
      </c>
      <c r="M5" s="651">
        <v>7.0</v>
      </c>
      <c r="N5" s="652" t="s">
        <v>2058</v>
      </c>
      <c r="O5" s="651">
        <v>1.0</v>
      </c>
      <c r="Q5" s="651">
        <v>1.0</v>
      </c>
      <c r="R5" s="652" t="s">
        <v>2059</v>
      </c>
      <c r="S5" s="651">
        <v>1.0</v>
      </c>
    </row>
    <row r="6">
      <c r="B6" s="79">
        <v>5.0</v>
      </c>
      <c r="C6" s="79">
        <v>5.0</v>
      </c>
      <c r="D6" s="79" t="s">
        <v>84</v>
      </c>
      <c r="E6" s="79" t="s">
        <v>2060</v>
      </c>
      <c r="I6" s="651">
        <v>11.0</v>
      </c>
      <c r="J6" s="652" t="s">
        <v>2061</v>
      </c>
      <c r="K6" s="651">
        <v>2.0</v>
      </c>
      <c r="M6" s="651">
        <v>14.0</v>
      </c>
      <c r="N6" s="652" t="s">
        <v>2062</v>
      </c>
      <c r="O6" s="651">
        <v>2.0</v>
      </c>
      <c r="Q6" s="651">
        <v>20.0</v>
      </c>
      <c r="R6" s="652" t="s">
        <v>2063</v>
      </c>
      <c r="S6" s="651">
        <v>2.0</v>
      </c>
    </row>
    <row r="7">
      <c r="B7" s="79">
        <v>6.0</v>
      </c>
      <c r="C7" s="79">
        <v>6.0</v>
      </c>
      <c r="D7" s="79" t="s">
        <v>1061</v>
      </c>
      <c r="E7" s="79" t="s">
        <v>2064</v>
      </c>
      <c r="I7" s="651">
        <v>30.0</v>
      </c>
      <c r="J7" s="652" t="s">
        <v>2065</v>
      </c>
      <c r="K7" s="651">
        <v>3.0</v>
      </c>
      <c r="M7" s="651">
        <v>27.0</v>
      </c>
      <c r="N7" s="652" t="s">
        <v>2066</v>
      </c>
      <c r="O7" s="651">
        <v>3.0</v>
      </c>
      <c r="Q7" s="651">
        <v>21.0</v>
      </c>
      <c r="R7" s="652" t="s">
        <v>2067</v>
      </c>
      <c r="S7" s="651">
        <v>3.0</v>
      </c>
    </row>
    <row r="8">
      <c r="B8" s="79">
        <v>7.0</v>
      </c>
      <c r="C8" s="79">
        <v>7.0</v>
      </c>
      <c r="D8" s="79" t="s">
        <v>1</v>
      </c>
      <c r="E8" s="79" t="s">
        <v>2068</v>
      </c>
      <c r="I8" s="651">
        <v>31.0</v>
      </c>
      <c r="J8" s="652" t="s">
        <v>2069</v>
      </c>
      <c r="K8" s="651">
        <v>4.0</v>
      </c>
      <c r="M8" s="651">
        <v>34.0</v>
      </c>
      <c r="N8" s="652" t="s">
        <v>2070</v>
      </c>
      <c r="O8" s="651">
        <v>4.0</v>
      </c>
      <c r="Q8" s="651">
        <v>40.0</v>
      </c>
      <c r="R8" s="652" t="s">
        <v>2071</v>
      </c>
      <c r="S8" s="651">
        <v>4.0</v>
      </c>
    </row>
    <row r="9">
      <c r="B9" s="79">
        <v>8.0</v>
      </c>
      <c r="C9" s="79">
        <v>8.0</v>
      </c>
      <c r="D9" s="79" t="s">
        <v>3</v>
      </c>
      <c r="E9" s="79" t="s">
        <v>2072</v>
      </c>
      <c r="I9" s="651">
        <v>50.0</v>
      </c>
      <c r="J9" s="652" t="s">
        <v>2073</v>
      </c>
      <c r="K9" s="651">
        <v>5.0</v>
      </c>
      <c r="M9" s="651">
        <v>47.0</v>
      </c>
      <c r="N9" s="652" t="s">
        <v>2074</v>
      </c>
      <c r="O9" s="651">
        <v>5.0</v>
      </c>
      <c r="Q9" s="651">
        <v>41.0</v>
      </c>
      <c r="R9" s="652" t="s">
        <v>2075</v>
      </c>
      <c r="S9" s="651">
        <v>5.0</v>
      </c>
    </row>
    <row r="10">
      <c r="B10" s="79">
        <v>9.0</v>
      </c>
      <c r="C10" s="79">
        <v>9.0</v>
      </c>
      <c r="D10" s="79" t="s">
        <v>22</v>
      </c>
      <c r="E10" s="79" t="s">
        <v>2076</v>
      </c>
      <c r="I10" s="651">
        <v>51.0</v>
      </c>
      <c r="J10" s="652" t="s">
        <v>2077</v>
      </c>
      <c r="K10" s="651">
        <v>6.0</v>
      </c>
      <c r="M10" s="651">
        <v>54.0</v>
      </c>
      <c r="N10" s="652" t="s">
        <v>2078</v>
      </c>
      <c r="O10" s="651">
        <v>6.0</v>
      </c>
      <c r="Q10" s="651">
        <v>60.0</v>
      </c>
      <c r="R10" s="652" t="s">
        <v>2079</v>
      </c>
      <c r="S10" s="651">
        <v>6.0</v>
      </c>
    </row>
    <row r="11">
      <c r="B11" s="79">
        <v>10.0</v>
      </c>
      <c r="C11" s="79">
        <v>10.0</v>
      </c>
      <c r="D11" s="79" t="s">
        <v>59</v>
      </c>
      <c r="E11" s="79" t="s">
        <v>2080</v>
      </c>
      <c r="I11" s="651">
        <v>70.0</v>
      </c>
      <c r="J11" s="652" t="s">
        <v>2081</v>
      </c>
      <c r="K11" s="651">
        <v>7.0</v>
      </c>
      <c r="M11" s="651">
        <v>67.0</v>
      </c>
      <c r="N11" s="652" t="s">
        <v>2082</v>
      </c>
      <c r="O11" s="651">
        <v>7.0</v>
      </c>
      <c r="Q11" s="651">
        <v>61.0</v>
      </c>
      <c r="R11" s="652" t="s">
        <v>2083</v>
      </c>
      <c r="S11" s="651">
        <v>7.0</v>
      </c>
    </row>
    <row r="12">
      <c r="A12" s="79">
        <v>2.0</v>
      </c>
      <c r="B12" s="79">
        <v>1.0</v>
      </c>
      <c r="C12" s="79">
        <v>11.0</v>
      </c>
      <c r="D12" s="79" t="s">
        <v>59</v>
      </c>
      <c r="E12" s="79" t="s">
        <v>322</v>
      </c>
      <c r="I12" s="651">
        <v>71.0</v>
      </c>
      <c r="J12" s="652" t="s">
        <v>2084</v>
      </c>
      <c r="K12" s="651">
        <v>8.0</v>
      </c>
      <c r="M12" s="651">
        <v>74.0</v>
      </c>
      <c r="N12" s="652" t="s">
        <v>2085</v>
      </c>
      <c r="O12" s="651">
        <v>8.0</v>
      </c>
      <c r="Q12" s="651">
        <v>80.0</v>
      </c>
      <c r="R12" s="652" t="s">
        <v>2086</v>
      </c>
      <c r="S12" s="651">
        <v>8.0</v>
      </c>
    </row>
    <row r="13">
      <c r="B13" s="79">
        <v>2.0</v>
      </c>
      <c r="C13" s="79">
        <v>12.0</v>
      </c>
      <c r="D13" s="79" t="s">
        <v>22</v>
      </c>
      <c r="E13" s="79" t="s">
        <v>926</v>
      </c>
      <c r="I13" s="651">
        <v>90.0</v>
      </c>
      <c r="J13" s="652" t="s">
        <v>2087</v>
      </c>
      <c r="K13" s="651">
        <v>9.0</v>
      </c>
      <c r="M13" s="651">
        <v>87.0</v>
      </c>
      <c r="N13" s="652" t="s">
        <v>2088</v>
      </c>
      <c r="O13" s="651">
        <v>9.0</v>
      </c>
      <c r="Q13" s="651">
        <v>81.0</v>
      </c>
      <c r="R13" s="652" t="s">
        <v>2089</v>
      </c>
      <c r="S13" s="651">
        <v>9.0</v>
      </c>
    </row>
    <row r="14">
      <c r="B14" s="79">
        <v>3.0</v>
      </c>
      <c r="C14" s="79">
        <v>13.0</v>
      </c>
      <c r="D14" s="79" t="s">
        <v>3</v>
      </c>
      <c r="E14" s="79" t="s">
        <v>2090</v>
      </c>
      <c r="I14" s="651">
        <v>91.0</v>
      </c>
      <c r="J14" s="652" t="s">
        <v>2091</v>
      </c>
      <c r="K14" s="651">
        <v>10.0</v>
      </c>
      <c r="M14" s="651">
        <v>94.0</v>
      </c>
      <c r="N14" s="652" t="s">
        <v>2092</v>
      </c>
      <c r="O14" s="651">
        <v>10.0</v>
      </c>
      <c r="Q14" s="651">
        <v>100.0</v>
      </c>
      <c r="R14" s="652" t="s">
        <v>2093</v>
      </c>
      <c r="S14" s="651">
        <v>10.0</v>
      </c>
    </row>
    <row r="15">
      <c r="B15" s="79">
        <v>4.0</v>
      </c>
      <c r="C15" s="79">
        <v>14.0</v>
      </c>
      <c r="D15" s="79" t="s">
        <v>1</v>
      </c>
      <c r="E15" s="79" t="s">
        <v>298</v>
      </c>
      <c r="I15" s="651">
        <v>110.0</v>
      </c>
      <c r="J15" s="652" t="s">
        <v>2094</v>
      </c>
      <c r="K15" s="651">
        <v>11.0</v>
      </c>
      <c r="M15" s="651">
        <v>107.0</v>
      </c>
      <c r="N15" s="652" t="s">
        <v>2095</v>
      </c>
      <c r="O15" s="651">
        <v>11.0</v>
      </c>
      <c r="Q15" s="651">
        <v>101.0</v>
      </c>
      <c r="R15" s="652" t="s">
        <v>2096</v>
      </c>
      <c r="S15" s="651">
        <v>11.0</v>
      </c>
    </row>
    <row r="16">
      <c r="B16" s="79">
        <v>5.0</v>
      </c>
      <c r="C16" s="79">
        <v>15.0</v>
      </c>
      <c r="D16" s="79" t="s">
        <v>1061</v>
      </c>
      <c r="E16" s="79" t="s">
        <v>2097</v>
      </c>
      <c r="I16" s="651">
        <v>111.0</v>
      </c>
      <c r="J16" s="652" t="s">
        <v>2098</v>
      </c>
      <c r="K16" s="651">
        <v>12.0</v>
      </c>
      <c r="M16" s="651">
        <v>114.0</v>
      </c>
      <c r="N16" s="652" t="s">
        <v>2099</v>
      </c>
      <c r="O16" s="651">
        <v>12.0</v>
      </c>
      <c r="Q16" s="651">
        <v>120.0</v>
      </c>
      <c r="R16" s="652" t="s">
        <v>2100</v>
      </c>
      <c r="S16" s="651">
        <v>12.0</v>
      </c>
    </row>
    <row r="17">
      <c r="B17" s="79">
        <v>6.0</v>
      </c>
      <c r="C17" s="79">
        <v>16.0</v>
      </c>
      <c r="D17" s="79" t="s">
        <v>84</v>
      </c>
      <c r="E17" s="79" t="s">
        <v>2101</v>
      </c>
      <c r="I17" s="651">
        <v>130.0</v>
      </c>
      <c r="J17" s="652" t="s">
        <v>2102</v>
      </c>
      <c r="K17" s="651">
        <v>13.0</v>
      </c>
      <c r="M17" s="651">
        <v>127.0</v>
      </c>
      <c r="N17" s="652" t="s">
        <v>2103</v>
      </c>
      <c r="O17" s="651">
        <v>13.0</v>
      </c>
      <c r="Q17" s="651">
        <v>121.0</v>
      </c>
      <c r="R17" s="652" t="s">
        <v>2104</v>
      </c>
      <c r="S17" s="651">
        <v>13.0</v>
      </c>
    </row>
    <row r="18">
      <c r="B18" s="79">
        <v>7.0</v>
      </c>
      <c r="C18" s="79">
        <v>17.0</v>
      </c>
      <c r="D18" s="79" t="s">
        <v>26</v>
      </c>
      <c r="E18" s="79" t="s">
        <v>2105</v>
      </c>
      <c r="I18" s="651">
        <v>131.0</v>
      </c>
      <c r="J18" s="652" t="s">
        <v>2106</v>
      </c>
      <c r="K18" s="651">
        <v>14.0</v>
      </c>
      <c r="M18" s="651">
        <v>134.0</v>
      </c>
      <c r="N18" s="652" t="s">
        <v>2107</v>
      </c>
      <c r="O18" s="651">
        <v>14.0</v>
      </c>
      <c r="Q18" s="651">
        <v>140.0</v>
      </c>
      <c r="R18" s="652" t="s">
        <v>2108</v>
      </c>
      <c r="S18" s="651">
        <v>14.0</v>
      </c>
    </row>
    <row r="19">
      <c r="B19" s="79">
        <v>8.0</v>
      </c>
      <c r="C19" s="79">
        <v>18.0</v>
      </c>
      <c r="D19" s="79" t="s">
        <v>78</v>
      </c>
      <c r="E19" s="79" t="s">
        <v>1015</v>
      </c>
      <c r="I19" s="651">
        <v>150.0</v>
      </c>
      <c r="J19" s="652" t="s">
        <v>2109</v>
      </c>
      <c r="K19" s="651">
        <v>15.0</v>
      </c>
      <c r="M19" s="651">
        <v>147.0</v>
      </c>
      <c r="N19" s="652" t="s">
        <v>2110</v>
      </c>
      <c r="O19" s="651">
        <v>15.0</v>
      </c>
      <c r="Q19" s="651">
        <v>141.0</v>
      </c>
      <c r="R19" s="652" t="s">
        <v>2111</v>
      </c>
      <c r="S19" s="651">
        <v>15.0</v>
      </c>
    </row>
    <row r="20">
      <c r="B20" s="79">
        <v>9.0</v>
      </c>
      <c r="C20" s="79">
        <v>19.0</v>
      </c>
      <c r="D20" s="79" t="s">
        <v>73</v>
      </c>
      <c r="E20" s="79" t="s">
        <v>1821</v>
      </c>
      <c r="I20" s="651">
        <v>151.0</v>
      </c>
      <c r="J20" s="652" t="s">
        <v>2112</v>
      </c>
      <c r="K20" s="651">
        <v>16.0</v>
      </c>
      <c r="M20" s="651">
        <v>154.0</v>
      </c>
      <c r="N20" s="652" t="s">
        <v>2113</v>
      </c>
      <c r="O20" s="651">
        <v>16.0</v>
      </c>
      <c r="Q20" s="651">
        <v>160.0</v>
      </c>
      <c r="R20" s="652" t="s">
        <v>2114</v>
      </c>
      <c r="S20" s="651">
        <v>16.0</v>
      </c>
    </row>
    <row r="21">
      <c r="B21" s="79">
        <v>10.0</v>
      </c>
      <c r="C21" s="79">
        <v>20.0</v>
      </c>
      <c r="D21" s="79" t="s">
        <v>2</v>
      </c>
      <c r="E21" s="79" t="s">
        <v>2115</v>
      </c>
      <c r="I21" s="651">
        <v>170.0</v>
      </c>
      <c r="J21" s="652" t="s">
        <v>2116</v>
      </c>
      <c r="K21" s="651">
        <v>17.0</v>
      </c>
      <c r="M21" s="651">
        <v>167.0</v>
      </c>
      <c r="N21" s="652" t="s">
        <v>2117</v>
      </c>
      <c r="O21" s="651">
        <v>17.0</v>
      </c>
      <c r="Q21" s="651">
        <v>161.0</v>
      </c>
      <c r="R21" s="652" t="s">
        <v>2118</v>
      </c>
      <c r="S21" s="651">
        <v>17.0</v>
      </c>
    </row>
    <row r="22">
      <c r="A22" s="79">
        <v>3.0</v>
      </c>
      <c r="B22" s="79">
        <v>1.0</v>
      </c>
      <c r="C22" s="79">
        <v>21.0</v>
      </c>
      <c r="D22" s="79" t="s">
        <v>2</v>
      </c>
      <c r="E22" s="79" t="s">
        <v>2119</v>
      </c>
    </row>
    <row r="23">
      <c r="B23" s="79">
        <v>2.0</v>
      </c>
      <c r="C23" s="79">
        <v>22.0</v>
      </c>
      <c r="D23" s="79" t="s">
        <v>73</v>
      </c>
      <c r="E23" s="79" t="s">
        <v>2120</v>
      </c>
      <c r="I23" s="648" t="s">
        <v>2121</v>
      </c>
      <c r="M23" s="648" t="s">
        <v>2122</v>
      </c>
      <c r="Q23" s="648" t="s">
        <v>2123</v>
      </c>
    </row>
    <row r="24">
      <c r="B24" s="79">
        <v>3.0</v>
      </c>
      <c r="C24" s="79">
        <v>23.0</v>
      </c>
      <c r="D24" s="79" t="s">
        <v>78</v>
      </c>
      <c r="E24" s="79" t="s">
        <v>2124</v>
      </c>
      <c r="I24" s="649" t="s">
        <v>2053</v>
      </c>
      <c r="J24" s="650" t="s">
        <v>2054</v>
      </c>
      <c r="K24" s="649" t="s">
        <v>2055</v>
      </c>
      <c r="M24" s="649" t="s">
        <v>2053</v>
      </c>
      <c r="N24" s="650" t="s">
        <v>2054</v>
      </c>
      <c r="O24" s="649" t="s">
        <v>2055</v>
      </c>
      <c r="Q24" s="649" t="s">
        <v>2053</v>
      </c>
      <c r="R24" s="650" t="s">
        <v>2054</v>
      </c>
      <c r="S24" s="649" t="s">
        <v>2055</v>
      </c>
    </row>
    <row r="25">
      <c r="B25" s="79">
        <v>4.0</v>
      </c>
      <c r="C25" s="79">
        <v>24.0</v>
      </c>
      <c r="D25" s="79" t="s">
        <v>26</v>
      </c>
      <c r="E25" s="79" t="s">
        <v>2125</v>
      </c>
      <c r="I25" s="651">
        <v>8.0</v>
      </c>
      <c r="J25" s="652" t="s">
        <v>2126</v>
      </c>
      <c r="K25" s="651">
        <v>1.0</v>
      </c>
      <c r="M25" s="651">
        <v>3.0</v>
      </c>
      <c r="N25" s="652" t="s">
        <v>2127</v>
      </c>
      <c r="O25" s="651">
        <v>1.0</v>
      </c>
      <c r="Q25" s="651">
        <v>5.0</v>
      </c>
      <c r="R25" s="652" t="s">
        <v>2128</v>
      </c>
      <c r="S25" s="651">
        <v>1.0</v>
      </c>
    </row>
    <row r="26">
      <c r="B26" s="79">
        <v>5.0</v>
      </c>
      <c r="C26" s="79">
        <v>25.0</v>
      </c>
      <c r="D26" s="79" t="s">
        <v>84</v>
      </c>
      <c r="E26" s="79" t="s">
        <v>2129</v>
      </c>
      <c r="I26" s="651">
        <v>13.0</v>
      </c>
      <c r="J26" s="652" t="s">
        <v>2130</v>
      </c>
      <c r="K26" s="651">
        <v>2.0</v>
      </c>
      <c r="M26" s="651">
        <v>18.0</v>
      </c>
      <c r="N26" s="652" t="s">
        <v>2131</v>
      </c>
      <c r="O26" s="651">
        <v>2.0</v>
      </c>
      <c r="Q26" s="651">
        <v>16.0</v>
      </c>
      <c r="R26" s="652" t="s">
        <v>2132</v>
      </c>
      <c r="S26" s="651">
        <v>2.0</v>
      </c>
    </row>
    <row r="27">
      <c r="B27" s="79">
        <v>6.0</v>
      </c>
      <c r="C27" s="79">
        <v>26.0</v>
      </c>
      <c r="D27" s="79" t="s">
        <v>1061</v>
      </c>
      <c r="E27" s="79" t="s">
        <v>2133</v>
      </c>
      <c r="I27" s="651">
        <v>28.0</v>
      </c>
      <c r="J27" s="652" t="s">
        <v>2134</v>
      </c>
      <c r="K27" s="651">
        <v>3.0</v>
      </c>
      <c r="M27" s="651">
        <v>23.0</v>
      </c>
      <c r="N27" s="652" t="s">
        <v>2135</v>
      </c>
      <c r="O27" s="651">
        <v>3.0</v>
      </c>
      <c r="Q27" s="651">
        <v>25.0</v>
      </c>
      <c r="R27" s="652" t="s">
        <v>2136</v>
      </c>
      <c r="S27" s="651">
        <v>3.0</v>
      </c>
    </row>
    <row r="28">
      <c r="B28" s="79">
        <v>7.0</v>
      </c>
      <c r="C28" s="79">
        <v>27.0</v>
      </c>
      <c r="D28" s="79" t="s">
        <v>1</v>
      </c>
      <c r="E28" s="79" t="s">
        <v>302</v>
      </c>
      <c r="I28" s="651">
        <v>33.0</v>
      </c>
      <c r="J28" s="652" t="s">
        <v>2137</v>
      </c>
      <c r="K28" s="651">
        <v>4.0</v>
      </c>
      <c r="M28" s="651">
        <v>38.0</v>
      </c>
      <c r="N28" s="652" t="s">
        <v>2138</v>
      </c>
      <c r="O28" s="651">
        <v>4.0</v>
      </c>
      <c r="Q28" s="651">
        <v>36.0</v>
      </c>
      <c r="R28" s="652" t="s">
        <v>2139</v>
      </c>
      <c r="S28" s="651">
        <v>4.0</v>
      </c>
    </row>
    <row r="29">
      <c r="B29" s="79">
        <v>8.0</v>
      </c>
      <c r="C29" s="79">
        <v>28.0</v>
      </c>
      <c r="D29" s="79" t="s">
        <v>3</v>
      </c>
      <c r="E29" s="79" t="s">
        <v>2140</v>
      </c>
      <c r="I29" s="651">
        <v>48.0</v>
      </c>
      <c r="J29" s="652" t="s">
        <v>2141</v>
      </c>
      <c r="K29" s="651">
        <v>5.0</v>
      </c>
      <c r="M29" s="651">
        <v>43.0</v>
      </c>
      <c r="N29" s="652" t="s">
        <v>2142</v>
      </c>
      <c r="O29" s="651">
        <v>5.0</v>
      </c>
      <c r="Q29" s="651">
        <v>45.0</v>
      </c>
      <c r="R29" s="652" t="s">
        <v>2143</v>
      </c>
      <c r="S29" s="651">
        <v>5.0</v>
      </c>
    </row>
    <row r="30">
      <c r="B30" s="79">
        <v>9.0</v>
      </c>
      <c r="C30" s="79">
        <v>29.0</v>
      </c>
      <c r="D30" s="79" t="s">
        <v>22</v>
      </c>
      <c r="E30" s="79" t="s">
        <v>2144</v>
      </c>
      <c r="I30" s="651">
        <v>53.0</v>
      </c>
      <c r="J30" s="652" t="s">
        <v>2145</v>
      </c>
      <c r="K30" s="651">
        <v>6.0</v>
      </c>
      <c r="M30" s="651">
        <v>58.0</v>
      </c>
      <c r="N30" s="652" t="s">
        <v>2146</v>
      </c>
      <c r="O30" s="651">
        <v>6.0</v>
      </c>
      <c r="Q30" s="651">
        <v>56.0</v>
      </c>
      <c r="R30" s="652" t="s">
        <v>2147</v>
      </c>
      <c r="S30" s="651">
        <v>6.0</v>
      </c>
    </row>
    <row r="31">
      <c r="B31" s="79">
        <v>10.0</v>
      </c>
      <c r="C31" s="79">
        <v>30.0</v>
      </c>
      <c r="D31" s="79" t="s">
        <v>59</v>
      </c>
      <c r="E31" s="79" t="s">
        <v>2148</v>
      </c>
      <c r="I31" s="651">
        <v>68.0</v>
      </c>
      <c r="J31" s="652" t="s">
        <v>2149</v>
      </c>
      <c r="K31" s="651">
        <v>7.0</v>
      </c>
      <c r="M31" s="651">
        <v>63.0</v>
      </c>
      <c r="N31" s="652" t="s">
        <v>2150</v>
      </c>
      <c r="O31" s="651">
        <v>7.0</v>
      </c>
      <c r="Q31" s="651">
        <v>65.0</v>
      </c>
      <c r="R31" s="652" t="s">
        <v>2151</v>
      </c>
      <c r="S31" s="651">
        <v>7.0</v>
      </c>
    </row>
    <row r="32">
      <c r="A32" s="79">
        <v>4.0</v>
      </c>
      <c r="B32" s="79">
        <v>1.0</v>
      </c>
      <c r="C32" s="79">
        <v>31.0</v>
      </c>
      <c r="D32" s="79" t="s">
        <v>59</v>
      </c>
      <c r="E32" s="79" t="s">
        <v>2152</v>
      </c>
      <c r="I32" s="651">
        <v>73.0</v>
      </c>
      <c r="J32" s="652" t="s">
        <v>2153</v>
      </c>
      <c r="K32" s="651">
        <v>8.0</v>
      </c>
      <c r="M32" s="651">
        <v>78.0</v>
      </c>
      <c r="N32" s="652" t="s">
        <v>2154</v>
      </c>
      <c r="O32" s="651">
        <v>8.0</v>
      </c>
      <c r="Q32" s="651">
        <v>76.0</v>
      </c>
      <c r="R32" s="652" t="s">
        <v>2155</v>
      </c>
      <c r="S32" s="651">
        <v>8.0</v>
      </c>
    </row>
    <row r="33">
      <c r="B33" s="79">
        <v>2.0</v>
      </c>
      <c r="C33" s="79">
        <v>32.0</v>
      </c>
      <c r="D33" s="79" t="s">
        <v>22</v>
      </c>
      <c r="E33" s="79" t="s">
        <v>2156</v>
      </c>
      <c r="I33" s="651">
        <v>88.0</v>
      </c>
      <c r="J33" s="652" t="s">
        <v>2157</v>
      </c>
      <c r="K33" s="651">
        <v>9.0</v>
      </c>
      <c r="M33" s="651">
        <v>83.0</v>
      </c>
      <c r="N33" s="652" t="s">
        <v>2158</v>
      </c>
      <c r="O33" s="651">
        <v>9.0</v>
      </c>
      <c r="Q33" s="651">
        <v>85.0</v>
      </c>
      <c r="R33" s="652" t="s">
        <v>2159</v>
      </c>
      <c r="S33" s="651">
        <v>9.0</v>
      </c>
    </row>
    <row r="34">
      <c r="B34" s="79">
        <v>3.0</v>
      </c>
      <c r="C34" s="79">
        <v>33.0</v>
      </c>
      <c r="D34" s="79" t="s">
        <v>3</v>
      </c>
      <c r="E34" s="79" t="s">
        <v>2160</v>
      </c>
      <c r="I34" s="651">
        <v>93.0</v>
      </c>
      <c r="J34" s="652" t="s">
        <v>2161</v>
      </c>
      <c r="K34" s="651">
        <v>10.0</v>
      </c>
      <c r="M34" s="651">
        <v>98.0</v>
      </c>
      <c r="N34" s="652" t="s">
        <v>2162</v>
      </c>
      <c r="O34" s="651">
        <v>10.0</v>
      </c>
      <c r="Q34" s="651">
        <v>96.0</v>
      </c>
      <c r="R34" s="652" t="s">
        <v>2163</v>
      </c>
      <c r="S34" s="651">
        <v>10.0</v>
      </c>
    </row>
    <row r="35">
      <c r="B35" s="79">
        <v>4.0</v>
      </c>
      <c r="C35" s="79">
        <v>34.0</v>
      </c>
      <c r="D35" s="79" t="s">
        <v>1</v>
      </c>
      <c r="E35" s="79" t="s">
        <v>2164</v>
      </c>
      <c r="I35" s="651">
        <v>108.0</v>
      </c>
      <c r="J35" s="652" t="s">
        <v>2165</v>
      </c>
      <c r="K35" s="651">
        <v>11.0</v>
      </c>
      <c r="M35" s="651">
        <v>103.0</v>
      </c>
      <c r="N35" s="652" t="s">
        <v>2166</v>
      </c>
      <c r="O35" s="651">
        <v>11.0</v>
      </c>
      <c r="Q35" s="651">
        <v>105.0</v>
      </c>
      <c r="R35" s="652" t="s">
        <v>2167</v>
      </c>
      <c r="S35" s="651">
        <v>11.0</v>
      </c>
    </row>
    <row r="36">
      <c r="B36" s="79">
        <v>5.0</v>
      </c>
      <c r="C36" s="79">
        <v>35.0</v>
      </c>
      <c r="D36" s="79" t="s">
        <v>1061</v>
      </c>
      <c r="E36" s="79" t="s">
        <v>214</v>
      </c>
      <c r="I36" s="651">
        <v>113.0</v>
      </c>
      <c r="J36" s="652" t="s">
        <v>2168</v>
      </c>
      <c r="K36" s="651">
        <v>12.0</v>
      </c>
      <c r="M36" s="651">
        <v>118.0</v>
      </c>
      <c r="N36" s="652" t="s">
        <v>2169</v>
      </c>
      <c r="O36" s="651">
        <v>12.0</v>
      </c>
      <c r="Q36" s="651">
        <v>116.0</v>
      </c>
      <c r="R36" s="652" t="s">
        <v>2170</v>
      </c>
      <c r="S36" s="651">
        <v>12.0</v>
      </c>
    </row>
    <row r="37">
      <c r="B37" s="79">
        <v>6.0</v>
      </c>
      <c r="C37" s="79">
        <v>36.0</v>
      </c>
      <c r="D37" s="79" t="s">
        <v>84</v>
      </c>
      <c r="E37" s="79" t="s">
        <v>2171</v>
      </c>
      <c r="I37" s="651">
        <v>128.0</v>
      </c>
      <c r="J37" s="652" t="s">
        <v>2172</v>
      </c>
      <c r="K37" s="651">
        <v>13.0</v>
      </c>
      <c r="M37" s="651">
        <v>123.0</v>
      </c>
      <c r="N37" s="652" t="s">
        <v>2173</v>
      </c>
      <c r="O37" s="651">
        <v>13.0</v>
      </c>
      <c r="Q37" s="651">
        <v>125.0</v>
      </c>
      <c r="R37" s="652" t="s">
        <v>2174</v>
      </c>
      <c r="S37" s="651">
        <v>13.0</v>
      </c>
    </row>
    <row r="38">
      <c r="B38" s="79">
        <v>7.0</v>
      </c>
      <c r="C38" s="79">
        <v>37.0</v>
      </c>
      <c r="D38" s="79" t="s">
        <v>26</v>
      </c>
      <c r="E38" s="79" t="s">
        <v>317</v>
      </c>
      <c r="I38" s="651">
        <v>133.0</v>
      </c>
      <c r="J38" s="652" t="s">
        <v>2175</v>
      </c>
      <c r="K38" s="651">
        <v>14.0</v>
      </c>
      <c r="M38" s="651">
        <v>138.0</v>
      </c>
      <c r="N38" s="652" t="s">
        <v>2176</v>
      </c>
      <c r="O38" s="651">
        <v>14.0</v>
      </c>
      <c r="Q38" s="651">
        <v>136.0</v>
      </c>
      <c r="R38" s="652" t="s">
        <v>2177</v>
      </c>
      <c r="S38" s="651">
        <v>14.0</v>
      </c>
    </row>
    <row r="39">
      <c r="B39" s="79">
        <v>8.0</v>
      </c>
      <c r="C39" s="79">
        <v>38.0</v>
      </c>
      <c r="D39" s="79" t="s">
        <v>78</v>
      </c>
      <c r="E39" s="79" t="s">
        <v>2178</v>
      </c>
      <c r="I39" s="651">
        <v>148.0</v>
      </c>
      <c r="J39" s="652" t="s">
        <v>2179</v>
      </c>
      <c r="K39" s="651">
        <v>15.0</v>
      </c>
      <c r="M39" s="651">
        <v>143.0</v>
      </c>
      <c r="N39" s="652" t="s">
        <v>2180</v>
      </c>
      <c r="O39" s="651">
        <v>15.0</v>
      </c>
      <c r="Q39" s="651">
        <v>145.0</v>
      </c>
      <c r="R39" s="652" t="s">
        <v>2181</v>
      </c>
      <c r="S39" s="651">
        <v>15.0</v>
      </c>
    </row>
    <row r="40">
      <c r="B40" s="79">
        <v>9.0</v>
      </c>
      <c r="C40" s="79">
        <v>39.0</v>
      </c>
      <c r="D40" s="79" t="s">
        <v>73</v>
      </c>
      <c r="E40" s="79" t="s">
        <v>2182</v>
      </c>
      <c r="I40" s="651">
        <v>153.0</v>
      </c>
      <c r="J40" s="652" t="s">
        <v>2183</v>
      </c>
      <c r="K40" s="651">
        <v>16.0</v>
      </c>
      <c r="M40" s="651">
        <v>158.0</v>
      </c>
      <c r="N40" s="652" t="s">
        <v>2184</v>
      </c>
      <c r="O40" s="651">
        <v>16.0</v>
      </c>
      <c r="Q40" s="651">
        <v>156.0</v>
      </c>
      <c r="R40" s="652" t="s">
        <v>2185</v>
      </c>
      <c r="S40" s="651">
        <v>16.0</v>
      </c>
    </row>
    <row r="41">
      <c r="B41" s="79">
        <v>10.0</v>
      </c>
      <c r="C41" s="79">
        <v>40.0</v>
      </c>
      <c r="D41" s="79" t="s">
        <v>2</v>
      </c>
      <c r="E41" s="79" t="s">
        <v>1009</v>
      </c>
      <c r="I41" s="651">
        <v>168.0</v>
      </c>
      <c r="J41" s="652" t="s">
        <v>2186</v>
      </c>
      <c r="K41" s="651">
        <v>17.0</v>
      </c>
      <c r="M41" s="651">
        <v>163.0</v>
      </c>
      <c r="N41" s="652" t="s">
        <v>2187</v>
      </c>
      <c r="O41" s="651">
        <v>17.0</v>
      </c>
      <c r="Q41" s="651">
        <v>165.0</v>
      </c>
      <c r="R41" s="652" t="s">
        <v>2188</v>
      </c>
      <c r="S41" s="651">
        <v>17.0</v>
      </c>
    </row>
    <row r="42">
      <c r="A42" s="79">
        <v>5.0</v>
      </c>
      <c r="B42" s="79">
        <v>1.0</v>
      </c>
      <c r="C42" s="79">
        <v>41.0</v>
      </c>
      <c r="D42" s="79" t="s">
        <v>2</v>
      </c>
      <c r="E42" s="79" t="s">
        <v>927</v>
      </c>
    </row>
    <row r="43">
      <c r="B43" s="79">
        <v>2.0</v>
      </c>
      <c r="C43" s="79">
        <v>42.0</v>
      </c>
      <c r="D43" s="79" t="s">
        <v>73</v>
      </c>
      <c r="E43" s="79" t="s">
        <v>2189</v>
      </c>
      <c r="I43" s="648" t="s">
        <v>2190</v>
      </c>
      <c r="M43" s="648" t="s">
        <v>2191</v>
      </c>
      <c r="Q43" s="648" t="s">
        <v>2192</v>
      </c>
    </row>
    <row r="44">
      <c r="B44" s="79">
        <v>3.0</v>
      </c>
      <c r="C44" s="79">
        <v>43.0</v>
      </c>
      <c r="D44" s="79" t="s">
        <v>78</v>
      </c>
      <c r="E44" s="79" t="s">
        <v>2193</v>
      </c>
      <c r="I44" s="649" t="s">
        <v>2053</v>
      </c>
      <c r="J44" s="650" t="s">
        <v>2054</v>
      </c>
      <c r="K44" s="649" t="s">
        <v>2055</v>
      </c>
      <c r="M44" s="649" t="s">
        <v>2053</v>
      </c>
      <c r="N44" s="650" t="s">
        <v>2054</v>
      </c>
      <c r="O44" s="649" t="s">
        <v>2055</v>
      </c>
      <c r="Q44" s="649" t="s">
        <v>2053</v>
      </c>
      <c r="R44" s="650" t="s">
        <v>2054</v>
      </c>
      <c r="S44" s="649" t="s">
        <v>2055</v>
      </c>
    </row>
    <row r="45">
      <c r="B45" s="79">
        <v>4.0</v>
      </c>
      <c r="C45" s="79">
        <v>44.0</v>
      </c>
      <c r="D45" s="79" t="s">
        <v>26</v>
      </c>
      <c r="E45" s="79" t="s">
        <v>2194</v>
      </c>
      <c r="I45" s="651">
        <v>2.0</v>
      </c>
      <c r="J45" s="652" t="s">
        <v>2195</v>
      </c>
      <c r="K45" s="651">
        <v>1.0</v>
      </c>
      <c r="M45" s="651">
        <v>9.0</v>
      </c>
      <c r="N45" s="652" t="s">
        <v>2196</v>
      </c>
      <c r="O45" s="651">
        <v>1.0</v>
      </c>
      <c r="Q45" s="651">
        <v>6.0</v>
      </c>
      <c r="R45" s="652" t="s">
        <v>2197</v>
      </c>
      <c r="S45" s="651">
        <v>1.0</v>
      </c>
    </row>
    <row r="46">
      <c r="B46" s="79">
        <v>5.0</v>
      </c>
      <c r="C46" s="79">
        <v>45.0</v>
      </c>
      <c r="D46" s="79" t="s">
        <v>84</v>
      </c>
      <c r="E46" s="79" t="s">
        <v>2198</v>
      </c>
      <c r="I46" s="651">
        <v>19.0</v>
      </c>
      <c r="J46" s="652" t="s">
        <v>2199</v>
      </c>
      <c r="K46" s="651">
        <v>2.0</v>
      </c>
      <c r="M46" s="651">
        <v>12.0</v>
      </c>
      <c r="N46" s="652" t="s">
        <v>2200</v>
      </c>
      <c r="O46" s="651">
        <v>2.0</v>
      </c>
      <c r="Q46" s="651">
        <v>15.0</v>
      </c>
      <c r="R46" s="652" t="s">
        <v>2201</v>
      </c>
      <c r="S46" s="651">
        <v>2.0</v>
      </c>
    </row>
    <row r="47">
      <c r="B47" s="79">
        <v>6.0</v>
      </c>
      <c r="C47" s="79">
        <v>46.0</v>
      </c>
      <c r="D47" s="79" t="s">
        <v>1061</v>
      </c>
      <c r="E47" s="79" t="s">
        <v>2202</v>
      </c>
      <c r="I47" s="651">
        <v>22.0</v>
      </c>
      <c r="J47" s="652" t="s">
        <v>2203</v>
      </c>
      <c r="K47" s="651">
        <v>3.0</v>
      </c>
      <c r="M47" s="651">
        <v>29.0</v>
      </c>
      <c r="N47" s="652" t="s">
        <v>2204</v>
      </c>
      <c r="O47" s="651">
        <v>3.0</v>
      </c>
      <c r="Q47" s="651">
        <v>26.0</v>
      </c>
      <c r="R47" s="652" t="s">
        <v>2205</v>
      </c>
      <c r="S47" s="651">
        <v>3.0</v>
      </c>
    </row>
    <row r="48">
      <c r="B48" s="79">
        <v>7.0</v>
      </c>
      <c r="C48" s="79">
        <v>47.0</v>
      </c>
      <c r="D48" s="79" t="s">
        <v>1</v>
      </c>
      <c r="E48" s="79" t="s">
        <v>2206</v>
      </c>
      <c r="I48" s="651">
        <v>39.0</v>
      </c>
      <c r="J48" s="652" t="s">
        <v>2207</v>
      </c>
      <c r="K48" s="651">
        <v>4.0</v>
      </c>
      <c r="M48" s="651">
        <v>32.0</v>
      </c>
      <c r="N48" s="652" t="s">
        <v>2208</v>
      </c>
      <c r="O48" s="651">
        <v>4.0</v>
      </c>
      <c r="Q48" s="651">
        <v>35.0</v>
      </c>
      <c r="R48" s="652" t="s">
        <v>2209</v>
      </c>
      <c r="S48" s="651">
        <v>4.0</v>
      </c>
    </row>
    <row r="49">
      <c r="B49" s="79">
        <v>8.0</v>
      </c>
      <c r="C49" s="79">
        <v>48.0</v>
      </c>
      <c r="D49" s="79" t="s">
        <v>3</v>
      </c>
      <c r="E49" s="79" t="s">
        <v>2210</v>
      </c>
      <c r="I49" s="651">
        <v>42.0</v>
      </c>
      <c r="J49" s="652" t="s">
        <v>2211</v>
      </c>
      <c r="K49" s="651">
        <v>5.0</v>
      </c>
      <c r="M49" s="651">
        <v>49.0</v>
      </c>
      <c r="N49" s="652" t="s">
        <v>2212</v>
      </c>
      <c r="O49" s="651">
        <v>5.0</v>
      </c>
      <c r="Q49" s="651">
        <v>46.0</v>
      </c>
      <c r="R49" s="652" t="s">
        <v>2213</v>
      </c>
      <c r="S49" s="651">
        <v>5.0</v>
      </c>
    </row>
    <row r="50">
      <c r="B50" s="79">
        <v>9.0</v>
      </c>
      <c r="C50" s="79">
        <v>49.0</v>
      </c>
      <c r="D50" s="79" t="s">
        <v>22</v>
      </c>
      <c r="E50" s="79" t="s">
        <v>2214</v>
      </c>
      <c r="I50" s="651">
        <v>59.0</v>
      </c>
      <c r="J50" s="652" t="s">
        <v>2215</v>
      </c>
      <c r="K50" s="651">
        <v>6.0</v>
      </c>
      <c r="M50" s="651">
        <v>52.0</v>
      </c>
      <c r="N50" s="652" t="s">
        <v>2216</v>
      </c>
      <c r="O50" s="651">
        <v>6.0</v>
      </c>
      <c r="Q50" s="651">
        <v>55.0</v>
      </c>
      <c r="R50" s="652" t="s">
        <v>2217</v>
      </c>
      <c r="S50" s="651">
        <v>6.0</v>
      </c>
    </row>
    <row r="51">
      <c r="B51" s="79">
        <v>10.0</v>
      </c>
      <c r="C51" s="79">
        <v>50.0</v>
      </c>
      <c r="D51" s="79" t="s">
        <v>59</v>
      </c>
      <c r="E51" s="79" t="s">
        <v>2218</v>
      </c>
      <c r="I51" s="651">
        <v>62.0</v>
      </c>
      <c r="J51" s="652" t="s">
        <v>2219</v>
      </c>
      <c r="K51" s="651">
        <v>7.0</v>
      </c>
      <c r="M51" s="651">
        <v>69.0</v>
      </c>
      <c r="N51" s="652" t="s">
        <v>2220</v>
      </c>
      <c r="O51" s="651">
        <v>7.0</v>
      </c>
      <c r="Q51" s="651">
        <v>66.0</v>
      </c>
      <c r="R51" s="652" t="s">
        <v>2221</v>
      </c>
      <c r="S51" s="651">
        <v>7.0</v>
      </c>
    </row>
    <row r="52">
      <c r="A52" s="79">
        <v>6.0</v>
      </c>
      <c r="B52" s="79">
        <v>1.0</v>
      </c>
      <c r="C52" s="79">
        <v>51.0</v>
      </c>
      <c r="D52" s="79" t="s">
        <v>59</v>
      </c>
      <c r="E52" s="79" t="s">
        <v>921</v>
      </c>
      <c r="I52" s="651">
        <v>79.0</v>
      </c>
      <c r="J52" s="652" t="s">
        <v>2222</v>
      </c>
      <c r="K52" s="651">
        <v>8.0</v>
      </c>
      <c r="M52" s="651">
        <v>72.0</v>
      </c>
      <c r="N52" s="652" t="s">
        <v>2223</v>
      </c>
      <c r="O52" s="651">
        <v>8.0</v>
      </c>
      <c r="Q52" s="651">
        <v>75.0</v>
      </c>
      <c r="R52" s="652" t="s">
        <v>2224</v>
      </c>
      <c r="S52" s="651">
        <v>8.0</v>
      </c>
    </row>
    <row r="53">
      <c r="B53" s="79">
        <v>2.0</v>
      </c>
      <c r="C53" s="79">
        <v>52.0</v>
      </c>
      <c r="D53" s="79" t="s">
        <v>22</v>
      </c>
      <c r="E53" s="79" t="s">
        <v>2225</v>
      </c>
      <c r="I53" s="651">
        <v>82.0</v>
      </c>
      <c r="J53" s="652" t="s">
        <v>2226</v>
      </c>
      <c r="K53" s="651">
        <v>9.0</v>
      </c>
      <c r="M53" s="651">
        <v>89.0</v>
      </c>
      <c r="N53" s="652" t="s">
        <v>2227</v>
      </c>
      <c r="O53" s="651">
        <v>9.0</v>
      </c>
      <c r="Q53" s="651">
        <v>86.0</v>
      </c>
      <c r="R53" s="652" t="s">
        <v>2228</v>
      </c>
      <c r="S53" s="651">
        <v>9.0</v>
      </c>
    </row>
    <row r="54">
      <c r="B54" s="79">
        <v>3.0</v>
      </c>
      <c r="C54" s="79">
        <v>53.0</v>
      </c>
      <c r="D54" s="79" t="s">
        <v>3</v>
      </c>
      <c r="E54" s="79" t="s">
        <v>2229</v>
      </c>
      <c r="I54" s="651">
        <v>99.0</v>
      </c>
      <c r="J54" s="652" t="s">
        <v>2230</v>
      </c>
      <c r="K54" s="651">
        <v>10.0</v>
      </c>
      <c r="M54" s="651">
        <v>92.0</v>
      </c>
      <c r="N54" s="652" t="s">
        <v>2231</v>
      </c>
      <c r="O54" s="651">
        <v>10.0</v>
      </c>
      <c r="Q54" s="651">
        <v>95.0</v>
      </c>
      <c r="R54" s="652" t="s">
        <v>2232</v>
      </c>
      <c r="S54" s="651">
        <v>10.0</v>
      </c>
    </row>
    <row r="55">
      <c r="B55" s="79">
        <v>4.0</v>
      </c>
      <c r="C55" s="79">
        <v>54.0</v>
      </c>
      <c r="D55" s="79" t="s">
        <v>1</v>
      </c>
      <c r="E55" s="79" t="s">
        <v>2233</v>
      </c>
      <c r="I55" s="651">
        <v>102.0</v>
      </c>
      <c r="J55" s="652" t="s">
        <v>2234</v>
      </c>
      <c r="K55" s="651">
        <v>11.0</v>
      </c>
      <c r="M55" s="651">
        <v>109.0</v>
      </c>
      <c r="N55" s="652" t="s">
        <v>2235</v>
      </c>
      <c r="O55" s="651">
        <v>11.0</v>
      </c>
      <c r="Q55" s="651">
        <v>106.0</v>
      </c>
      <c r="R55" s="652" t="s">
        <v>2236</v>
      </c>
      <c r="S55" s="651">
        <v>11.0</v>
      </c>
    </row>
    <row r="56">
      <c r="B56" s="79">
        <v>5.0</v>
      </c>
      <c r="C56" s="79">
        <v>55.0</v>
      </c>
      <c r="D56" s="79" t="s">
        <v>1061</v>
      </c>
      <c r="E56" s="79" t="s">
        <v>916</v>
      </c>
      <c r="I56" s="651">
        <v>119.0</v>
      </c>
      <c r="J56" s="652" t="s">
        <v>2237</v>
      </c>
      <c r="K56" s="651">
        <v>12.0</v>
      </c>
      <c r="M56" s="651">
        <v>112.0</v>
      </c>
      <c r="N56" s="652" t="s">
        <v>2238</v>
      </c>
      <c r="O56" s="651">
        <v>12.0</v>
      </c>
      <c r="Q56" s="651">
        <v>115.0</v>
      </c>
      <c r="R56" s="652" t="s">
        <v>2239</v>
      </c>
      <c r="S56" s="651">
        <v>12.0</v>
      </c>
    </row>
    <row r="57">
      <c r="B57" s="79">
        <v>6.0</v>
      </c>
      <c r="C57" s="79">
        <v>56.0</v>
      </c>
      <c r="D57" s="79" t="s">
        <v>84</v>
      </c>
      <c r="E57" s="79" t="s">
        <v>2240</v>
      </c>
      <c r="I57" s="651">
        <v>122.0</v>
      </c>
      <c r="J57" s="652" t="s">
        <v>2241</v>
      </c>
      <c r="K57" s="651">
        <v>13.0</v>
      </c>
      <c r="M57" s="651">
        <v>129.0</v>
      </c>
      <c r="N57" s="652" t="s">
        <v>2242</v>
      </c>
      <c r="O57" s="651">
        <v>13.0</v>
      </c>
      <c r="Q57" s="651">
        <v>126.0</v>
      </c>
      <c r="R57" s="652" t="s">
        <v>2243</v>
      </c>
      <c r="S57" s="651">
        <v>13.0</v>
      </c>
    </row>
    <row r="58">
      <c r="B58" s="79">
        <v>7.0</v>
      </c>
      <c r="C58" s="79">
        <v>57.0</v>
      </c>
      <c r="D58" s="79" t="s">
        <v>26</v>
      </c>
      <c r="E58" s="79" t="s">
        <v>1089</v>
      </c>
      <c r="I58" s="651">
        <v>139.0</v>
      </c>
      <c r="J58" s="652" t="s">
        <v>2244</v>
      </c>
      <c r="K58" s="651">
        <v>14.0</v>
      </c>
      <c r="M58" s="651">
        <v>132.0</v>
      </c>
      <c r="N58" s="652" t="s">
        <v>2245</v>
      </c>
      <c r="O58" s="651">
        <v>14.0</v>
      </c>
      <c r="Q58" s="651">
        <v>135.0</v>
      </c>
      <c r="R58" s="652" t="s">
        <v>2246</v>
      </c>
      <c r="S58" s="651">
        <v>14.0</v>
      </c>
    </row>
    <row r="59">
      <c r="B59" s="79">
        <v>8.0</v>
      </c>
      <c r="C59" s="79">
        <v>58.0</v>
      </c>
      <c r="D59" s="79" t="s">
        <v>78</v>
      </c>
      <c r="E59" s="79" t="s">
        <v>922</v>
      </c>
      <c r="I59" s="651">
        <v>142.0</v>
      </c>
      <c r="J59" s="652" t="s">
        <v>2247</v>
      </c>
      <c r="K59" s="651">
        <v>15.0</v>
      </c>
      <c r="M59" s="651">
        <v>149.0</v>
      </c>
      <c r="N59" s="652" t="s">
        <v>2248</v>
      </c>
      <c r="O59" s="651">
        <v>15.0</v>
      </c>
      <c r="Q59" s="651">
        <v>146.0</v>
      </c>
      <c r="R59" s="652" t="s">
        <v>2249</v>
      </c>
      <c r="S59" s="651">
        <v>15.0</v>
      </c>
    </row>
    <row r="60">
      <c r="B60" s="79">
        <v>9.0</v>
      </c>
      <c r="C60" s="79">
        <v>59.0</v>
      </c>
      <c r="D60" s="79" t="s">
        <v>73</v>
      </c>
      <c r="E60" s="79" t="s">
        <v>2250</v>
      </c>
      <c r="I60" s="651">
        <v>159.0</v>
      </c>
      <c r="J60" s="652" t="s">
        <v>2251</v>
      </c>
      <c r="K60" s="651">
        <v>16.0</v>
      </c>
      <c r="M60" s="651">
        <v>152.0</v>
      </c>
      <c r="N60" s="652" t="s">
        <v>2252</v>
      </c>
      <c r="O60" s="651">
        <v>16.0</v>
      </c>
      <c r="Q60" s="651">
        <v>155.0</v>
      </c>
      <c r="R60" s="652" t="s">
        <v>2253</v>
      </c>
      <c r="S60" s="651">
        <v>16.0</v>
      </c>
    </row>
    <row r="61">
      <c r="B61" s="79">
        <v>10.0</v>
      </c>
      <c r="C61" s="79">
        <v>60.0</v>
      </c>
      <c r="D61" s="79" t="s">
        <v>2</v>
      </c>
      <c r="E61" s="79" t="s">
        <v>933</v>
      </c>
      <c r="I61" s="651">
        <v>162.0</v>
      </c>
      <c r="J61" s="652" t="s">
        <v>2254</v>
      </c>
      <c r="K61" s="651">
        <v>17.0</v>
      </c>
      <c r="M61" s="651">
        <v>169.0</v>
      </c>
      <c r="N61" s="652" t="s">
        <v>2255</v>
      </c>
      <c r="O61" s="651">
        <v>17.0</v>
      </c>
      <c r="Q61" s="651">
        <v>166.0</v>
      </c>
      <c r="R61" s="652" t="s">
        <v>2256</v>
      </c>
      <c r="S61" s="651">
        <v>17.0</v>
      </c>
    </row>
    <row r="62">
      <c r="A62" s="79">
        <v>7.0</v>
      </c>
      <c r="B62" s="79">
        <v>1.0</v>
      </c>
      <c r="C62" s="79">
        <v>61.0</v>
      </c>
      <c r="D62" s="79" t="s">
        <v>2</v>
      </c>
      <c r="E62" s="79" t="s">
        <v>2257</v>
      </c>
    </row>
    <row r="63">
      <c r="B63" s="79">
        <v>2.0</v>
      </c>
      <c r="C63" s="79">
        <v>62.0</v>
      </c>
      <c r="D63" s="79" t="s">
        <v>73</v>
      </c>
      <c r="E63" s="79" t="s">
        <v>2258</v>
      </c>
      <c r="I63" s="648" t="s">
        <v>2259</v>
      </c>
    </row>
    <row r="64">
      <c r="B64" s="79">
        <v>3.0</v>
      </c>
      <c r="C64" s="79">
        <v>63.0</v>
      </c>
      <c r="D64" s="79" t="s">
        <v>78</v>
      </c>
      <c r="E64" s="79" t="s">
        <v>2260</v>
      </c>
      <c r="I64" s="649" t="s">
        <v>2053</v>
      </c>
      <c r="J64" s="650" t="s">
        <v>2054</v>
      </c>
      <c r="K64" s="649" t="s">
        <v>2055</v>
      </c>
    </row>
    <row r="65">
      <c r="B65" s="79">
        <v>4.0</v>
      </c>
      <c r="C65" s="79">
        <v>64.0</v>
      </c>
      <c r="D65" s="79" t="s">
        <v>26</v>
      </c>
      <c r="E65" s="79" t="s">
        <v>2261</v>
      </c>
      <c r="I65" s="651">
        <v>4.0</v>
      </c>
      <c r="J65" s="652" t="s">
        <v>2262</v>
      </c>
      <c r="K65" s="651">
        <v>1.0</v>
      </c>
    </row>
    <row r="66">
      <c r="B66" s="79">
        <v>5.0</v>
      </c>
      <c r="C66" s="79">
        <v>65.0</v>
      </c>
      <c r="D66" s="79" t="s">
        <v>84</v>
      </c>
      <c r="E66" s="79" t="s">
        <v>1007</v>
      </c>
      <c r="I66" s="651">
        <v>17.0</v>
      </c>
      <c r="J66" s="652" t="s">
        <v>2263</v>
      </c>
      <c r="K66" s="651">
        <v>2.0</v>
      </c>
    </row>
    <row r="67">
      <c r="B67" s="79">
        <v>6.0</v>
      </c>
      <c r="C67" s="79">
        <v>66.0</v>
      </c>
      <c r="D67" s="79" t="s">
        <v>1061</v>
      </c>
      <c r="E67" s="79" t="s">
        <v>907</v>
      </c>
      <c r="I67" s="651">
        <v>24.0</v>
      </c>
      <c r="J67" s="652" t="s">
        <v>2264</v>
      </c>
      <c r="K67" s="651">
        <v>3.0</v>
      </c>
    </row>
    <row r="68">
      <c r="B68" s="79">
        <v>7.0</v>
      </c>
      <c r="C68" s="79">
        <v>67.0</v>
      </c>
      <c r="D68" s="79" t="s">
        <v>1</v>
      </c>
      <c r="E68" s="79" t="s">
        <v>2265</v>
      </c>
      <c r="I68" s="651">
        <v>37.0</v>
      </c>
      <c r="J68" s="652" t="s">
        <v>2266</v>
      </c>
      <c r="K68" s="651">
        <v>4.0</v>
      </c>
    </row>
    <row r="69">
      <c r="B69" s="79">
        <v>8.0</v>
      </c>
      <c r="C69" s="79">
        <v>68.0</v>
      </c>
      <c r="D69" s="79" t="s">
        <v>3</v>
      </c>
      <c r="E69" s="79" t="s">
        <v>2267</v>
      </c>
      <c r="I69" s="651">
        <v>44.0</v>
      </c>
      <c r="J69" s="652" t="s">
        <v>2268</v>
      </c>
      <c r="K69" s="651">
        <v>5.0</v>
      </c>
    </row>
    <row r="70">
      <c r="B70" s="79">
        <v>9.0</v>
      </c>
      <c r="C70" s="79">
        <v>69.0</v>
      </c>
      <c r="D70" s="79" t="s">
        <v>22</v>
      </c>
      <c r="E70" s="79" t="s">
        <v>945</v>
      </c>
      <c r="I70" s="651">
        <v>57.0</v>
      </c>
      <c r="J70" s="652" t="s">
        <v>2269</v>
      </c>
      <c r="K70" s="651">
        <v>6.0</v>
      </c>
    </row>
    <row r="71">
      <c r="B71" s="79">
        <v>10.0</v>
      </c>
      <c r="C71" s="79">
        <v>70.0</v>
      </c>
      <c r="D71" s="79" t="s">
        <v>59</v>
      </c>
      <c r="E71" s="79" t="s">
        <v>2270</v>
      </c>
      <c r="I71" s="651">
        <v>64.0</v>
      </c>
      <c r="J71" s="652" t="s">
        <v>2271</v>
      </c>
      <c r="K71" s="651">
        <v>7.0</v>
      </c>
    </row>
    <row r="72">
      <c r="A72" s="79">
        <v>8.0</v>
      </c>
      <c r="B72" s="79">
        <v>1.0</v>
      </c>
      <c r="C72" s="79">
        <v>71.0</v>
      </c>
      <c r="D72" s="79" t="s">
        <v>59</v>
      </c>
      <c r="E72" s="79" t="s">
        <v>999</v>
      </c>
      <c r="I72" s="651">
        <v>77.0</v>
      </c>
      <c r="J72" s="652" t="s">
        <v>2272</v>
      </c>
      <c r="K72" s="651">
        <v>8.0</v>
      </c>
    </row>
    <row r="73">
      <c r="B73" s="79">
        <v>2.0</v>
      </c>
      <c r="C73" s="79">
        <v>72.0</v>
      </c>
      <c r="D73" s="79" t="s">
        <v>22</v>
      </c>
      <c r="E73" s="79" t="s">
        <v>2273</v>
      </c>
      <c r="I73" s="651">
        <v>84.0</v>
      </c>
      <c r="J73" s="652" t="s">
        <v>2274</v>
      </c>
      <c r="K73" s="651">
        <v>9.0</v>
      </c>
    </row>
    <row r="74">
      <c r="B74" s="79">
        <v>3.0</v>
      </c>
      <c r="C74" s="79">
        <v>73.0</v>
      </c>
      <c r="D74" s="79" t="s">
        <v>3</v>
      </c>
      <c r="E74" s="79" t="s">
        <v>1070</v>
      </c>
      <c r="I74" s="651">
        <v>97.0</v>
      </c>
      <c r="J74" s="652" t="s">
        <v>2275</v>
      </c>
      <c r="K74" s="651">
        <v>10.0</v>
      </c>
    </row>
    <row r="75">
      <c r="B75" s="79">
        <v>4.0</v>
      </c>
      <c r="C75" s="79">
        <v>74.0</v>
      </c>
      <c r="D75" s="79" t="s">
        <v>1</v>
      </c>
      <c r="E75" s="79" t="s">
        <v>2276</v>
      </c>
      <c r="I75" s="651">
        <v>104.0</v>
      </c>
      <c r="J75" s="652" t="s">
        <v>2277</v>
      </c>
      <c r="K75" s="651">
        <v>11.0</v>
      </c>
    </row>
    <row r="76">
      <c r="B76" s="79">
        <v>5.0</v>
      </c>
      <c r="C76" s="79">
        <v>75.0</v>
      </c>
      <c r="D76" s="79" t="s">
        <v>1061</v>
      </c>
      <c r="E76" s="79" t="s">
        <v>2278</v>
      </c>
      <c r="I76" s="651">
        <v>117.0</v>
      </c>
      <c r="J76" s="652" t="s">
        <v>2279</v>
      </c>
      <c r="K76" s="651">
        <v>12.0</v>
      </c>
    </row>
    <row r="77">
      <c r="B77" s="79">
        <v>6.0</v>
      </c>
      <c r="C77" s="79">
        <v>76.0</v>
      </c>
      <c r="D77" s="79" t="s">
        <v>84</v>
      </c>
      <c r="E77" s="79" t="s">
        <v>2280</v>
      </c>
      <c r="I77" s="651">
        <v>124.0</v>
      </c>
      <c r="J77" s="652" t="s">
        <v>2281</v>
      </c>
      <c r="K77" s="651">
        <v>13.0</v>
      </c>
    </row>
    <row r="78">
      <c r="B78" s="79">
        <v>7.0</v>
      </c>
      <c r="C78" s="79">
        <v>77.0</v>
      </c>
      <c r="D78" s="79" t="s">
        <v>26</v>
      </c>
      <c r="E78" s="79" t="s">
        <v>2282</v>
      </c>
      <c r="I78" s="651">
        <v>137.0</v>
      </c>
      <c r="J78" s="652" t="s">
        <v>2283</v>
      </c>
      <c r="K78" s="651">
        <v>14.0</v>
      </c>
    </row>
    <row r="79">
      <c r="B79" s="79">
        <v>8.0</v>
      </c>
      <c r="C79" s="79">
        <v>78.0</v>
      </c>
      <c r="D79" s="79" t="s">
        <v>78</v>
      </c>
      <c r="E79" s="79" t="s">
        <v>2284</v>
      </c>
      <c r="I79" s="651">
        <v>144.0</v>
      </c>
      <c r="J79" s="652" t="s">
        <v>2285</v>
      </c>
      <c r="K79" s="651">
        <v>15.0</v>
      </c>
    </row>
    <row r="80">
      <c r="B80" s="79">
        <v>9.0</v>
      </c>
      <c r="C80" s="79">
        <v>79.0</v>
      </c>
      <c r="D80" s="79" t="s">
        <v>73</v>
      </c>
      <c r="E80" s="79" t="s">
        <v>915</v>
      </c>
      <c r="I80" s="651">
        <v>157.0</v>
      </c>
      <c r="J80" s="652" t="s">
        <v>2286</v>
      </c>
      <c r="K80" s="651">
        <v>16.0</v>
      </c>
    </row>
    <row r="81">
      <c r="B81" s="79">
        <v>10.0</v>
      </c>
      <c r="C81" s="79">
        <v>80.0</v>
      </c>
      <c r="D81" s="79" t="s">
        <v>2</v>
      </c>
      <c r="E81" s="79" t="s">
        <v>2287</v>
      </c>
      <c r="I81" s="651">
        <v>164.0</v>
      </c>
      <c r="J81" s="652" t="s">
        <v>2288</v>
      </c>
      <c r="K81" s="651">
        <v>17.0</v>
      </c>
    </row>
    <row r="82">
      <c r="A82" s="79">
        <v>9.0</v>
      </c>
      <c r="B82" s="79">
        <v>1.0</v>
      </c>
      <c r="C82" s="79">
        <v>81.0</v>
      </c>
      <c r="D82" s="79" t="s">
        <v>2</v>
      </c>
      <c r="E82" s="79" t="s">
        <v>2289</v>
      </c>
    </row>
    <row r="83">
      <c r="B83" s="79">
        <v>2.0</v>
      </c>
      <c r="C83" s="79">
        <v>82.0</v>
      </c>
      <c r="D83" s="79" t="s">
        <v>73</v>
      </c>
      <c r="E83" s="79" t="s">
        <v>2290</v>
      </c>
    </row>
    <row r="84">
      <c r="B84" s="79">
        <v>3.0</v>
      </c>
      <c r="C84" s="79">
        <v>83.0</v>
      </c>
      <c r="D84" s="79" t="s">
        <v>78</v>
      </c>
      <c r="E84" s="79" t="s">
        <v>2291</v>
      </c>
    </row>
    <row r="85">
      <c r="B85" s="79">
        <v>4.0</v>
      </c>
      <c r="C85" s="79">
        <v>84.0</v>
      </c>
      <c r="D85" s="79" t="s">
        <v>26</v>
      </c>
      <c r="E85" s="79" t="s">
        <v>1086</v>
      </c>
    </row>
    <row r="86">
      <c r="B86" s="79">
        <v>5.0</v>
      </c>
      <c r="C86" s="79">
        <v>85.0</v>
      </c>
      <c r="D86" s="79" t="s">
        <v>84</v>
      </c>
      <c r="E86" s="79" t="s">
        <v>2292</v>
      </c>
    </row>
    <row r="87">
      <c r="B87" s="79">
        <v>6.0</v>
      </c>
      <c r="C87" s="79">
        <v>86.0</v>
      </c>
      <c r="D87" s="79" t="s">
        <v>1061</v>
      </c>
      <c r="E87" s="79" t="s">
        <v>220</v>
      </c>
    </row>
    <row r="88">
      <c r="B88" s="79">
        <v>7.0</v>
      </c>
      <c r="C88" s="79">
        <v>87.0</v>
      </c>
      <c r="D88" s="79" t="s">
        <v>1</v>
      </c>
      <c r="E88" s="79" t="s">
        <v>2293</v>
      </c>
    </row>
    <row r="89">
      <c r="B89" s="79">
        <v>8.0</v>
      </c>
      <c r="C89" s="79">
        <v>88.0</v>
      </c>
      <c r="D89" s="79" t="s">
        <v>3</v>
      </c>
      <c r="E89" s="79" t="s">
        <v>2294</v>
      </c>
    </row>
    <row r="90">
      <c r="B90" s="79">
        <v>9.0</v>
      </c>
      <c r="C90" s="79">
        <v>89.0</v>
      </c>
      <c r="D90" s="79" t="s">
        <v>22</v>
      </c>
      <c r="E90" s="79" t="s">
        <v>2295</v>
      </c>
    </row>
    <row r="91">
      <c r="B91" s="79">
        <v>10.0</v>
      </c>
      <c r="C91" s="79">
        <v>90.0</v>
      </c>
      <c r="D91" s="79" t="s">
        <v>59</v>
      </c>
      <c r="E91" s="79" t="s">
        <v>2296</v>
      </c>
    </row>
    <row r="92">
      <c r="A92" s="79">
        <v>10.0</v>
      </c>
      <c r="B92" s="79">
        <v>1.0</v>
      </c>
      <c r="C92" s="79">
        <v>91.0</v>
      </c>
      <c r="D92" s="79" t="s">
        <v>59</v>
      </c>
      <c r="E92" s="79" t="s">
        <v>2297</v>
      </c>
    </row>
    <row r="93">
      <c r="B93" s="79">
        <v>2.0</v>
      </c>
      <c r="C93" s="79">
        <v>92.0</v>
      </c>
      <c r="D93" s="79" t="s">
        <v>22</v>
      </c>
      <c r="E93" s="79" t="s">
        <v>2298</v>
      </c>
    </row>
    <row r="94">
      <c r="B94" s="79">
        <v>3.0</v>
      </c>
      <c r="C94" s="79">
        <v>93.0</v>
      </c>
      <c r="D94" s="79" t="s">
        <v>3</v>
      </c>
      <c r="E94" s="79" t="s">
        <v>2299</v>
      </c>
    </row>
    <row r="95">
      <c r="B95" s="79">
        <v>4.0</v>
      </c>
      <c r="C95" s="79">
        <v>94.0</v>
      </c>
      <c r="D95" s="79" t="s">
        <v>1</v>
      </c>
      <c r="E95" s="79" t="s">
        <v>913</v>
      </c>
    </row>
    <row r="96">
      <c r="B96" s="79">
        <v>5.0</v>
      </c>
      <c r="C96" s="79">
        <v>95.0</v>
      </c>
      <c r="D96" s="79" t="s">
        <v>1061</v>
      </c>
      <c r="E96" s="79" t="s">
        <v>2300</v>
      </c>
    </row>
    <row r="97">
      <c r="B97" s="79">
        <v>6.0</v>
      </c>
      <c r="C97" s="79">
        <v>96.0</v>
      </c>
      <c r="D97" s="79" t="s">
        <v>84</v>
      </c>
      <c r="E97" s="79" t="s">
        <v>2301</v>
      </c>
    </row>
    <row r="98">
      <c r="B98" s="79">
        <v>7.0</v>
      </c>
      <c r="C98" s="79">
        <v>97.0</v>
      </c>
      <c r="D98" s="79" t="s">
        <v>26</v>
      </c>
      <c r="E98" s="79" t="s">
        <v>910</v>
      </c>
    </row>
    <row r="99">
      <c r="B99" s="79">
        <v>8.0</v>
      </c>
      <c r="C99" s="79">
        <v>98.0</v>
      </c>
      <c r="D99" s="79" t="s">
        <v>78</v>
      </c>
      <c r="E99" s="79" t="s">
        <v>2302</v>
      </c>
    </row>
    <row r="100">
      <c r="B100" s="79">
        <v>9.0</v>
      </c>
      <c r="C100" s="79">
        <v>99.0</v>
      </c>
      <c r="D100" s="79" t="s">
        <v>73</v>
      </c>
      <c r="E100" s="79" t="s">
        <v>2303</v>
      </c>
    </row>
    <row r="101">
      <c r="B101" s="79">
        <v>10.0</v>
      </c>
      <c r="C101" s="79">
        <v>100.0</v>
      </c>
      <c r="D101" s="79" t="s">
        <v>2</v>
      </c>
      <c r="E101" s="79" t="s">
        <v>2304</v>
      </c>
    </row>
    <row r="102">
      <c r="A102" s="79">
        <v>11.0</v>
      </c>
      <c r="B102" s="79">
        <v>1.0</v>
      </c>
      <c r="C102" s="79">
        <v>101.0</v>
      </c>
      <c r="D102" s="79" t="s">
        <v>2</v>
      </c>
      <c r="E102" s="79" t="s">
        <v>920</v>
      </c>
    </row>
    <row r="103">
      <c r="B103" s="79">
        <v>2.0</v>
      </c>
      <c r="C103" s="79">
        <v>102.0</v>
      </c>
      <c r="D103" s="79" t="s">
        <v>73</v>
      </c>
      <c r="E103" s="79" t="s">
        <v>2305</v>
      </c>
    </row>
    <row r="104">
      <c r="B104" s="79">
        <v>3.0</v>
      </c>
      <c r="C104" s="79">
        <v>103.0</v>
      </c>
      <c r="D104" s="79" t="s">
        <v>78</v>
      </c>
      <c r="E104" s="79" t="s">
        <v>307</v>
      </c>
    </row>
    <row r="105">
      <c r="B105" s="79">
        <v>4.0</v>
      </c>
      <c r="C105" s="79">
        <v>104.0</v>
      </c>
      <c r="D105" s="79" t="s">
        <v>26</v>
      </c>
      <c r="E105" s="79" t="s">
        <v>1011</v>
      </c>
    </row>
    <row r="106">
      <c r="B106" s="79">
        <v>5.0</v>
      </c>
      <c r="C106" s="79">
        <v>105.0</v>
      </c>
      <c r="D106" s="79" t="s">
        <v>84</v>
      </c>
      <c r="E106" s="79" t="s">
        <v>2306</v>
      </c>
    </row>
    <row r="107">
      <c r="B107" s="79">
        <v>6.0</v>
      </c>
      <c r="C107" s="79">
        <v>106.0</v>
      </c>
      <c r="D107" s="79" t="s">
        <v>1061</v>
      </c>
      <c r="E107" s="79" t="s">
        <v>215</v>
      </c>
    </row>
    <row r="108">
      <c r="B108" s="79">
        <v>7.0</v>
      </c>
      <c r="C108" s="79">
        <v>107.0</v>
      </c>
      <c r="D108" s="79" t="s">
        <v>1</v>
      </c>
      <c r="E108" s="79" t="s">
        <v>223</v>
      </c>
    </row>
    <row r="109">
      <c r="B109" s="79">
        <v>8.0</v>
      </c>
      <c r="C109" s="79">
        <v>108.0</v>
      </c>
      <c r="D109" s="79" t="s">
        <v>3</v>
      </c>
      <c r="E109" s="79" t="s">
        <v>2307</v>
      </c>
    </row>
    <row r="110">
      <c r="B110" s="79">
        <v>9.0</v>
      </c>
      <c r="C110" s="79">
        <v>109.0</v>
      </c>
      <c r="D110" s="79" t="s">
        <v>22</v>
      </c>
      <c r="E110" s="79" t="s">
        <v>2308</v>
      </c>
    </row>
    <row r="111">
      <c r="B111" s="79">
        <v>10.0</v>
      </c>
      <c r="C111" s="79">
        <v>110.0</v>
      </c>
      <c r="D111" s="79" t="s">
        <v>59</v>
      </c>
      <c r="E111" s="79" t="s">
        <v>2309</v>
      </c>
    </row>
    <row r="112">
      <c r="A112" s="79">
        <v>12.0</v>
      </c>
      <c r="B112" s="79">
        <v>1.0</v>
      </c>
      <c r="C112" s="79">
        <v>111.0</v>
      </c>
      <c r="D112" s="79" t="s">
        <v>59</v>
      </c>
      <c r="E112" s="79" t="s">
        <v>2310</v>
      </c>
    </row>
    <row r="113">
      <c r="B113" s="79">
        <v>2.0</v>
      </c>
      <c r="C113" s="79">
        <v>112.0</v>
      </c>
      <c r="D113" s="79" t="s">
        <v>22</v>
      </c>
      <c r="E113" s="79" t="s">
        <v>2311</v>
      </c>
    </row>
    <row r="114">
      <c r="B114" s="79">
        <v>3.0</v>
      </c>
      <c r="C114" s="79">
        <v>113.0</v>
      </c>
      <c r="D114" s="79" t="s">
        <v>3</v>
      </c>
      <c r="E114" s="79" t="s">
        <v>253</v>
      </c>
    </row>
    <row r="115">
      <c r="B115" s="79">
        <v>4.0</v>
      </c>
      <c r="C115" s="79">
        <v>114.0</v>
      </c>
      <c r="D115" s="79" t="s">
        <v>1</v>
      </c>
      <c r="E115" s="79" t="s">
        <v>2312</v>
      </c>
    </row>
    <row r="116">
      <c r="B116" s="79">
        <v>5.0</v>
      </c>
      <c r="C116" s="79">
        <v>115.0</v>
      </c>
      <c r="D116" s="79" t="s">
        <v>1061</v>
      </c>
      <c r="E116" s="79" t="s">
        <v>2313</v>
      </c>
    </row>
    <row r="117">
      <c r="B117" s="79">
        <v>6.0</v>
      </c>
      <c r="C117" s="79">
        <v>116.0</v>
      </c>
      <c r="D117" s="79" t="s">
        <v>84</v>
      </c>
      <c r="E117" s="79" t="s">
        <v>2314</v>
      </c>
    </row>
    <row r="118">
      <c r="B118" s="79">
        <v>7.0</v>
      </c>
      <c r="C118" s="79">
        <v>117.0</v>
      </c>
      <c r="D118" s="79" t="s">
        <v>26</v>
      </c>
      <c r="E118" s="79" t="s">
        <v>2315</v>
      </c>
    </row>
    <row r="119">
      <c r="B119" s="79">
        <v>8.0</v>
      </c>
      <c r="C119" s="79">
        <v>118.0</v>
      </c>
      <c r="D119" s="79" t="s">
        <v>78</v>
      </c>
      <c r="E119" s="79" t="s">
        <v>294</v>
      </c>
    </row>
    <row r="120">
      <c r="B120" s="79">
        <v>9.0</v>
      </c>
      <c r="C120" s="79">
        <v>119.0</v>
      </c>
      <c r="D120" s="79" t="s">
        <v>73</v>
      </c>
      <c r="E120" s="79" t="s">
        <v>2316</v>
      </c>
    </row>
    <row r="121">
      <c r="B121" s="79">
        <v>10.0</v>
      </c>
      <c r="C121" s="79">
        <v>120.0</v>
      </c>
      <c r="D121" s="79" t="s">
        <v>2</v>
      </c>
      <c r="E121" s="79" t="s">
        <v>2317</v>
      </c>
    </row>
    <row r="122">
      <c r="A122" s="79">
        <v>13.0</v>
      </c>
      <c r="B122" s="79">
        <v>1.0</v>
      </c>
      <c r="C122" s="79">
        <v>121.0</v>
      </c>
      <c r="D122" s="79" t="s">
        <v>2</v>
      </c>
      <c r="E122" s="79" t="s">
        <v>2318</v>
      </c>
    </row>
    <row r="123">
      <c r="B123" s="79">
        <v>2.0</v>
      </c>
      <c r="C123" s="79">
        <v>122.0</v>
      </c>
      <c r="D123" s="79" t="s">
        <v>73</v>
      </c>
      <c r="E123" s="79" t="s">
        <v>1243</v>
      </c>
    </row>
    <row r="124">
      <c r="B124" s="79">
        <v>3.0</v>
      </c>
      <c r="C124" s="79">
        <v>123.0</v>
      </c>
      <c r="D124" s="79" t="s">
        <v>78</v>
      </c>
      <c r="E124" s="79" t="s">
        <v>235</v>
      </c>
    </row>
    <row r="125">
      <c r="B125" s="79">
        <v>4.0</v>
      </c>
      <c r="C125" s="79">
        <v>124.0</v>
      </c>
      <c r="D125" s="79" t="s">
        <v>26</v>
      </c>
      <c r="E125" s="79" t="s">
        <v>2319</v>
      </c>
    </row>
    <row r="126">
      <c r="B126" s="79">
        <v>5.0</v>
      </c>
      <c r="C126" s="79">
        <v>125.0</v>
      </c>
      <c r="D126" s="79" t="s">
        <v>84</v>
      </c>
      <c r="E126" s="79" t="s">
        <v>2320</v>
      </c>
    </row>
    <row r="127">
      <c r="B127" s="79">
        <v>6.0</v>
      </c>
      <c r="C127" s="79">
        <v>126.0</v>
      </c>
      <c r="D127" s="79" t="s">
        <v>1061</v>
      </c>
      <c r="E127" s="79" t="s">
        <v>2321</v>
      </c>
    </row>
    <row r="128">
      <c r="B128" s="79">
        <v>7.0</v>
      </c>
      <c r="C128" s="79">
        <v>127.0</v>
      </c>
      <c r="D128" s="79" t="s">
        <v>1</v>
      </c>
      <c r="E128" s="79" t="s">
        <v>2322</v>
      </c>
    </row>
    <row r="129">
      <c r="B129" s="79">
        <v>8.0</v>
      </c>
      <c r="C129" s="79">
        <v>128.0</v>
      </c>
      <c r="D129" s="79" t="s">
        <v>3</v>
      </c>
      <c r="E129" s="79" t="s">
        <v>1076</v>
      </c>
    </row>
    <row r="130">
      <c r="B130" s="79">
        <v>9.0</v>
      </c>
      <c r="C130" s="79">
        <v>129.0</v>
      </c>
      <c r="D130" s="79" t="s">
        <v>22</v>
      </c>
      <c r="E130" s="79" t="s">
        <v>2323</v>
      </c>
    </row>
    <row r="131">
      <c r="B131" s="79">
        <v>10.0</v>
      </c>
      <c r="C131" s="79">
        <v>130.0</v>
      </c>
      <c r="D131" s="79" t="s">
        <v>59</v>
      </c>
      <c r="E131" s="79" t="s">
        <v>2324</v>
      </c>
    </row>
    <row r="132">
      <c r="A132" s="79">
        <v>14.0</v>
      </c>
      <c r="B132" s="79">
        <v>1.0</v>
      </c>
      <c r="C132" s="79">
        <v>131.0</v>
      </c>
      <c r="D132" s="79" t="s">
        <v>59</v>
      </c>
      <c r="E132" s="79" t="s">
        <v>2325</v>
      </c>
    </row>
    <row r="133">
      <c r="B133" s="79">
        <v>2.0</v>
      </c>
      <c r="C133" s="79">
        <v>132.0</v>
      </c>
      <c r="D133" s="79" t="s">
        <v>22</v>
      </c>
      <c r="E133" s="79" t="s">
        <v>1005</v>
      </c>
    </row>
    <row r="134">
      <c r="B134" s="79">
        <v>3.0</v>
      </c>
      <c r="C134" s="79">
        <v>133.0</v>
      </c>
      <c r="D134" s="79" t="s">
        <v>3</v>
      </c>
      <c r="E134" s="79" t="s">
        <v>2326</v>
      </c>
    </row>
    <row r="135">
      <c r="B135" s="79">
        <v>4.0</v>
      </c>
      <c r="C135" s="79">
        <v>134.0</v>
      </c>
      <c r="D135" s="79" t="s">
        <v>1</v>
      </c>
      <c r="E135" s="79" t="s">
        <v>2327</v>
      </c>
    </row>
    <row r="136">
      <c r="B136" s="79">
        <v>5.0</v>
      </c>
      <c r="C136" s="79">
        <v>135.0</v>
      </c>
      <c r="D136" s="79" t="s">
        <v>1061</v>
      </c>
      <c r="E136" s="79" t="s">
        <v>1126</v>
      </c>
    </row>
    <row r="137">
      <c r="B137" s="79">
        <v>6.0</v>
      </c>
      <c r="C137" s="79">
        <v>136.0</v>
      </c>
      <c r="D137" s="79" t="s">
        <v>84</v>
      </c>
      <c r="E137" s="79" t="s">
        <v>2328</v>
      </c>
    </row>
    <row r="138">
      <c r="B138" s="79">
        <v>7.0</v>
      </c>
      <c r="C138" s="79">
        <v>137.0</v>
      </c>
      <c r="D138" s="79" t="s">
        <v>26</v>
      </c>
      <c r="E138" s="79" t="s">
        <v>2329</v>
      </c>
    </row>
    <row r="139">
      <c r="B139" s="79">
        <v>8.0</v>
      </c>
      <c r="C139" s="79">
        <v>138.0</v>
      </c>
      <c r="D139" s="79" t="s">
        <v>78</v>
      </c>
      <c r="E139" s="79" t="s">
        <v>2330</v>
      </c>
    </row>
    <row r="140">
      <c r="B140" s="79">
        <v>9.0</v>
      </c>
      <c r="C140" s="79">
        <v>139.0</v>
      </c>
      <c r="D140" s="79" t="s">
        <v>73</v>
      </c>
      <c r="E140" s="79" t="s">
        <v>2331</v>
      </c>
    </row>
    <row r="141">
      <c r="B141" s="79">
        <v>10.0</v>
      </c>
      <c r="C141" s="79">
        <v>140.0</v>
      </c>
      <c r="D141" s="79" t="s">
        <v>2</v>
      </c>
      <c r="E141" s="79" t="s">
        <v>2332</v>
      </c>
    </row>
    <row r="142">
      <c r="A142" s="79">
        <v>15.0</v>
      </c>
      <c r="B142" s="79">
        <v>1.0</v>
      </c>
      <c r="C142" s="79">
        <v>141.0</v>
      </c>
      <c r="D142" s="79" t="s">
        <v>2</v>
      </c>
      <c r="E142" s="79" t="s">
        <v>2333</v>
      </c>
    </row>
    <row r="143">
      <c r="B143" s="79">
        <v>2.0</v>
      </c>
      <c r="C143" s="79">
        <v>142.0</v>
      </c>
      <c r="D143" s="79" t="s">
        <v>73</v>
      </c>
      <c r="E143" s="79" t="s">
        <v>2334</v>
      </c>
    </row>
    <row r="144">
      <c r="B144" s="79">
        <v>3.0</v>
      </c>
      <c r="C144" s="79">
        <v>143.0</v>
      </c>
      <c r="D144" s="79" t="s">
        <v>78</v>
      </c>
      <c r="E144" s="79" t="s">
        <v>2335</v>
      </c>
    </row>
    <row r="145">
      <c r="B145" s="79">
        <v>4.0</v>
      </c>
      <c r="C145" s="79">
        <v>144.0</v>
      </c>
      <c r="D145" s="79" t="s">
        <v>26</v>
      </c>
      <c r="E145" s="79" t="s">
        <v>2336</v>
      </c>
    </row>
    <row r="146">
      <c r="B146" s="79">
        <v>5.0</v>
      </c>
      <c r="C146" s="79">
        <v>145.0</v>
      </c>
      <c r="D146" s="79" t="s">
        <v>84</v>
      </c>
      <c r="E146" s="79" t="s">
        <v>929</v>
      </c>
    </row>
    <row r="147">
      <c r="B147" s="79">
        <v>6.0</v>
      </c>
      <c r="C147" s="79">
        <v>146.0</v>
      </c>
      <c r="D147" s="79" t="s">
        <v>1061</v>
      </c>
      <c r="E147" s="79" t="s">
        <v>2337</v>
      </c>
    </row>
    <row r="148">
      <c r="B148" s="79">
        <v>7.0</v>
      </c>
      <c r="C148" s="79">
        <v>147.0</v>
      </c>
      <c r="D148" s="79" t="s">
        <v>1</v>
      </c>
      <c r="E148" s="79" t="s">
        <v>2338</v>
      </c>
    </row>
    <row r="149">
      <c r="B149" s="79">
        <v>8.0</v>
      </c>
      <c r="C149" s="79">
        <v>148.0</v>
      </c>
      <c r="D149" s="79" t="s">
        <v>3</v>
      </c>
      <c r="E149" s="79" t="s">
        <v>1041</v>
      </c>
    </row>
    <row r="150">
      <c r="B150" s="79">
        <v>9.0</v>
      </c>
      <c r="C150" s="79">
        <v>149.0</v>
      </c>
      <c r="D150" s="79" t="s">
        <v>22</v>
      </c>
      <c r="E150" s="79" t="s">
        <v>2339</v>
      </c>
    </row>
    <row r="151">
      <c r="B151" s="79">
        <v>10.0</v>
      </c>
      <c r="C151" s="79">
        <v>150.0</v>
      </c>
      <c r="D151" s="79" t="s">
        <v>59</v>
      </c>
      <c r="E151" s="79" t="s">
        <v>312</v>
      </c>
    </row>
    <row r="152">
      <c r="A152" s="79">
        <v>16.0</v>
      </c>
      <c r="B152" s="79">
        <v>1.0</v>
      </c>
      <c r="C152" s="79">
        <v>151.0</v>
      </c>
      <c r="D152" s="79" t="s">
        <v>59</v>
      </c>
      <c r="E152" s="79" t="s">
        <v>1141</v>
      </c>
    </row>
    <row r="153">
      <c r="B153" s="79">
        <v>2.0</v>
      </c>
      <c r="C153" s="79">
        <v>152.0</v>
      </c>
      <c r="D153" s="79" t="s">
        <v>22</v>
      </c>
      <c r="E153" s="653" t="s">
        <v>2340</v>
      </c>
    </row>
    <row r="154">
      <c r="B154" s="79">
        <v>3.0</v>
      </c>
      <c r="C154" s="79">
        <v>153.0</v>
      </c>
      <c r="D154" s="79" t="s">
        <v>3</v>
      </c>
      <c r="E154" s="653" t="s">
        <v>228</v>
      </c>
    </row>
    <row r="155">
      <c r="B155" s="79">
        <v>4.0</v>
      </c>
      <c r="C155" s="79">
        <v>154.0</v>
      </c>
      <c r="D155" s="79" t="s">
        <v>1</v>
      </c>
      <c r="E155" s="653" t="s">
        <v>2341</v>
      </c>
    </row>
    <row r="156">
      <c r="B156" s="79">
        <v>5.0</v>
      </c>
      <c r="C156" s="79">
        <v>155.0</v>
      </c>
      <c r="D156" s="79" t="s">
        <v>1061</v>
      </c>
      <c r="E156" s="653" t="s">
        <v>905</v>
      </c>
    </row>
    <row r="157">
      <c r="B157" s="79">
        <v>6.0</v>
      </c>
      <c r="C157" s="79">
        <v>156.0</v>
      </c>
      <c r="D157" s="79" t="s">
        <v>84</v>
      </c>
      <c r="E157" s="653" t="s">
        <v>2342</v>
      </c>
    </row>
    <row r="158">
      <c r="B158" s="79">
        <v>7.0</v>
      </c>
      <c r="C158" s="79">
        <v>157.0</v>
      </c>
      <c r="D158" s="79" t="s">
        <v>26</v>
      </c>
      <c r="E158" s="653" t="s">
        <v>1059</v>
      </c>
    </row>
    <row r="159">
      <c r="B159" s="79">
        <v>8.0</v>
      </c>
      <c r="C159" s="79">
        <v>158.0</v>
      </c>
      <c r="D159" s="79" t="s">
        <v>78</v>
      </c>
      <c r="E159" s="653" t="s">
        <v>2343</v>
      </c>
    </row>
    <row r="160">
      <c r="B160" s="79">
        <v>9.0</v>
      </c>
      <c r="C160" s="79">
        <v>159.0</v>
      </c>
      <c r="D160" s="79" t="s">
        <v>73</v>
      </c>
      <c r="E160" s="653" t="s">
        <v>2344</v>
      </c>
    </row>
    <row r="161">
      <c r="B161" s="79">
        <v>10.0</v>
      </c>
      <c r="C161" s="79">
        <v>160.0</v>
      </c>
      <c r="D161" s="79" t="s">
        <v>2</v>
      </c>
      <c r="E161" s="653" t="s">
        <v>2345</v>
      </c>
    </row>
    <row r="162">
      <c r="A162" s="79">
        <v>17.0</v>
      </c>
      <c r="B162" s="79">
        <v>1.0</v>
      </c>
      <c r="C162" s="79">
        <v>161.0</v>
      </c>
      <c r="D162" s="79" t="s">
        <v>2</v>
      </c>
      <c r="E162" s="653" t="s">
        <v>2346</v>
      </c>
    </row>
    <row r="163">
      <c r="B163" s="79">
        <v>2.0</v>
      </c>
      <c r="C163" s="79">
        <v>162.0</v>
      </c>
      <c r="D163" s="79" t="s">
        <v>73</v>
      </c>
      <c r="E163" s="654" t="s">
        <v>2347</v>
      </c>
      <c r="M163" s="655"/>
    </row>
    <row r="164">
      <c r="B164" s="79">
        <v>3.0</v>
      </c>
      <c r="C164" s="79">
        <v>163.0</v>
      </c>
      <c r="D164" s="79" t="s">
        <v>78</v>
      </c>
      <c r="E164" s="656" t="s">
        <v>2348</v>
      </c>
      <c r="M164" s="655"/>
    </row>
    <row r="165">
      <c r="B165" s="79">
        <v>4.0</v>
      </c>
      <c r="C165" s="79">
        <v>164.0</v>
      </c>
      <c r="D165" s="79" t="s">
        <v>26</v>
      </c>
      <c r="E165" s="656" t="s">
        <v>1240</v>
      </c>
      <c r="M165" s="655"/>
    </row>
    <row r="166">
      <c r="B166" s="79">
        <v>5.0</v>
      </c>
      <c r="C166" s="79">
        <v>165.0</v>
      </c>
      <c r="D166" s="79" t="s">
        <v>84</v>
      </c>
      <c r="E166" s="656" t="s">
        <v>2349</v>
      </c>
      <c r="M166" s="655"/>
    </row>
    <row r="167">
      <c r="B167" s="79">
        <v>6.0</v>
      </c>
      <c r="C167" s="79">
        <v>166.0</v>
      </c>
      <c r="D167" s="79" t="s">
        <v>1061</v>
      </c>
      <c r="E167" s="656" t="s">
        <v>2350</v>
      </c>
      <c r="M167" s="655"/>
    </row>
    <row r="168">
      <c r="B168" s="79">
        <v>7.0</v>
      </c>
      <c r="C168" s="79">
        <v>167.0</v>
      </c>
      <c r="D168" s="79" t="s">
        <v>1</v>
      </c>
      <c r="E168" s="656" t="s">
        <v>1241</v>
      </c>
      <c r="M168" s="652"/>
    </row>
    <row r="169">
      <c r="B169" s="79">
        <v>8.0</v>
      </c>
      <c r="C169" s="79">
        <v>168.0</v>
      </c>
      <c r="D169" s="79" t="s">
        <v>3</v>
      </c>
      <c r="E169" s="657" t="s">
        <v>2351</v>
      </c>
      <c r="M169" s="655"/>
    </row>
    <row r="170">
      <c r="B170" s="79">
        <v>9.0</v>
      </c>
      <c r="C170" s="79">
        <v>169.0</v>
      </c>
      <c r="D170" s="79" t="s">
        <v>22</v>
      </c>
      <c r="E170" s="656" t="s">
        <v>2352</v>
      </c>
      <c r="M170" s="655"/>
    </row>
    <row r="171">
      <c r="B171" s="79">
        <v>10.0</v>
      </c>
      <c r="C171" s="79">
        <v>170.0</v>
      </c>
      <c r="D171" s="79" t="s">
        <v>59</v>
      </c>
      <c r="E171" s="656" t="s">
        <v>2353</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4" max="4" width="12.88"/>
    <col customWidth="1" min="5" max="5" width="17.25"/>
    <col customWidth="1" min="6" max="6" width="4.13"/>
    <col customWidth="1" min="7" max="7" width="25.75"/>
    <col customWidth="1" min="8" max="8" width="18.75"/>
    <col customWidth="1" min="9" max="9" width="17.25"/>
    <col customWidth="1" min="11" max="11" width="17.63"/>
    <col customWidth="1" min="12" max="12" width="5.63"/>
    <col customWidth="1" min="13" max="13" width="13.88"/>
    <col customWidth="1" min="14" max="14" width="13.13"/>
  </cols>
  <sheetData>
    <row r="1">
      <c r="A1" s="658" t="s">
        <v>2354</v>
      </c>
      <c r="B1" s="139"/>
      <c r="C1" s="139"/>
      <c r="D1" s="139"/>
      <c r="E1" s="659"/>
      <c r="F1" s="660" t="s">
        <v>2355</v>
      </c>
      <c r="G1" s="661" t="s">
        <v>2356</v>
      </c>
      <c r="H1" s="662" t="s">
        <v>2357</v>
      </c>
      <c r="I1" s="181" t="s">
        <v>2358</v>
      </c>
      <c r="J1" s="663"/>
      <c r="K1" s="664" t="s">
        <v>2359</v>
      </c>
      <c r="L1" s="665" t="s">
        <v>2046</v>
      </c>
      <c r="M1" s="181" t="s">
        <v>2360</v>
      </c>
      <c r="N1" s="181" t="s">
        <v>2361</v>
      </c>
      <c r="O1" s="97"/>
      <c r="P1" s="97"/>
      <c r="Q1" s="97"/>
      <c r="R1" s="97"/>
      <c r="S1" s="97"/>
      <c r="T1" s="97"/>
      <c r="U1" s="97"/>
      <c r="V1" s="97"/>
      <c r="W1" s="97"/>
      <c r="X1" s="97"/>
      <c r="Y1" s="97"/>
      <c r="Z1" s="97"/>
      <c r="AA1" s="97"/>
    </row>
    <row r="2">
      <c r="E2" s="666" t="s">
        <v>2362</v>
      </c>
      <c r="F2" s="579">
        <v>1.0</v>
      </c>
      <c r="G2" s="41" t="s">
        <v>2050</v>
      </c>
      <c r="H2" s="667">
        <f>VLOOKUP(G2, 'Player rankings (Lawson Ranks)'!A:B, 2, FALSE)</f>
        <v>10</v>
      </c>
      <c r="I2" s="41" t="s">
        <v>2363</v>
      </c>
      <c r="J2" s="60">
        <f>VLOOKUP(I2, 'Player rankings (Lawson Ranks)'!A:B, 2, FALSE)</f>
        <v>163</v>
      </c>
      <c r="K2" s="668"/>
      <c r="L2" s="216">
        <v>1.0</v>
      </c>
    </row>
    <row r="3">
      <c r="A3" s="343" t="s">
        <v>2364</v>
      </c>
      <c r="E3" s="579" t="s">
        <v>2365</v>
      </c>
      <c r="F3" s="579">
        <v>2.0</v>
      </c>
      <c r="G3" s="41" t="s">
        <v>288</v>
      </c>
      <c r="H3" s="667">
        <f>VLOOKUP(G3, 'Player rankings (Lawson Ranks)'!A:B, 2, FALSE)</f>
        <v>12</v>
      </c>
      <c r="I3" s="41" t="s">
        <v>2366</v>
      </c>
      <c r="J3" s="60">
        <f>VLOOKUP(I3, 'Player rankings (Lawson Ranks)'!A:B, 2, FALSE)</f>
        <v>191</v>
      </c>
      <c r="K3" s="668"/>
      <c r="L3" s="216">
        <v>2.0</v>
      </c>
    </row>
    <row r="4">
      <c r="A4" s="79" t="s">
        <v>2367</v>
      </c>
      <c r="E4" s="669"/>
      <c r="F4" s="579">
        <v>3.0</v>
      </c>
      <c r="G4" s="41" t="s">
        <v>294</v>
      </c>
      <c r="H4" s="667">
        <f>VLOOKUP(G4, 'Player rankings (Lawson Ranks)'!A:B, 2, FALSE)</f>
        <v>13</v>
      </c>
      <c r="I4" s="41" t="s">
        <v>2368</v>
      </c>
      <c r="J4" s="60">
        <f>VLOOKUP(I4, 'Player rankings (Lawson Ranks)'!A:B, 2, FALSE)</f>
        <v>195</v>
      </c>
      <c r="K4" s="668"/>
      <c r="L4" s="216">
        <v>3.0</v>
      </c>
    </row>
    <row r="5">
      <c r="E5" s="669"/>
      <c r="F5" s="579">
        <v>4.0</v>
      </c>
      <c r="G5" s="79" t="s">
        <v>2148</v>
      </c>
      <c r="H5" s="667">
        <f>VLOOKUP(G5, 'Player rankings (Lawson Ranks)'!A:B, 2, FALSE)</f>
        <v>31</v>
      </c>
      <c r="I5" s="41" t="s">
        <v>907</v>
      </c>
      <c r="J5" s="60">
        <f>VLOOKUP(I5, 'Player rankings (Lawson Ranks)'!A:B, 2, FALSE)</f>
        <v>203</v>
      </c>
      <c r="K5" s="668"/>
      <c r="L5" s="216">
        <v>4.0</v>
      </c>
    </row>
    <row r="6">
      <c r="A6" s="343" t="s">
        <v>2369</v>
      </c>
      <c r="E6" s="669"/>
      <c r="F6" s="579">
        <v>5.0</v>
      </c>
      <c r="G6" s="41" t="s">
        <v>2370</v>
      </c>
      <c r="H6" s="667">
        <f>VLOOKUP(G6, 'Player rankings (Lawson Ranks)'!A:B, 2, FALSE)</f>
        <v>40</v>
      </c>
      <c r="I6" s="41" t="s">
        <v>2371</v>
      </c>
      <c r="J6" s="60">
        <f>VLOOKUP(I6, 'Player rankings (Lawson Ranks)'!A:B, 2, FALSE)</f>
        <v>210</v>
      </c>
      <c r="K6" s="668"/>
      <c r="L6" s="216">
        <v>5.0</v>
      </c>
    </row>
    <row r="7">
      <c r="A7" s="346" t="s">
        <v>2372</v>
      </c>
      <c r="E7" s="669"/>
      <c r="F7" s="579">
        <v>6.0</v>
      </c>
      <c r="G7" s="41" t="s">
        <v>2233</v>
      </c>
      <c r="H7" s="667">
        <f>VLOOKUP(G7, 'Player rankings (Lawson Ranks)'!A:B, 2, FALSE)</f>
        <v>62</v>
      </c>
      <c r="I7" s="41" t="s">
        <v>220</v>
      </c>
      <c r="J7" s="60">
        <f>VLOOKUP(I7, 'Player rankings (Lawson Ranks)'!A:B, 2, FALSE)</f>
        <v>211</v>
      </c>
      <c r="K7" s="668"/>
      <c r="L7" s="216">
        <v>6.0</v>
      </c>
    </row>
    <row r="8">
      <c r="A8" s="346" t="s">
        <v>2373</v>
      </c>
      <c r="E8" s="669"/>
      <c r="F8" s="579">
        <v>7.0</v>
      </c>
      <c r="G8" s="41" t="s">
        <v>2124</v>
      </c>
      <c r="H8" s="667">
        <f>VLOOKUP(G8, 'Player rankings (Lawson Ranks)'!A:B, 2, FALSE)</f>
        <v>63</v>
      </c>
      <c r="I8" s="41" t="s">
        <v>1251</v>
      </c>
      <c r="J8" s="60">
        <f>VLOOKUP(I8, 'Player rankings (Lawson Ranks)'!A:B, 2, FALSE)</f>
        <v>212</v>
      </c>
      <c r="K8" s="668"/>
      <c r="L8" s="216">
        <v>7.0</v>
      </c>
    </row>
    <row r="9">
      <c r="A9" s="346" t="s">
        <v>2374</v>
      </c>
      <c r="E9" s="669"/>
      <c r="F9" s="579">
        <v>8.0</v>
      </c>
      <c r="G9" s="41" t="s">
        <v>2119</v>
      </c>
      <c r="H9" s="667">
        <f>VLOOKUP(G9, 'Player rankings (Lawson Ranks)'!A:B, 2, FALSE)</f>
        <v>66</v>
      </c>
      <c r="I9" s="41" t="s">
        <v>2375</v>
      </c>
      <c r="J9" s="60">
        <f>VLOOKUP(I9, 'Player rankings (Lawson Ranks)'!A:B, 2, FALSE)</f>
        <v>220</v>
      </c>
      <c r="K9" s="668"/>
      <c r="L9" s="216">
        <v>8.0</v>
      </c>
    </row>
    <row r="10">
      <c r="A10" s="346" t="s">
        <v>2376</v>
      </c>
      <c r="E10" s="669"/>
      <c r="F10" s="579">
        <v>9.0</v>
      </c>
      <c r="G10" s="41" t="s">
        <v>269</v>
      </c>
      <c r="H10" s="667">
        <f>VLOOKUP(G10, 'Player rankings (Lawson Ranks)'!A:B, 2, FALSE)</f>
        <v>67</v>
      </c>
      <c r="I10" s="41" t="s">
        <v>2377</v>
      </c>
      <c r="J10" s="60">
        <f>VLOOKUP(I10, 'Player rankings (Lawson Ranks)'!A:B, 2, FALSE)</f>
        <v>222</v>
      </c>
      <c r="K10" s="668"/>
      <c r="L10" s="216">
        <v>9.0</v>
      </c>
    </row>
    <row r="11">
      <c r="E11" s="669"/>
      <c r="F11" s="579">
        <v>10.0</v>
      </c>
      <c r="G11" s="41" t="s">
        <v>2291</v>
      </c>
      <c r="H11" s="667">
        <f>VLOOKUP(G11, 'Player rankings (Lawson Ranks)'!A:B, 2, FALSE)</f>
        <v>82</v>
      </c>
      <c r="I11" s="41" t="s">
        <v>2378</v>
      </c>
      <c r="J11" s="60">
        <f>VLOOKUP(I11, 'Player rankings (Lawson Ranks)'!A:B, 2, FALSE)</f>
        <v>229</v>
      </c>
      <c r="K11" s="668"/>
      <c r="L11" s="216">
        <v>10.0</v>
      </c>
    </row>
    <row r="12">
      <c r="A12" s="343" t="s">
        <v>2379</v>
      </c>
      <c r="E12" s="669"/>
      <c r="F12" s="579">
        <v>11.0</v>
      </c>
      <c r="G12" s="41" t="s">
        <v>1821</v>
      </c>
      <c r="H12" s="667">
        <f>VLOOKUP(G12, 'Player rankings (Lawson Ranks)'!A:B, 2, FALSE)</f>
        <v>88</v>
      </c>
      <c r="I12" s="41" t="s">
        <v>2340</v>
      </c>
      <c r="J12" s="60">
        <f>VLOOKUP(I12, 'Player rankings (Lawson Ranks)'!A:B, 2, FALSE)</f>
        <v>230</v>
      </c>
      <c r="K12" s="668"/>
      <c r="L12" s="216">
        <v>11.0</v>
      </c>
    </row>
    <row r="13">
      <c r="A13" s="346" t="s">
        <v>2380</v>
      </c>
      <c r="E13" s="669"/>
      <c r="F13" s="579">
        <v>12.0</v>
      </c>
      <c r="G13" s="41" t="s">
        <v>2381</v>
      </c>
      <c r="H13" s="667">
        <f>VLOOKUP(G13, 'Player rankings (Lawson Ranks)'!A:B, 2, FALSE)</f>
        <v>89</v>
      </c>
      <c r="I13" s="41" t="s">
        <v>2382</v>
      </c>
      <c r="J13" s="60">
        <f>VLOOKUP(I13, 'Player rankings (Lawson Ranks)'!A:B, 2, FALSE)</f>
        <v>231</v>
      </c>
      <c r="K13" s="668"/>
      <c r="L13" s="216">
        <v>12.0</v>
      </c>
    </row>
    <row r="14">
      <c r="A14" s="346" t="s">
        <v>2383</v>
      </c>
      <c r="E14" s="669"/>
      <c r="F14" s="579">
        <v>13.0</v>
      </c>
      <c r="G14" s="41" t="s">
        <v>2115</v>
      </c>
      <c r="H14" s="667">
        <f>VLOOKUP(G14, 'Player rankings (Lawson Ranks)'!A:B, 2, FALSE)</f>
        <v>94</v>
      </c>
      <c r="I14" s="41" t="s">
        <v>225</v>
      </c>
      <c r="J14" s="60">
        <f>VLOOKUP(I14, 'Player rankings (Lawson Ranks)'!A:B, 2, FALSE)</f>
        <v>235</v>
      </c>
      <c r="K14" s="668"/>
      <c r="L14" s="216">
        <v>13.0</v>
      </c>
    </row>
    <row r="15">
      <c r="A15" s="346" t="s">
        <v>2384</v>
      </c>
      <c r="E15" s="669"/>
      <c r="F15" s="579">
        <v>14.0</v>
      </c>
      <c r="G15" s="41" t="s">
        <v>2307</v>
      </c>
      <c r="H15" s="667">
        <f>VLOOKUP(G15, 'Player rankings (Lawson Ranks)'!A:B, 2, FALSE)</f>
        <v>100</v>
      </c>
      <c r="I15" s="41" t="s">
        <v>908</v>
      </c>
      <c r="J15" s="60">
        <f>VLOOKUP(I15, 'Player rankings (Lawson Ranks)'!A:B, 2, FALSE)</f>
        <v>236</v>
      </c>
      <c r="K15" s="668"/>
      <c r="L15" s="216">
        <v>14.0</v>
      </c>
    </row>
    <row r="16">
      <c r="E16" s="669"/>
      <c r="F16" s="579">
        <v>15.0</v>
      </c>
      <c r="G16" s="41" t="s">
        <v>322</v>
      </c>
      <c r="H16" s="667">
        <f>VLOOKUP(G16, 'Player rankings (Lawson Ranks)'!A:B, 2, FALSE)</f>
        <v>102</v>
      </c>
      <c r="I16" s="41" t="s">
        <v>2385</v>
      </c>
      <c r="J16" s="60">
        <f>VLOOKUP(I16, 'Player rankings (Lawson Ranks)'!A:B, 2, FALSE)</f>
        <v>239</v>
      </c>
      <c r="K16" s="668"/>
      <c r="L16" s="216">
        <v>15.0</v>
      </c>
    </row>
    <row r="17">
      <c r="A17" s="343" t="s">
        <v>2386</v>
      </c>
      <c r="E17" s="669"/>
      <c r="F17" s="579">
        <v>16.0</v>
      </c>
      <c r="G17" s="41" t="s">
        <v>1240</v>
      </c>
      <c r="H17" s="667">
        <f>VLOOKUP(G17, 'Player rankings (Lawson Ranks)'!A:B, 2, FALSE)</f>
        <v>108</v>
      </c>
      <c r="I17" s="41" t="s">
        <v>921</v>
      </c>
      <c r="J17" s="60">
        <f>VLOOKUP(I17, 'Player rankings (Lawson Ranks)'!A:B, 2, FALSE)</f>
        <v>241</v>
      </c>
      <c r="K17" s="668"/>
      <c r="L17" s="216">
        <v>16.0</v>
      </c>
    </row>
    <row r="18">
      <c r="A18" s="346" t="s">
        <v>2387</v>
      </c>
      <c r="E18" s="669"/>
      <c r="F18" s="579">
        <v>17.0</v>
      </c>
      <c r="G18" s="79" t="s">
        <v>2388</v>
      </c>
      <c r="H18" s="667">
        <f>VLOOKUP(G18, 'Player rankings (Lawson Ranks)'!A:B, 2, FALSE)</f>
        <v>116</v>
      </c>
      <c r="I18" s="41" t="s">
        <v>1113</v>
      </c>
      <c r="J18" s="60">
        <f>VLOOKUP(I18, 'Player rankings (Lawson Ranks)'!A:B, 2, FALSE)</f>
        <v>242</v>
      </c>
      <c r="K18" s="668"/>
      <c r="L18" s="216">
        <v>17.0</v>
      </c>
    </row>
    <row r="19">
      <c r="E19" s="669"/>
      <c r="F19" s="579">
        <v>18.0</v>
      </c>
      <c r="G19" s="41" t="s">
        <v>2389</v>
      </c>
      <c r="H19" s="667">
        <f>VLOOKUP(G19, 'Player rankings (Lawson Ranks)'!A:B, 2, FALSE)</f>
        <v>118</v>
      </c>
      <c r="I19" s="41" t="s">
        <v>69</v>
      </c>
      <c r="J19" s="60">
        <f>VLOOKUP(I19, 'Player rankings (Lawson Ranks)'!A:B, 2, FALSE)</f>
        <v>244</v>
      </c>
      <c r="K19" s="668"/>
      <c r="L19" s="216">
        <v>18.0</v>
      </c>
    </row>
    <row r="20">
      <c r="E20" s="669"/>
      <c r="F20" s="579">
        <v>19.0</v>
      </c>
      <c r="G20" s="41" t="s">
        <v>1007</v>
      </c>
      <c r="H20" s="667">
        <f>VLOOKUP(G20, 'Player rankings (Lawson Ranks)'!A:B, 2, FALSE)</f>
        <v>119</v>
      </c>
      <c r="I20" s="41" t="s">
        <v>2194</v>
      </c>
      <c r="J20" s="60">
        <f>VLOOKUP(I20, 'Player rankings (Lawson Ranks)'!A:B, 2, FALSE)</f>
        <v>253</v>
      </c>
      <c r="K20" s="668"/>
      <c r="L20" s="216">
        <v>19.0</v>
      </c>
    </row>
    <row r="21">
      <c r="A21" s="343" t="s">
        <v>2390</v>
      </c>
      <c r="E21" s="669"/>
      <c r="F21" s="579">
        <v>20.0</v>
      </c>
      <c r="G21" s="41" t="s">
        <v>2160</v>
      </c>
      <c r="H21" s="667">
        <f>VLOOKUP(G21, 'Player rankings (Lawson Ranks)'!A:B, 2, FALSE)</f>
        <v>127</v>
      </c>
      <c r="I21" s="41" t="s">
        <v>2391</v>
      </c>
      <c r="J21" s="60">
        <f>VLOOKUP(I21, 'Player rankings (Lawson Ranks)'!A:B, 2, FALSE)</f>
        <v>254</v>
      </c>
      <c r="K21" s="668"/>
      <c r="L21" s="216">
        <v>20.0</v>
      </c>
    </row>
    <row r="22">
      <c r="A22" s="346" t="s">
        <v>2392</v>
      </c>
      <c r="E22" s="669"/>
      <c r="F22" s="579">
        <v>21.0</v>
      </c>
      <c r="G22" s="79" t="s">
        <v>2393</v>
      </c>
      <c r="H22" s="667">
        <f>VLOOKUP(G22, 'Player rankings (Lawson Ranks)'!A:B, 2, FALSE)</f>
        <v>136</v>
      </c>
      <c r="I22" s="41" t="s">
        <v>2296</v>
      </c>
      <c r="J22" s="60">
        <f>VLOOKUP(I22, 'Player rankings (Lawson Ranks)'!A:B, 2, FALSE)</f>
        <v>255</v>
      </c>
      <c r="K22" s="668"/>
      <c r="L22" s="216">
        <v>21.0</v>
      </c>
    </row>
    <row r="23">
      <c r="A23" s="79" t="s">
        <v>2394</v>
      </c>
      <c r="E23" s="669"/>
      <c r="F23" s="579">
        <v>22.0</v>
      </c>
      <c r="G23" s="41" t="s">
        <v>2287</v>
      </c>
      <c r="H23" s="667">
        <f>VLOOKUP(G23, 'Player rankings (Lawson Ranks)'!A:B, 2, FALSE)</f>
        <v>143</v>
      </c>
      <c r="I23" s="41" t="s">
        <v>260</v>
      </c>
      <c r="J23" s="60">
        <f>VLOOKUP(I23, 'Player rankings (Lawson Ranks)'!A:B, 2, FALSE)</f>
        <v>257</v>
      </c>
      <c r="K23" s="668"/>
      <c r="L23" s="216">
        <v>22.0</v>
      </c>
    </row>
    <row r="24">
      <c r="E24" s="669"/>
      <c r="F24" s="579">
        <v>23.0</v>
      </c>
      <c r="G24" s="41" t="s">
        <v>2395</v>
      </c>
      <c r="H24" s="667">
        <f>VLOOKUP(G24, 'Player rankings (Lawson Ranks)'!A:B, 2, FALSE)</f>
        <v>147</v>
      </c>
      <c r="I24" s="41" t="s">
        <v>2257</v>
      </c>
      <c r="J24" s="60">
        <f>VLOOKUP(I24, 'Player rankings (Lawson Ranks)'!A:B, 2, FALSE)</f>
        <v>259</v>
      </c>
      <c r="K24" s="668"/>
      <c r="L24" s="86"/>
    </row>
    <row r="25">
      <c r="A25" s="343" t="s">
        <v>2396</v>
      </c>
      <c r="E25" s="669"/>
      <c r="F25" s="579">
        <v>24.0</v>
      </c>
      <c r="G25" s="41" t="s">
        <v>2397</v>
      </c>
      <c r="H25" s="667">
        <f>VLOOKUP(G25, 'Player rankings (Lawson Ranks)'!A:B, 2, FALSE)</f>
        <v>158</v>
      </c>
      <c r="I25" s="41" t="s">
        <v>273</v>
      </c>
      <c r="J25" s="60">
        <f>VLOOKUP(I25, 'Player rankings (Lawson Ranks)'!A:B, 2, FALSE)</f>
        <v>261</v>
      </c>
      <c r="K25" s="668"/>
      <c r="L25" s="86"/>
    </row>
    <row r="26">
      <c r="A26" s="346" t="s">
        <v>2398</v>
      </c>
      <c r="E26" s="669"/>
      <c r="F26" s="579">
        <v>25.0</v>
      </c>
      <c r="G26" s="41" t="s">
        <v>2178</v>
      </c>
      <c r="H26" s="667">
        <f>VLOOKUP(G26, 'Player rankings (Lawson Ranks)'!A:B, 2, FALSE)</f>
        <v>160</v>
      </c>
      <c r="I26" s="41" t="s">
        <v>2399</v>
      </c>
      <c r="J26" s="60">
        <f>VLOOKUP(I26, 'Player rankings (Lawson Ranks)'!A:B, 2, FALSE)</f>
        <v>267</v>
      </c>
      <c r="K26" s="668"/>
      <c r="L26" s="86"/>
    </row>
    <row r="27">
      <c r="E27" s="669"/>
      <c r="F27" s="579">
        <v>26.0</v>
      </c>
      <c r="G27" s="41" t="s">
        <v>268</v>
      </c>
      <c r="H27" s="667">
        <f>VLOOKUP(G27, 'Player rankings (Lawson Ranks)'!A:B, 2, FALSE)</f>
        <v>167</v>
      </c>
      <c r="I27" s="41" t="s">
        <v>2273</v>
      </c>
      <c r="J27" s="60">
        <f>VLOOKUP(I27, 'Player rankings (Lawson Ranks)'!A:B, 2, FALSE)</f>
        <v>269</v>
      </c>
      <c r="K27" s="668"/>
      <c r="L27" s="86"/>
    </row>
    <row r="28">
      <c r="E28" s="669"/>
      <c r="F28" s="579">
        <v>27.0</v>
      </c>
      <c r="G28" s="41" t="s">
        <v>2182</v>
      </c>
      <c r="H28" s="667">
        <f>VLOOKUP(G28, 'Player rankings (Lawson Ranks)'!A:B, 2, FALSE)</f>
        <v>176</v>
      </c>
      <c r="I28" s="41" t="s">
        <v>2400</v>
      </c>
      <c r="J28" s="60">
        <f>VLOOKUP(I28, 'Player rankings (Lawson Ranks)'!A:B, 2, FALSE)</f>
        <v>274</v>
      </c>
      <c r="K28" s="668"/>
      <c r="L28" s="86"/>
    </row>
    <row r="29">
      <c r="E29" s="669"/>
      <c r="F29" s="579">
        <v>28.0</v>
      </c>
      <c r="G29" s="79" t="s">
        <v>2401</v>
      </c>
      <c r="H29" s="667">
        <f>VLOOKUP(G29, 'Player rankings (Lawson Ranks)'!A:B, 2, FALSE)</f>
        <v>182</v>
      </c>
      <c r="I29" s="41" t="s">
        <v>2352</v>
      </c>
      <c r="J29" s="60">
        <f>VLOOKUP(I29, 'Player rankings (Lawson Ranks)'!A:B, 2, FALSE)</f>
        <v>275</v>
      </c>
      <c r="K29" s="668"/>
      <c r="L29" s="86"/>
    </row>
    <row r="30">
      <c r="E30" s="669"/>
      <c r="F30" s="579">
        <v>29.0</v>
      </c>
      <c r="G30" s="41" t="s">
        <v>1126</v>
      </c>
      <c r="H30" s="667">
        <f>VLOOKUP(G30, 'Player rankings (Lawson Ranks)'!A:B, 2, FALSE)</f>
        <v>196</v>
      </c>
      <c r="I30" s="41" t="s">
        <v>2402</v>
      </c>
      <c r="J30" s="60">
        <f>VLOOKUP(I30, 'Player rankings (Lawson Ranks)'!A:B, 2, FALSE)</f>
        <v>278</v>
      </c>
      <c r="K30" s="668"/>
      <c r="L30" s="86"/>
    </row>
    <row r="31">
      <c r="E31" s="669"/>
      <c r="F31" s="579">
        <v>30.0</v>
      </c>
      <c r="G31" s="41" t="s">
        <v>2270</v>
      </c>
      <c r="H31" s="667">
        <f>VLOOKUP(G31, 'Player rankings (Lawson Ranks)'!A:B, 2, FALSE)</f>
        <v>200</v>
      </c>
      <c r="I31" s="41" t="s">
        <v>2403</v>
      </c>
      <c r="J31" s="60">
        <f>VLOOKUP(I31, 'Player rankings (Lawson Ranks)'!A:B, 2, FALSE)</f>
        <v>279</v>
      </c>
      <c r="K31" s="668"/>
      <c r="L31" s="86"/>
    </row>
    <row r="32">
      <c r="E32" s="669"/>
      <c r="F32" s="579">
        <v>31.0</v>
      </c>
      <c r="G32" s="41" t="s">
        <v>927</v>
      </c>
      <c r="H32" s="667">
        <f>VLOOKUP(G32, 'Player rankings (Lawson Ranks)'!A:B, 2, FALSE)</f>
        <v>202</v>
      </c>
      <c r="I32" s="41" t="s">
        <v>2404</v>
      </c>
      <c r="J32" s="60">
        <f>VLOOKUP(I32, 'Player rankings (Lawson Ranks)'!A:B, 2, FALSE)</f>
        <v>280</v>
      </c>
      <c r="K32" s="668"/>
      <c r="L32" s="86"/>
    </row>
    <row r="33">
      <c r="E33" s="669"/>
      <c r="F33" s="579">
        <v>32.0</v>
      </c>
      <c r="G33" s="41" t="s">
        <v>2405</v>
      </c>
      <c r="H33" s="667">
        <f>VLOOKUP(G33, 'Player rankings (Lawson Ranks)'!A:B, 2, FALSE)</f>
        <v>207</v>
      </c>
      <c r="I33" s="41" t="s">
        <v>2406</v>
      </c>
      <c r="J33" s="60">
        <f>VLOOKUP(I33, 'Player rankings (Lawson Ranks)'!A:B, 2, FALSE)</f>
        <v>284</v>
      </c>
      <c r="K33" s="668"/>
      <c r="L33" s="86"/>
    </row>
    <row r="34">
      <c r="E34" s="669"/>
      <c r="F34" s="579">
        <v>33.0</v>
      </c>
      <c r="G34" s="41" t="s">
        <v>80</v>
      </c>
      <c r="H34" s="667">
        <f>VLOOKUP(G34, 'Player rankings (Lawson Ranks)'!A:B, 2, FALSE)</f>
        <v>216</v>
      </c>
      <c r="I34" s="41" t="s">
        <v>2407</v>
      </c>
      <c r="J34" s="60">
        <f>VLOOKUP(I34, 'Player rankings (Lawson Ranks)'!A:B, 2, FALSE)</f>
        <v>287</v>
      </c>
      <c r="K34" s="668"/>
      <c r="L34" s="86"/>
    </row>
    <row r="35">
      <c r="E35" s="669"/>
      <c r="F35" s="579">
        <v>34.0</v>
      </c>
      <c r="G35" s="307" t="s">
        <v>2408</v>
      </c>
      <c r="H35" s="667">
        <f>VLOOKUP(G35, 'Player rankings (Lawson Ranks)'!A:B, 2, FALSE)</f>
        <v>233</v>
      </c>
      <c r="I35" s="41" t="s">
        <v>2409</v>
      </c>
      <c r="J35" s="60">
        <f>VLOOKUP(I35, 'Player rankings (Lawson Ranks)'!A:B, 2, FALSE)</f>
        <v>288</v>
      </c>
      <c r="K35" s="668"/>
      <c r="L35" s="86"/>
    </row>
    <row r="36">
      <c r="E36" s="669"/>
      <c r="F36" s="579">
        <v>35.0</v>
      </c>
      <c r="G36" s="41" t="s">
        <v>2410</v>
      </c>
      <c r="H36" s="667">
        <f>VLOOKUP(G36, 'Player rankings (Lawson Ranks)'!A:B, 2, FALSE)</f>
        <v>234</v>
      </c>
      <c r="I36" s="41" t="s">
        <v>2411</v>
      </c>
      <c r="J36" s="60">
        <f>VLOOKUP(I36, 'Player rankings (Lawson Ranks)'!A:B, 2, FALSE)</f>
        <v>290</v>
      </c>
      <c r="K36" s="668"/>
      <c r="L36" s="86"/>
    </row>
    <row r="37">
      <c r="E37" s="669"/>
      <c r="F37" s="579">
        <v>36.0</v>
      </c>
      <c r="G37" s="41" t="s">
        <v>2412</v>
      </c>
      <c r="H37" s="667">
        <f>VLOOKUP(G37, 'Player rankings (Lawson Ranks)'!A:B, 2, FALSE)</f>
        <v>237</v>
      </c>
      <c r="I37" s="41" t="s">
        <v>2193</v>
      </c>
      <c r="J37" s="60">
        <f>VLOOKUP(I37, 'Player rankings (Lawson Ranks)'!A:B, 2, FALSE)</f>
        <v>291</v>
      </c>
      <c r="K37" s="668"/>
      <c r="L37" s="86"/>
    </row>
    <row r="38">
      <c r="E38" s="669"/>
      <c r="F38" s="579">
        <v>37.0</v>
      </c>
      <c r="G38" s="41" t="s">
        <v>2413</v>
      </c>
      <c r="H38" s="667">
        <f>VLOOKUP(G38, 'Player rankings (Lawson Ranks)'!A:B, 2, FALSE)</f>
        <v>238</v>
      </c>
      <c r="I38" s="41" t="s">
        <v>2414</v>
      </c>
      <c r="J38" s="60">
        <f>VLOOKUP(I38, 'Player rankings (Lawson Ranks)'!A:B, 2, FALSE)</f>
        <v>293</v>
      </c>
      <c r="K38" s="668"/>
      <c r="L38" s="86"/>
    </row>
    <row r="39">
      <c r="E39" s="669"/>
      <c r="F39" s="579">
        <v>38.0</v>
      </c>
      <c r="G39" s="41" t="s">
        <v>2198</v>
      </c>
      <c r="H39" s="667">
        <f>VLOOKUP(G39, 'Player rankings (Lawson Ranks)'!A:B, 2, FALSE)</f>
        <v>243</v>
      </c>
      <c r="I39" s="41" t="s">
        <v>2415</v>
      </c>
      <c r="J39" s="60">
        <f>VLOOKUP(I39, 'Player rankings (Lawson Ranks)'!A:B, 2, FALSE)</f>
        <v>294</v>
      </c>
      <c r="K39" s="668"/>
      <c r="L39" s="86"/>
    </row>
    <row r="40">
      <c r="E40" s="669"/>
      <c r="F40" s="579">
        <v>39.0</v>
      </c>
      <c r="G40" s="41" t="s">
        <v>2416</v>
      </c>
      <c r="H40" s="667">
        <f>VLOOKUP(G40, 'Player rankings (Lawson Ranks)'!A:B, 2, FALSE)</f>
        <v>246</v>
      </c>
      <c r="I40" s="41" t="s">
        <v>2292</v>
      </c>
      <c r="J40" s="60">
        <f>VLOOKUP(I40, 'Player rankings (Lawson Ranks)'!A:B, 2, FALSE)</f>
        <v>296</v>
      </c>
      <c r="K40" s="668"/>
      <c r="L40" s="86"/>
    </row>
    <row r="41">
      <c r="E41" s="669"/>
      <c r="F41" s="579">
        <v>40.0</v>
      </c>
      <c r="G41" s="41" t="s">
        <v>2417</v>
      </c>
      <c r="H41" s="667">
        <f>VLOOKUP(G41, 'Player rankings (Lawson Ranks)'!A:B, 2, FALSE)</f>
        <v>249</v>
      </c>
      <c r="I41" s="41" t="s">
        <v>916</v>
      </c>
      <c r="J41" s="60">
        <f>VLOOKUP(I41, 'Player rankings (Lawson Ranks)'!A:B, 2, FALSE)</f>
        <v>297</v>
      </c>
      <c r="K41" s="668"/>
      <c r="L41" s="86"/>
    </row>
    <row r="42">
      <c r="E42" s="669"/>
      <c r="F42" s="579">
        <v>41.0</v>
      </c>
      <c r="G42" s="41" t="s">
        <v>816</v>
      </c>
      <c r="H42" s="667">
        <f>VLOOKUP(G42, 'Player rankings (Lawson Ranks)'!A:B, 2, FALSE)</f>
        <v>264</v>
      </c>
      <c r="I42" s="41" t="s">
        <v>72</v>
      </c>
      <c r="J42" s="60">
        <f>VLOOKUP(I42, 'Player rankings (Lawson Ranks)'!A:B, 2, FALSE)</f>
        <v>298</v>
      </c>
      <c r="K42" s="668"/>
      <c r="L42" s="86"/>
    </row>
    <row r="43">
      <c r="E43" s="669"/>
      <c r="F43" s="579">
        <v>42.0</v>
      </c>
      <c r="G43" s="79" t="s">
        <v>2418</v>
      </c>
      <c r="H43" s="667">
        <f>VLOOKUP(G43, 'Player rankings (Lawson Ranks)'!A:B, 2, FALSE)</f>
        <v>268</v>
      </c>
      <c r="I43" s="41" t="s">
        <v>846</v>
      </c>
      <c r="J43" s="60">
        <f>VLOOKUP(I43, 'Player rankings (Lawson Ranks)'!A:B, 2, FALSE)</f>
        <v>300</v>
      </c>
      <c r="K43" s="668"/>
      <c r="L43" s="86"/>
    </row>
    <row r="44">
      <c r="E44" s="669"/>
      <c r="F44" s="579">
        <v>43.0</v>
      </c>
      <c r="G44" s="41" t="s">
        <v>2419</v>
      </c>
      <c r="H44" s="667">
        <f>VLOOKUP(G44, 'Player rankings (Lawson Ranks)'!A:B, 2, FALSE)</f>
        <v>295</v>
      </c>
      <c r="I44" s="41" t="s">
        <v>2420</v>
      </c>
      <c r="J44" s="60">
        <f>VLOOKUP(I44, 'Player rankings (Lawson Ranks)'!A:B, 2, FALSE)</f>
        <v>304</v>
      </c>
      <c r="K44" s="668"/>
      <c r="L44" s="86"/>
    </row>
    <row r="45">
      <c r="E45" s="669"/>
      <c r="F45" s="579">
        <v>44.0</v>
      </c>
      <c r="G45" s="41" t="s">
        <v>74</v>
      </c>
      <c r="H45" s="667">
        <f>VLOOKUP(G45, 'Player rankings (Lawson Ranks)'!A:B, 2, FALSE)</f>
        <v>301</v>
      </c>
      <c r="I45" s="41" t="s">
        <v>817</v>
      </c>
      <c r="J45" s="60">
        <f>VLOOKUP(I45, 'Player rankings (Lawson Ranks)'!A:B, 2, FALSE)</f>
        <v>305</v>
      </c>
      <c r="K45" s="668"/>
      <c r="L45" s="86"/>
    </row>
    <row r="46">
      <c r="E46" s="669"/>
      <c r="F46" s="579">
        <v>45.0</v>
      </c>
      <c r="G46" s="41" t="s">
        <v>229</v>
      </c>
      <c r="H46" s="667">
        <f>VLOOKUP(G46, 'Player rankings (Lawson Ranks)'!A:B, 2, FALSE)</f>
        <v>302</v>
      </c>
      <c r="I46" s="41" t="s">
        <v>2421</v>
      </c>
      <c r="J46" s="60">
        <f>VLOOKUP(I46, 'Player rankings (Lawson Ranks)'!A:B, 2, FALSE)</f>
        <v>306</v>
      </c>
      <c r="K46" s="668"/>
      <c r="L46" s="86"/>
    </row>
    <row r="47">
      <c r="E47" s="669"/>
      <c r="F47" s="579">
        <v>46.0</v>
      </c>
      <c r="G47" s="41" t="s">
        <v>2206</v>
      </c>
      <c r="H47" s="667">
        <f>VLOOKUP(G47, 'Player rankings (Lawson Ranks)'!A:B, 2, FALSE)</f>
        <v>308</v>
      </c>
      <c r="I47" s="41" t="s">
        <v>2422</v>
      </c>
      <c r="J47" s="60">
        <f>VLOOKUP(I47, 'Player rankings (Lawson Ranks)'!A:B, 2, FALSE)</f>
        <v>307</v>
      </c>
      <c r="K47" s="668"/>
      <c r="L47" s="86"/>
    </row>
    <row r="48">
      <c r="E48" s="669"/>
      <c r="F48" s="579">
        <v>47.0</v>
      </c>
      <c r="G48" s="41" t="s">
        <v>2423</v>
      </c>
      <c r="H48" s="667">
        <f>VLOOKUP(G48, 'Player rankings (Lawson Ranks)'!A:B, 2, FALSE)</f>
        <v>324</v>
      </c>
      <c r="I48" s="41" t="s">
        <v>1243</v>
      </c>
      <c r="J48" s="60">
        <f>VLOOKUP(I48, 'Player rankings (Lawson Ranks)'!A:B, 2, FALSE)</f>
        <v>309</v>
      </c>
      <c r="K48" s="668"/>
      <c r="L48" s="86"/>
    </row>
    <row r="49">
      <c r="E49" s="669"/>
      <c r="F49" s="579">
        <v>48.0</v>
      </c>
      <c r="G49" s="41" t="s">
        <v>2284</v>
      </c>
      <c r="H49" s="667">
        <f>VLOOKUP(G49, 'Player rankings (Lawson Ranks)'!A:B, 2, FALSE)</f>
        <v>340</v>
      </c>
      <c r="I49" s="41" t="s">
        <v>848</v>
      </c>
      <c r="J49" s="60">
        <f>VLOOKUP(I49, 'Player rankings (Lawson Ranks)'!A:B, 2, FALSE)</f>
        <v>310</v>
      </c>
      <c r="K49" s="668"/>
      <c r="L49" s="86"/>
    </row>
    <row r="50">
      <c r="E50" s="669"/>
      <c r="F50" s="579">
        <v>49.0</v>
      </c>
      <c r="G50" s="79" t="s">
        <v>2332</v>
      </c>
      <c r="H50" s="667">
        <f>VLOOKUP(G50, 'Player rankings (Lawson Ranks)'!A:B, 2, FALSE)</f>
        <v>368</v>
      </c>
      <c r="I50" s="41" t="s">
        <v>2424</v>
      </c>
      <c r="J50" s="60">
        <f>VLOOKUP(I50, 'Player rankings (Lawson Ranks)'!A:B, 2, FALSE)</f>
        <v>311</v>
      </c>
      <c r="K50" s="668"/>
      <c r="L50" s="86"/>
    </row>
    <row r="51">
      <c r="E51" s="669"/>
      <c r="F51" s="669"/>
      <c r="H51" s="60"/>
      <c r="I51" s="41" t="s">
        <v>223</v>
      </c>
      <c r="J51" s="60">
        <f>VLOOKUP(I51, 'Player rankings (Lawson Ranks)'!A:B, 2, FALSE)</f>
        <v>312</v>
      </c>
      <c r="K51" s="668"/>
      <c r="L51" s="86"/>
    </row>
    <row r="52">
      <c r="E52" s="669"/>
      <c r="F52" s="669"/>
      <c r="H52" s="667"/>
      <c r="I52" s="41" t="s">
        <v>1005</v>
      </c>
      <c r="J52" s="60">
        <f>VLOOKUP(I52, 'Player rankings (Lawson Ranks)'!A:B, 2, FALSE)</f>
        <v>314</v>
      </c>
      <c r="K52" s="668"/>
      <c r="L52" s="86"/>
    </row>
    <row r="53">
      <c r="E53" s="669"/>
      <c r="F53" s="669"/>
      <c r="H53" s="667"/>
      <c r="I53" s="41" t="s">
        <v>2425</v>
      </c>
      <c r="J53" s="60">
        <f>VLOOKUP(I53, 'Player rankings (Lawson Ranks)'!A:B, 2, FALSE)</f>
        <v>316</v>
      </c>
      <c r="K53" s="668"/>
      <c r="L53" s="86"/>
    </row>
    <row r="54">
      <c r="E54" s="669"/>
      <c r="F54" s="669"/>
      <c r="H54" s="667"/>
      <c r="I54" s="41" t="s">
        <v>2426</v>
      </c>
      <c r="J54" s="60">
        <f>VLOOKUP(I54, 'Player rankings (Lawson Ranks)'!A:B, 2, FALSE)</f>
        <v>317</v>
      </c>
      <c r="K54" s="668"/>
      <c r="L54" s="86"/>
    </row>
    <row r="55">
      <c r="E55" s="669"/>
      <c r="F55" s="669"/>
      <c r="H55" s="667"/>
      <c r="I55" s="41" t="s">
        <v>2427</v>
      </c>
      <c r="J55" s="60">
        <f>VLOOKUP(I55, 'Player rankings (Lawson Ranks)'!A:B, 2, FALSE)</f>
        <v>318</v>
      </c>
      <c r="K55" s="668"/>
      <c r="L55" s="86"/>
    </row>
    <row r="56">
      <c r="E56" s="669"/>
      <c r="F56" s="669"/>
      <c r="H56" s="667"/>
      <c r="I56" s="41" t="s">
        <v>2428</v>
      </c>
      <c r="J56" s="60">
        <f>VLOOKUP(I56, 'Player rankings (Lawson Ranks)'!A:B, 2, FALSE)</f>
        <v>319</v>
      </c>
      <c r="K56" s="668"/>
      <c r="L56" s="86"/>
    </row>
    <row r="57">
      <c r="E57" s="669"/>
      <c r="F57" s="669"/>
      <c r="H57" s="667"/>
      <c r="I57" s="41" t="s">
        <v>2429</v>
      </c>
      <c r="J57" s="60">
        <f>VLOOKUP(I57, 'Player rankings (Lawson Ranks)'!A:B, 2, FALSE)</f>
        <v>321</v>
      </c>
      <c r="K57" s="668"/>
      <c r="L57" s="86"/>
    </row>
    <row r="58">
      <c r="E58" s="669"/>
      <c r="F58" s="669"/>
      <c r="H58" s="667"/>
      <c r="I58" s="41" t="s">
        <v>930</v>
      </c>
      <c r="J58" s="60">
        <f>VLOOKUP(I58, 'Player rankings (Lawson Ranks)'!A:B, 2, FALSE)</f>
        <v>322</v>
      </c>
      <c r="K58" s="668"/>
      <c r="L58" s="86"/>
    </row>
    <row r="59">
      <c r="E59" s="669"/>
      <c r="F59" s="669"/>
      <c r="H59" s="667"/>
      <c r="I59" s="41" t="s">
        <v>2430</v>
      </c>
      <c r="J59" s="60">
        <f>VLOOKUP(I59, 'Player rankings (Lawson Ranks)'!A:B, 2, FALSE)</f>
        <v>323</v>
      </c>
      <c r="K59" s="668"/>
      <c r="L59" s="86"/>
    </row>
    <row r="60">
      <c r="E60" s="669"/>
      <c r="F60" s="669"/>
      <c r="H60" s="667"/>
      <c r="I60" s="41" t="s">
        <v>2431</v>
      </c>
      <c r="J60" s="60">
        <f>VLOOKUP(I60, 'Player rankings (Lawson Ranks)'!A:B, 2, FALSE)</f>
        <v>325</v>
      </c>
      <c r="K60" s="668"/>
      <c r="L60" s="86"/>
    </row>
    <row r="61">
      <c r="E61" s="669"/>
      <c r="F61" s="669"/>
      <c r="H61" s="667"/>
      <c r="I61" s="41" t="s">
        <v>2432</v>
      </c>
      <c r="J61" s="60">
        <f>VLOOKUP(I61, 'Player rankings (Lawson Ranks)'!A:B, 2, FALSE)</f>
        <v>326</v>
      </c>
      <c r="K61" s="668"/>
      <c r="L61" s="86"/>
    </row>
    <row r="62">
      <c r="E62" s="669"/>
      <c r="F62" s="669"/>
      <c r="H62" s="667"/>
      <c r="I62" s="41" t="s">
        <v>257</v>
      </c>
      <c r="J62" s="60">
        <f>VLOOKUP(I62, 'Player rankings (Lawson Ranks)'!A:B, 2, FALSE)</f>
        <v>327</v>
      </c>
      <c r="K62" s="668"/>
      <c r="L62" s="86"/>
    </row>
    <row r="63">
      <c r="E63" s="669"/>
      <c r="F63" s="669"/>
      <c r="H63" s="667"/>
      <c r="I63" s="41" t="s">
        <v>2433</v>
      </c>
      <c r="J63" s="60">
        <f>VLOOKUP(I63, 'Player rankings (Lawson Ranks)'!A:B, 2, FALSE)</f>
        <v>329</v>
      </c>
      <c r="K63" s="668"/>
      <c r="L63" s="86"/>
    </row>
    <row r="64">
      <c r="E64" s="669"/>
      <c r="F64" s="669"/>
      <c r="H64" s="667"/>
      <c r="I64" s="41" t="s">
        <v>1076</v>
      </c>
      <c r="J64" s="60">
        <f>VLOOKUP(I64, 'Player rankings (Lawson Ranks)'!A:B, 2, FALSE)</f>
        <v>331</v>
      </c>
      <c r="K64" s="668"/>
      <c r="L64" s="86"/>
    </row>
    <row r="65">
      <c r="E65" s="669"/>
      <c r="F65" s="669"/>
      <c r="H65" s="667"/>
      <c r="I65" s="41" t="s">
        <v>2434</v>
      </c>
      <c r="J65" s="60">
        <f>VLOOKUP(I65, 'Player rankings (Lawson Ranks)'!A:B, 2, FALSE)</f>
        <v>332</v>
      </c>
      <c r="K65" s="668"/>
      <c r="L65" s="86"/>
    </row>
    <row r="66">
      <c r="E66" s="669"/>
      <c r="F66" s="669"/>
      <c r="H66" s="667"/>
      <c r="I66" s="41" t="s">
        <v>856</v>
      </c>
      <c r="J66" s="60">
        <f>VLOOKUP(I66, 'Player rankings (Lawson Ranks)'!A:B, 2, FALSE)</f>
        <v>334</v>
      </c>
      <c r="K66" s="668"/>
      <c r="L66" s="86"/>
    </row>
    <row r="67">
      <c r="E67" s="669"/>
      <c r="F67" s="669"/>
      <c r="H67" s="667"/>
      <c r="I67" s="41" t="s">
        <v>913</v>
      </c>
      <c r="J67" s="60">
        <f>VLOOKUP(I67, 'Player rankings (Lawson Ranks)'!A:B, 2, FALSE)</f>
        <v>335</v>
      </c>
      <c r="K67" s="668"/>
      <c r="L67" s="86"/>
    </row>
    <row r="68">
      <c r="E68" s="669"/>
      <c r="F68" s="669"/>
      <c r="H68" s="667"/>
      <c r="I68" s="41" t="s">
        <v>235</v>
      </c>
      <c r="J68" s="60">
        <f>VLOOKUP(I68, 'Player rankings (Lawson Ranks)'!A:B, 2, FALSE)</f>
        <v>336</v>
      </c>
      <c r="K68" s="668"/>
      <c r="L68" s="86"/>
    </row>
    <row r="69">
      <c r="E69" s="669"/>
      <c r="F69" s="669"/>
      <c r="H69" s="667"/>
      <c r="I69" s="41" t="s">
        <v>2435</v>
      </c>
      <c r="J69" s="60">
        <f>VLOOKUP(I69, 'Player rankings (Lawson Ranks)'!A:B, 2, FALSE)</f>
        <v>338</v>
      </c>
      <c r="K69" s="668"/>
      <c r="L69" s="86"/>
    </row>
    <row r="70">
      <c r="E70" s="669"/>
      <c r="F70" s="669"/>
      <c r="H70" s="667"/>
      <c r="I70" s="41" t="s">
        <v>2436</v>
      </c>
      <c r="J70" s="60">
        <f>VLOOKUP(I70, 'Player rankings (Lawson Ranks)'!A:B, 2, FALSE)</f>
        <v>339</v>
      </c>
      <c r="K70" s="668"/>
      <c r="L70" s="86"/>
    </row>
    <row r="71">
      <c r="E71" s="669"/>
      <c r="F71" s="669"/>
      <c r="H71" s="667"/>
      <c r="I71" s="41" t="s">
        <v>224</v>
      </c>
      <c r="J71" s="60">
        <f>VLOOKUP(I71, 'Player rankings (Lawson Ranks)'!A:B, 2, FALSE)</f>
        <v>341</v>
      </c>
      <c r="K71" s="668"/>
      <c r="L71" s="86"/>
    </row>
    <row r="72">
      <c r="E72" s="669"/>
      <c r="F72" s="669"/>
      <c r="H72" s="667"/>
      <c r="I72" s="41" t="s">
        <v>2323</v>
      </c>
      <c r="J72" s="60">
        <f>VLOOKUP(I72, 'Player rankings (Lawson Ranks)'!A:B, 2, FALSE)</f>
        <v>343</v>
      </c>
      <c r="K72" s="668"/>
      <c r="L72" s="86"/>
    </row>
    <row r="73">
      <c r="E73" s="669"/>
      <c r="F73" s="669"/>
      <c r="H73" s="667"/>
      <c r="I73" s="41" t="s">
        <v>2335</v>
      </c>
      <c r="J73" s="60">
        <f>VLOOKUP(I73, 'Player rankings (Lawson Ranks)'!A:B, 2, FALSE)</f>
        <v>344</v>
      </c>
      <c r="K73" s="668"/>
      <c r="L73" s="86"/>
    </row>
    <row r="74">
      <c r="E74" s="669"/>
      <c r="F74" s="669"/>
      <c r="H74" s="667"/>
      <c r="I74" s="41" t="s">
        <v>240</v>
      </c>
      <c r="J74" s="60">
        <f>VLOOKUP(I74, 'Player rankings (Lawson Ranks)'!A:B, 2, FALSE)</f>
        <v>345</v>
      </c>
      <c r="K74" s="668"/>
      <c r="L74" s="86"/>
    </row>
    <row r="75">
      <c r="E75" s="669"/>
      <c r="F75" s="669"/>
      <c r="H75" s="667"/>
      <c r="I75" s="41" t="s">
        <v>2437</v>
      </c>
      <c r="J75" s="60">
        <f>VLOOKUP(I75, 'Player rankings (Lawson Ranks)'!A:B, 2, FALSE)</f>
        <v>346</v>
      </c>
      <c r="K75" s="668"/>
      <c r="L75" s="86"/>
    </row>
    <row r="76">
      <c r="E76" s="669"/>
      <c r="F76" s="669"/>
      <c r="H76" s="667"/>
      <c r="I76" s="41" t="s">
        <v>2438</v>
      </c>
      <c r="J76" s="60">
        <f>VLOOKUP(I76, 'Player rankings (Lawson Ranks)'!A:B, 2, FALSE)</f>
        <v>347</v>
      </c>
      <c r="K76" s="668"/>
      <c r="L76" s="86"/>
    </row>
    <row r="77">
      <c r="E77" s="669"/>
      <c r="F77" s="669"/>
      <c r="H77" s="667"/>
      <c r="I77" s="41" t="s">
        <v>2439</v>
      </c>
      <c r="J77" s="60">
        <f>VLOOKUP(I77, 'Player rankings (Lawson Ranks)'!A:B, 2, FALSE)</f>
        <v>348</v>
      </c>
      <c r="K77" s="668"/>
      <c r="L77" s="86"/>
    </row>
    <row r="78">
      <c r="E78" s="669"/>
      <c r="F78" s="669"/>
      <c r="H78" s="667"/>
      <c r="I78" s="41" t="s">
        <v>905</v>
      </c>
      <c r="J78" s="60">
        <f>VLOOKUP(I78, 'Player rankings (Lawson Ranks)'!A:B, 2, FALSE)</f>
        <v>349</v>
      </c>
      <c r="K78" s="668"/>
      <c r="L78" s="86"/>
    </row>
    <row r="79">
      <c r="E79" s="669"/>
      <c r="F79" s="669"/>
      <c r="H79" s="667"/>
      <c r="I79" s="41" t="s">
        <v>233</v>
      </c>
      <c r="J79" s="60">
        <f>VLOOKUP(I79, 'Player rankings (Lawson Ranks)'!A:B, 2, FALSE)</f>
        <v>350</v>
      </c>
      <c r="K79" s="668"/>
      <c r="L79" s="86"/>
    </row>
    <row r="80">
      <c r="E80" s="669"/>
      <c r="F80" s="669"/>
      <c r="H80" s="667"/>
      <c r="I80" s="41" t="s">
        <v>2336</v>
      </c>
      <c r="J80" s="60">
        <f>VLOOKUP(I80, 'Player rankings (Lawson Ranks)'!A:B, 2, FALSE)</f>
        <v>351</v>
      </c>
      <c r="K80" s="668"/>
      <c r="L80" s="86"/>
    </row>
    <row r="81">
      <c r="E81" s="669"/>
      <c r="F81" s="669"/>
      <c r="H81" s="667"/>
      <c r="I81" s="41" t="s">
        <v>2440</v>
      </c>
      <c r="J81" s="60">
        <f>VLOOKUP(I81, 'Player rankings (Lawson Ranks)'!A:B, 2, FALSE)</f>
        <v>352</v>
      </c>
      <c r="K81" s="668"/>
      <c r="L81" s="86"/>
    </row>
    <row r="82">
      <c r="E82" s="669"/>
      <c r="F82" s="669"/>
      <c r="H82" s="667"/>
      <c r="I82" s="41" t="s">
        <v>847</v>
      </c>
      <c r="J82" s="60">
        <f>VLOOKUP(I82, 'Player rankings (Lawson Ranks)'!A:B, 2, FALSE)</f>
        <v>353</v>
      </c>
      <c r="K82" s="668"/>
      <c r="L82" s="86"/>
    </row>
    <row r="83">
      <c r="E83" s="669"/>
      <c r="F83" s="669"/>
      <c r="H83" s="667"/>
      <c r="I83" s="41" t="s">
        <v>2441</v>
      </c>
      <c r="J83" s="60">
        <f>VLOOKUP(I83, 'Player rankings (Lawson Ranks)'!A:B, 2, FALSE)</f>
        <v>354</v>
      </c>
      <c r="K83" s="668"/>
      <c r="L83" s="86"/>
    </row>
    <row r="84">
      <c r="E84" s="669"/>
      <c r="F84" s="669"/>
      <c r="H84" s="667"/>
      <c r="I84" s="41" t="s">
        <v>2442</v>
      </c>
      <c r="J84" s="60">
        <f>VLOOKUP(I84, 'Player rankings (Lawson Ranks)'!A:B, 2, FALSE)</f>
        <v>355</v>
      </c>
      <c r="K84" s="668"/>
      <c r="L84" s="86"/>
    </row>
    <row r="85">
      <c r="E85" s="669"/>
      <c r="F85" s="669"/>
      <c r="H85" s="667"/>
      <c r="I85" s="41" t="s">
        <v>248</v>
      </c>
      <c r="J85" s="60">
        <f>VLOOKUP(I85, 'Player rankings (Lawson Ranks)'!A:B, 2, FALSE)</f>
        <v>356</v>
      </c>
      <c r="K85" s="668"/>
      <c r="L85" s="86"/>
    </row>
    <row r="86">
      <c r="E86" s="669"/>
      <c r="F86" s="669"/>
      <c r="H86" s="667"/>
      <c r="I86" s="41" t="s">
        <v>2443</v>
      </c>
      <c r="J86" s="60">
        <f>VLOOKUP(I86, 'Player rankings (Lawson Ranks)'!A:B, 2, FALSE)</f>
        <v>357</v>
      </c>
      <c r="K86" s="668"/>
      <c r="L86" s="86"/>
    </row>
    <row r="87">
      <c r="E87" s="669"/>
      <c r="F87" s="669"/>
      <c r="H87" s="667"/>
      <c r="I87" s="41" t="s">
        <v>2444</v>
      </c>
      <c r="J87" s="60">
        <f>VLOOKUP(I87, 'Player rankings (Lawson Ranks)'!A:B, 2, FALSE)</f>
        <v>358</v>
      </c>
      <c r="K87" s="668"/>
      <c r="L87" s="86"/>
    </row>
    <row r="88">
      <c r="E88" s="669"/>
      <c r="F88" s="669"/>
      <c r="H88" s="667"/>
      <c r="I88" s="41" t="s">
        <v>2445</v>
      </c>
      <c r="J88" s="60">
        <f>VLOOKUP(I88, 'Player rankings (Lawson Ranks)'!A:B, 2, FALSE)</f>
        <v>359</v>
      </c>
      <c r="K88" s="668"/>
      <c r="L88" s="86"/>
    </row>
    <row r="89">
      <c r="E89" s="669"/>
      <c r="F89" s="669"/>
      <c r="H89" s="667"/>
      <c r="I89" s="41" t="s">
        <v>2446</v>
      </c>
      <c r="J89" s="60">
        <f>VLOOKUP(I89, 'Player rankings (Lawson Ranks)'!A:B, 2, FALSE)</f>
        <v>360</v>
      </c>
      <c r="K89" s="668"/>
      <c r="L89" s="86"/>
    </row>
    <row r="90">
      <c r="E90" s="669"/>
      <c r="F90" s="669"/>
      <c r="H90" s="667"/>
      <c r="I90" s="41" t="s">
        <v>2447</v>
      </c>
      <c r="J90" s="60">
        <f>VLOOKUP(I90, 'Player rankings (Lawson Ranks)'!A:B, 2, FALSE)</f>
        <v>361</v>
      </c>
      <c r="K90" s="668"/>
      <c r="L90" s="86"/>
    </row>
    <row r="91">
      <c r="E91" s="669"/>
      <c r="F91" s="669"/>
      <c r="H91" s="667"/>
      <c r="I91" s="41" t="s">
        <v>1079</v>
      </c>
      <c r="J91" s="60">
        <f>VLOOKUP(I91, 'Player rankings (Lawson Ranks)'!A:B, 2, FALSE)</f>
        <v>362</v>
      </c>
      <c r="K91" s="668"/>
      <c r="L91" s="86"/>
    </row>
    <row r="92">
      <c r="E92" s="669"/>
      <c r="F92" s="669"/>
      <c r="H92" s="667"/>
      <c r="I92" s="41" t="s">
        <v>2448</v>
      </c>
      <c r="J92" s="60">
        <f>VLOOKUP(I92, 'Player rankings (Lawson Ranks)'!A:B, 2, FALSE)</f>
        <v>364</v>
      </c>
      <c r="K92" s="668"/>
      <c r="L92" s="86"/>
    </row>
    <row r="93">
      <c r="E93" s="669"/>
      <c r="F93" s="669"/>
      <c r="H93" s="667"/>
      <c r="I93" s="41" t="s">
        <v>838</v>
      </c>
      <c r="J93" s="60">
        <f>VLOOKUP(I93, 'Player rankings (Lawson Ranks)'!A:B, 2, FALSE)</f>
        <v>365</v>
      </c>
      <c r="K93" s="668"/>
      <c r="L93" s="86"/>
    </row>
    <row r="94">
      <c r="E94" s="669"/>
      <c r="F94" s="669"/>
      <c r="H94" s="667"/>
      <c r="I94" s="41" t="s">
        <v>2449</v>
      </c>
      <c r="J94" s="60">
        <f>VLOOKUP(I94, 'Player rankings (Lawson Ranks)'!A:B, 2, FALSE)</f>
        <v>367</v>
      </c>
      <c r="K94" s="668"/>
      <c r="L94" s="86"/>
    </row>
    <row r="95">
      <c r="E95" s="669"/>
      <c r="H95" s="86"/>
      <c r="I95" s="41" t="s">
        <v>2322</v>
      </c>
      <c r="J95" s="60">
        <f>VLOOKUP(I95, 'Player rankings (Lawson Ranks)'!A:B, 2, FALSE)</f>
        <v>369</v>
      </c>
      <c r="K95" s="668"/>
      <c r="L95" s="86"/>
    </row>
    <row r="96">
      <c r="E96" s="669"/>
      <c r="H96" s="86"/>
      <c r="I96" s="41" t="s">
        <v>2450</v>
      </c>
      <c r="J96" s="60">
        <f>VLOOKUP(I96, 'Player rankings (Lawson Ranks)'!A:B, 2, FALSE)</f>
        <v>370</v>
      </c>
      <c r="K96" s="668"/>
      <c r="L96" s="86"/>
    </row>
    <row r="97">
      <c r="E97" s="669"/>
      <c r="H97" s="86"/>
      <c r="I97" s="41" t="s">
        <v>230</v>
      </c>
      <c r="J97" s="60">
        <f>VLOOKUP(I97, 'Player rankings (Lawson Ranks)'!A:B, 2, FALSE)</f>
        <v>371</v>
      </c>
      <c r="K97" s="668"/>
      <c r="L97" s="86"/>
    </row>
    <row r="98">
      <c r="E98" s="669"/>
      <c r="H98" s="86"/>
      <c r="I98" s="41" t="s">
        <v>2451</v>
      </c>
      <c r="J98" s="60">
        <f>VLOOKUP(I98, 'Player rankings (Lawson Ranks)'!A:B, 2, FALSE)</f>
        <v>375</v>
      </c>
      <c r="K98" s="668"/>
      <c r="L98" s="86"/>
    </row>
    <row r="99">
      <c r="E99" s="669"/>
      <c r="H99" s="86"/>
      <c r="I99" s="41" t="s">
        <v>1136</v>
      </c>
      <c r="J99" s="60">
        <f>VLOOKUP(I99, 'Player rankings (Lawson Ranks)'!A:B, 2, FALSE)</f>
        <v>376</v>
      </c>
      <c r="K99" s="668"/>
      <c r="L99" s="86"/>
    </row>
    <row r="100">
      <c r="E100" s="669"/>
      <c r="H100" s="86"/>
      <c r="I100" s="41" t="s">
        <v>2452</v>
      </c>
      <c r="J100" s="60">
        <f>VLOOKUP(I100, 'Player rankings (Lawson Ranks)'!A:B, 2, FALSE)</f>
        <v>380</v>
      </c>
      <c r="K100" s="668"/>
      <c r="L100" s="86"/>
    </row>
    <row r="101">
      <c r="E101" s="669"/>
      <c r="H101" s="86"/>
      <c r="I101" s="41" t="s">
        <v>2453</v>
      </c>
      <c r="J101" s="60">
        <f>VLOOKUP(I101, 'Player rankings (Lawson Ranks)'!A:B, 2, FALSE)</f>
        <v>381</v>
      </c>
      <c r="K101" s="668"/>
      <c r="L101" s="86"/>
    </row>
    <row r="102">
      <c r="E102" s="669"/>
      <c r="H102" s="86"/>
      <c r="I102" s="41" t="s">
        <v>2310</v>
      </c>
      <c r="J102" s="60">
        <f>VLOOKUP(I102, 'Player rankings (Lawson Ranks)'!A:B, 2, FALSE)</f>
        <v>382</v>
      </c>
      <c r="K102" s="668"/>
      <c r="L102" s="86"/>
    </row>
    <row r="103">
      <c r="E103" s="669"/>
      <c r="H103" s="86"/>
      <c r="I103" s="41" t="s">
        <v>215</v>
      </c>
      <c r="J103" s="60">
        <f>VLOOKUP(I103, 'Player rankings (Lawson Ranks)'!A:B, 2, FALSE)</f>
        <v>383</v>
      </c>
      <c r="K103" s="668"/>
      <c r="L103" s="86"/>
    </row>
    <row r="104">
      <c r="E104" s="669"/>
      <c r="H104" s="86"/>
      <c r="I104" s="41" t="s">
        <v>2454</v>
      </c>
      <c r="J104" s="60">
        <f>VLOOKUP(I104, 'Player rankings (Lawson Ranks)'!A:B, 2, FALSE)</f>
        <v>385</v>
      </c>
      <c r="K104" s="668"/>
      <c r="L104" s="86"/>
    </row>
    <row r="105">
      <c r="E105" s="669"/>
      <c r="H105" s="86"/>
      <c r="I105" s="41" t="s">
        <v>2455</v>
      </c>
      <c r="J105" s="60">
        <f>VLOOKUP(I105, 'Player rankings (Lawson Ranks)'!A:B, 2, FALSE)</f>
        <v>388</v>
      </c>
      <c r="K105" s="668"/>
      <c r="L105" s="86"/>
    </row>
    <row r="106">
      <c r="E106" s="669"/>
      <c r="H106" s="86"/>
      <c r="I106" s="41" t="s">
        <v>2456</v>
      </c>
      <c r="J106" s="60">
        <f>VLOOKUP(I106, 'Player rankings (Lawson Ranks)'!A:B, 2, FALSE)</f>
        <v>389</v>
      </c>
      <c r="K106" s="668"/>
      <c r="L106" s="86"/>
    </row>
    <row r="107">
      <c r="E107" s="669"/>
      <c r="H107" s="86"/>
      <c r="I107" s="41" t="s">
        <v>2457</v>
      </c>
      <c r="J107" s="60">
        <f>VLOOKUP(I107, 'Player rankings (Lawson Ranks)'!A:B, 2, FALSE)</f>
        <v>390</v>
      </c>
      <c r="K107" s="668"/>
      <c r="L107" s="86"/>
    </row>
    <row r="108">
      <c r="E108" s="669"/>
      <c r="H108" s="86"/>
      <c r="I108" s="41" t="s">
        <v>1075</v>
      </c>
      <c r="J108" s="60">
        <f>VLOOKUP(I108, 'Player rankings (Lawson Ranks)'!A:B, 2, FALSE)</f>
        <v>391</v>
      </c>
      <c r="K108" s="668"/>
      <c r="L108" s="86"/>
    </row>
    <row r="109">
      <c r="E109" s="669"/>
      <c r="H109" s="86"/>
      <c r="I109" s="41" t="s">
        <v>2458</v>
      </c>
      <c r="J109" s="60">
        <f>VLOOKUP(I109, 'Player rankings (Lawson Ranks)'!A:B, 2, FALSE)</f>
        <v>393</v>
      </c>
      <c r="K109" s="668"/>
      <c r="L109" s="86"/>
    </row>
    <row r="110">
      <c r="E110" s="669"/>
      <c r="H110" s="86"/>
      <c r="I110" s="41" t="s">
        <v>2459</v>
      </c>
      <c r="J110" s="60">
        <f>VLOOKUP(I110, 'Player rankings (Lawson Ranks)'!A:B, 2, FALSE)</f>
        <v>395</v>
      </c>
      <c r="K110" s="668"/>
      <c r="L110" s="86"/>
    </row>
    <row r="111">
      <c r="E111" s="669"/>
      <c r="H111" s="86"/>
      <c r="I111" s="41" t="s">
        <v>1250</v>
      </c>
      <c r="J111" s="60">
        <f>VLOOKUP(I111, 'Player rankings (Lawson Ranks)'!A:B, 2, FALSE)</f>
        <v>397</v>
      </c>
      <c r="K111" s="668"/>
      <c r="L111" s="86"/>
    </row>
    <row r="112">
      <c r="E112" s="669"/>
      <c r="H112" s="86"/>
      <c r="I112" s="41" t="s">
        <v>939</v>
      </c>
      <c r="J112" s="60">
        <f>VLOOKUP(I112, 'Player rankings (Lawson Ranks)'!A:B, 2, FALSE)</f>
        <v>398</v>
      </c>
      <c r="K112" s="668"/>
      <c r="L112" s="86"/>
    </row>
    <row r="113">
      <c r="E113" s="669"/>
      <c r="H113" s="86"/>
      <c r="I113" s="41" t="s">
        <v>2460</v>
      </c>
      <c r="J113" s="60">
        <f>VLOOKUP(I113, 'Player rankings (Lawson Ranks)'!A:B, 2, FALSE)</f>
        <v>399</v>
      </c>
      <c r="K113" s="668"/>
      <c r="L113" s="86"/>
    </row>
    <row r="114">
      <c r="E114" s="669"/>
      <c r="H114" s="86"/>
      <c r="I114" s="41" t="s">
        <v>2461</v>
      </c>
      <c r="J114" s="60">
        <f>VLOOKUP(I114, 'Player rankings (Lawson Ranks)'!A:B, 2, FALSE)</f>
        <v>400</v>
      </c>
      <c r="K114" s="668"/>
      <c r="L114" s="86"/>
    </row>
    <row r="115">
      <c r="E115" s="669"/>
      <c r="H115" s="86"/>
      <c r="I115" s="41" t="s">
        <v>2462</v>
      </c>
      <c r="J115" s="60" t="str">
        <f>VLOOKUP(I115, 'Player rankings (Lawson Ranks)'!A:B, 2, FALSE)</f>
        <v>#N/A</v>
      </c>
      <c r="K115" s="668"/>
      <c r="L115" s="86"/>
    </row>
    <row r="116">
      <c r="E116" s="669"/>
      <c r="H116" s="86"/>
      <c r="I116" s="41" t="s">
        <v>2463</v>
      </c>
      <c r="J116" s="60" t="str">
        <f>VLOOKUP(I116, 'Player rankings (Lawson Ranks)'!A:B, 2, FALSE)</f>
        <v>#N/A</v>
      </c>
      <c r="K116" s="668"/>
      <c r="L116" s="86"/>
    </row>
    <row r="117">
      <c r="E117" s="669"/>
      <c r="H117" s="86"/>
      <c r="I117" s="41" t="s">
        <v>2464</v>
      </c>
      <c r="J117" s="60" t="str">
        <f>VLOOKUP(I117, 'Player rankings (Lawson Ranks)'!A:B, 2, FALSE)</f>
        <v>#N/A</v>
      </c>
      <c r="K117" s="668"/>
      <c r="L117" s="86"/>
    </row>
    <row r="118">
      <c r="E118" s="669"/>
      <c r="H118" s="86"/>
      <c r="I118" s="41" t="s">
        <v>2465</v>
      </c>
      <c r="J118" s="60" t="str">
        <f>VLOOKUP(I118, 'Player rankings (Lawson Ranks)'!A:B, 2, FALSE)</f>
        <v>#N/A</v>
      </c>
      <c r="K118" s="668"/>
      <c r="L118" s="86"/>
    </row>
    <row r="119">
      <c r="E119" s="669"/>
      <c r="H119" s="86"/>
      <c r="I119" s="41" t="s">
        <v>2466</v>
      </c>
      <c r="J119" s="60" t="str">
        <f>VLOOKUP(I119, 'Player rankings (Lawson Ranks)'!A:B, 2, FALSE)</f>
        <v>#N/A</v>
      </c>
      <c r="K119" s="668"/>
      <c r="L119" s="86"/>
    </row>
    <row r="120">
      <c r="E120" s="669"/>
      <c r="H120" s="86"/>
      <c r="I120" s="41" t="s">
        <v>2467</v>
      </c>
      <c r="J120" s="60" t="str">
        <f>VLOOKUP(I120, 'Player rankings (Lawson Ranks)'!A:B, 2, FALSE)</f>
        <v>#N/A</v>
      </c>
      <c r="K120" s="668"/>
      <c r="L120" s="86"/>
    </row>
    <row r="121">
      <c r="E121" s="669"/>
      <c r="H121" s="86"/>
      <c r="I121" s="41" t="s">
        <v>2468</v>
      </c>
      <c r="J121" s="60" t="str">
        <f>VLOOKUP(I121, 'Player rankings (Lawson Ranks)'!A:B, 2, FALSE)</f>
        <v>#N/A</v>
      </c>
      <c r="K121" s="668"/>
      <c r="L121" s="86"/>
    </row>
    <row r="122">
      <c r="E122" s="669"/>
      <c r="H122" s="86"/>
      <c r="I122" s="41" t="s">
        <v>2469</v>
      </c>
      <c r="J122" s="60" t="str">
        <f>VLOOKUP(I122, 'Player rankings (Lawson Ranks)'!A:B, 2, FALSE)</f>
        <v>#N/A</v>
      </c>
      <c r="K122" s="668"/>
      <c r="L122" s="86"/>
    </row>
    <row r="123">
      <c r="E123" s="669"/>
      <c r="H123" s="86"/>
      <c r="I123" s="41" t="s">
        <v>909</v>
      </c>
      <c r="J123" s="60" t="str">
        <f>VLOOKUP(I123, 'Player rankings (Lawson Ranks)'!A:B, 2, FALSE)</f>
        <v>#N/A</v>
      </c>
      <c r="K123" s="668"/>
      <c r="L123" s="86"/>
    </row>
    <row r="124">
      <c r="E124" s="669"/>
      <c r="H124" s="86"/>
      <c r="I124" s="41" t="s">
        <v>2470</v>
      </c>
      <c r="J124" s="60" t="str">
        <f>VLOOKUP(I124, 'Player rankings (Lawson Ranks)'!A:B, 2, FALSE)</f>
        <v>#N/A</v>
      </c>
      <c r="K124" s="668"/>
      <c r="L124" s="86"/>
    </row>
    <row r="125">
      <c r="E125" s="669"/>
      <c r="H125" s="86"/>
      <c r="I125" s="41" t="s">
        <v>2471</v>
      </c>
      <c r="J125" s="60" t="str">
        <f>VLOOKUP(I125, 'Player rankings (Lawson Ranks)'!A:B, 2, FALSE)</f>
        <v>#N/A</v>
      </c>
      <c r="K125" s="668"/>
      <c r="L125" s="86"/>
    </row>
    <row r="126">
      <c r="E126" s="669"/>
      <c r="H126" s="86"/>
      <c r="I126" s="41" t="s">
        <v>2472</v>
      </c>
      <c r="J126" s="60" t="str">
        <f>VLOOKUP(I126, 'Player rankings (Lawson Ranks)'!A:B, 2, FALSE)</f>
        <v>#N/A</v>
      </c>
      <c r="K126" s="668"/>
      <c r="L126" s="86"/>
    </row>
    <row r="127">
      <c r="E127" s="669"/>
      <c r="H127" s="86"/>
      <c r="I127" s="41" t="s">
        <v>2473</v>
      </c>
      <c r="J127" s="60" t="str">
        <f>VLOOKUP(I127, 'Player rankings (Lawson Ranks)'!A:B, 2, FALSE)</f>
        <v>#N/A</v>
      </c>
      <c r="K127" s="668"/>
      <c r="L127" s="86"/>
    </row>
    <row r="128">
      <c r="E128" s="669"/>
      <c r="H128" s="86"/>
      <c r="I128" s="41" t="s">
        <v>2474</v>
      </c>
      <c r="J128" s="60" t="str">
        <f>VLOOKUP(I128, 'Player rankings (Lawson Ranks)'!A:B, 2, FALSE)</f>
        <v>#N/A</v>
      </c>
      <c r="K128" s="668"/>
      <c r="L128" s="86"/>
    </row>
    <row r="129">
      <c r="E129" s="669"/>
      <c r="H129" s="86"/>
      <c r="I129" s="41" t="s">
        <v>2475</v>
      </c>
      <c r="J129" s="60" t="str">
        <f>VLOOKUP(I129, 'Player rankings (Lawson Ranks)'!A:B, 2, FALSE)</f>
        <v>#N/A</v>
      </c>
      <c r="K129" s="668"/>
      <c r="L129" s="86"/>
    </row>
    <row r="130">
      <c r="E130" s="669"/>
      <c r="H130" s="86"/>
      <c r="I130" s="41" t="s">
        <v>2476</v>
      </c>
      <c r="J130" s="60" t="str">
        <f>VLOOKUP(I130, 'Player rankings (Lawson Ranks)'!A:B, 2, FALSE)</f>
        <v>#N/A</v>
      </c>
      <c r="K130" s="668"/>
      <c r="L130" s="86"/>
    </row>
    <row r="131">
      <c r="E131" s="669"/>
      <c r="H131" s="86"/>
      <c r="I131" s="41" t="s">
        <v>2477</v>
      </c>
      <c r="J131" s="60" t="str">
        <f>VLOOKUP(I131, 'Player rankings (Lawson Ranks)'!A:B, 2, FALSE)</f>
        <v>#N/A</v>
      </c>
      <c r="K131" s="668"/>
      <c r="L131" s="86"/>
    </row>
    <row r="132">
      <c r="E132" s="669"/>
      <c r="H132" s="86"/>
      <c r="I132" s="41" t="s">
        <v>2478</v>
      </c>
      <c r="J132" s="60" t="str">
        <f>VLOOKUP(I132, 'Player rankings (Lawson Ranks)'!A:B, 2, FALSE)</f>
        <v>#N/A</v>
      </c>
      <c r="K132" s="668"/>
      <c r="L132" s="86"/>
    </row>
    <row r="133">
      <c r="E133" s="669"/>
      <c r="H133" s="86"/>
      <c r="I133" s="41" t="s">
        <v>2479</v>
      </c>
      <c r="J133" s="60" t="str">
        <f>VLOOKUP(I133, 'Player rankings (Lawson Ranks)'!A:B, 2, FALSE)</f>
        <v>#N/A</v>
      </c>
      <c r="K133" s="668"/>
      <c r="L133" s="86"/>
    </row>
    <row r="134">
      <c r="E134" s="669"/>
      <c r="H134" s="86"/>
      <c r="I134" s="41" t="s">
        <v>2480</v>
      </c>
      <c r="J134" s="60" t="str">
        <f>VLOOKUP(I134, 'Player rankings (Lawson Ranks)'!A:B, 2, FALSE)</f>
        <v>#N/A</v>
      </c>
      <c r="K134" s="668"/>
      <c r="L134" s="86"/>
    </row>
    <row r="135">
      <c r="E135" s="669"/>
      <c r="H135" s="86"/>
      <c r="I135" s="41" t="s">
        <v>2316</v>
      </c>
      <c r="J135" s="60" t="str">
        <f>VLOOKUP(I135, 'Player rankings (Lawson Ranks)'!A:B, 2, FALSE)</f>
        <v>#N/A</v>
      </c>
      <c r="K135" s="668"/>
      <c r="L135" s="86"/>
    </row>
    <row r="136">
      <c r="E136" s="669"/>
      <c r="H136" s="86"/>
      <c r="I136" s="41" t="s">
        <v>2481</v>
      </c>
      <c r="J136" s="60" t="str">
        <f>VLOOKUP(I136, 'Player rankings (Lawson Ranks)'!A:B, 2, FALSE)</f>
        <v>#N/A</v>
      </c>
      <c r="K136" s="668"/>
      <c r="L136" s="86"/>
    </row>
    <row r="137">
      <c r="E137" s="669"/>
      <c r="H137" s="86"/>
      <c r="I137" s="41" t="s">
        <v>2482</v>
      </c>
      <c r="J137" s="60" t="str">
        <f>VLOOKUP(I137, 'Player rankings (Lawson Ranks)'!A:B, 2, FALSE)</f>
        <v>#N/A</v>
      </c>
      <c r="K137" s="668"/>
      <c r="L137" s="86"/>
    </row>
    <row r="138">
      <c r="E138" s="669"/>
      <c r="H138" s="86"/>
      <c r="I138" s="41" t="s">
        <v>219</v>
      </c>
      <c r="J138" s="60" t="str">
        <f>VLOOKUP(I138, 'Player rankings (Lawson Ranks)'!A:B, 2, FALSE)</f>
        <v>#N/A</v>
      </c>
      <c r="K138" s="668"/>
      <c r="L138" s="86"/>
    </row>
    <row r="139">
      <c r="E139" s="669"/>
      <c r="H139" s="86"/>
      <c r="I139" s="41" t="s">
        <v>2483</v>
      </c>
      <c r="J139" s="60" t="str">
        <f>VLOOKUP(I139, 'Player rankings (Lawson Ranks)'!A:B, 2, FALSE)</f>
        <v>#N/A</v>
      </c>
      <c r="K139" s="668"/>
      <c r="L139" s="86"/>
    </row>
    <row r="140">
      <c r="E140" s="669"/>
      <c r="H140" s="86"/>
      <c r="I140" s="41" t="s">
        <v>1102</v>
      </c>
      <c r="J140" s="60" t="str">
        <f>VLOOKUP(I140, 'Player rankings (Lawson Ranks)'!A:B, 2, FALSE)</f>
        <v>#N/A</v>
      </c>
      <c r="K140" s="668"/>
      <c r="L140" s="86"/>
    </row>
    <row r="141">
      <c r="E141" s="669"/>
      <c r="H141" s="86"/>
      <c r="I141" s="41" t="s">
        <v>2484</v>
      </c>
      <c r="J141" s="60" t="str">
        <f>VLOOKUP(I141, 'Player rankings (Lawson Ranks)'!A:B, 2, FALSE)</f>
        <v>#N/A</v>
      </c>
      <c r="K141" s="668"/>
      <c r="L141" s="86"/>
    </row>
    <row r="142">
      <c r="E142" s="669"/>
      <c r="H142" s="86"/>
      <c r="I142" s="41" t="s">
        <v>2485</v>
      </c>
      <c r="J142" s="60" t="str">
        <f>VLOOKUP(I142, 'Player rankings (Lawson Ranks)'!A:B, 2, FALSE)</f>
        <v>#N/A</v>
      </c>
      <c r="K142" s="668"/>
      <c r="L142" s="86"/>
    </row>
    <row r="143">
      <c r="E143" s="669"/>
      <c r="H143" s="86"/>
      <c r="I143" s="41" t="s">
        <v>2486</v>
      </c>
      <c r="J143" s="60" t="str">
        <f>VLOOKUP(I143, 'Player rankings (Lawson Ranks)'!A:B, 2, FALSE)</f>
        <v>#N/A</v>
      </c>
      <c r="K143" s="668"/>
      <c r="L143" s="86"/>
    </row>
    <row r="144">
      <c r="E144" s="669"/>
      <c r="H144" s="86"/>
      <c r="I144" s="41" t="s">
        <v>249</v>
      </c>
      <c r="J144" s="60" t="str">
        <f>VLOOKUP(I144, 'Player rankings (Lawson Ranks)'!A:B, 2, FALSE)</f>
        <v>#N/A</v>
      </c>
      <c r="K144" s="668"/>
      <c r="L144" s="86"/>
    </row>
    <row r="145">
      <c r="E145" s="669"/>
      <c r="H145" s="86"/>
      <c r="I145" s="41" t="s">
        <v>2487</v>
      </c>
      <c r="J145" s="60" t="str">
        <f>VLOOKUP(I145, 'Player rankings (Lawson Ranks)'!A:B, 2, FALSE)</f>
        <v>#N/A</v>
      </c>
      <c r="K145" s="668"/>
      <c r="L145" s="86"/>
    </row>
    <row r="146">
      <c r="E146" s="669"/>
      <c r="H146" s="86"/>
      <c r="I146" s="41" t="s">
        <v>1050</v>
      </c>
      <c r="J146" s="60" t="str">
        <f>VLOOKUP(I146, 'Player rankings (Lawson Ranks)'!A:B, 2, FALSE)</f>
        <v>#N/A</v>
      </c>
      <c r="K146" s="668"/>
      <c r="L146" s="86"/>
    </row>
    <row r="147">
      <c r="E147" s="669"/>
      <c r="H147" s="86"/>
      <c r="I147" s="41" t="s">
        <v>1238</v>
      </c>
      <c r="J147" s="60" t="str">
        <f>VLOOKUP(I147, 'Player rankings (Lawson Ranks)'!A:B, 2, FALSE)</f>
        <v>#N/A</v>
      </c>
      <c r="K147" s="668"/>
      <c r="L147" s="86"/>
    </row>
    <row r="148">
      <c r="E148" s="669"/>
      <c r="H148" s="86"/>
      <c r="I148" s="41" t="s">
        <v>2488</v>
      </c>
      <c r="J148" s="60" t="str">
        <f>VLOOKUP(I148, 'Player rankings (Lawson Ranks)'!A:B, 2, FALSE)</f>
        <v>#N/A</v>
      </c>
      <c r="K148" s="668"/>
      <c r="L148" s="86"/>
    </row>
    <row r="149">
      <c r="E149" s="669"/>
      <c r="H149" s="86"/>
      <c r="I149" s="41" t="s">
        <v>1049</v>
      </c>
      <c r="J149" s="60" t="str">
        <f>VLOOKUP(I149, 'Player rankings (Lawson Ranks)'!A:B, 2, FALSE)</f>
        <v>#N/A</v>
      </c>
      <c r="K149" s="668"/>
      <c r="L149" s="86"/>
    </row>
    <row r="150">
      <c r="E150" s="669"/>
      <c r="H150" s="86"/>
      <c r="I150" s="41" t="s">
        <v>2489</v>
      </c>
      <c r="J150" s="60" t="str">
        <f>VLOOKUP(I150, 'Player rankings (Lawson Ranks)'!A:B, 2, FALSE)</f>
        <v>#N/A</v>
      </c>
      <c r="K150" s="668"/>
      <c r="L150" s="86"/>
    </row>
    <row r="151">
      <c r="E151" s="669"/>
      <c r="H151" s="86"/>
      <c r="I151" s="41" t="s">
        <v>2490</v>
      </c>
      <c r="J151" s="60" t="str">
        <f>VLOOKUP(I151, 'Player rankings (Lawson Ranks)'!A:B, 2, FALSE)</f>
        <v>#N/A</v>
      </c>
      <c r="K151" s="668"/>
      <c r="L151" s="86"/>
    </row>
    <row r="152">
      <c r="E152" s="669"/>
      <c r="H152" s="86"/>
      <c r="I152" s="41" t="s">
        <v>2491</v>
      </c>
      <c r="J152" s="60" t="str">
        <f>VLOOKUP(I152, 'Player rankings (Lawson Ranks)'!A:B, 2, FALSE)</f>
        <v>#N/A</v>
      </c>
      <c r="K152" s="668"/>
      <c r="L152" s="86"/>
    </row>
    <row r="153">
      <c r="E153" s="669"/>
      <c r="H153" s="86"/>
      <c r="I153" s="41" t="s">
        <v>2492</v>
      </c>
      <c r="J153" s="60" t="str">
        <f>VLOOKUP(I153, 'Player rankings (Lawson Ranks)'!A:B, 2, FALSE)</f>
        <v>#N/A</v>
      </c>
      <c r="K153" s="668"/>
      <c r="L153" s="86"/>
    </row>
    <row r="154">
      <c r="E154" s="669"/>
      <c r="H154" s="86"/>
      <c r="I154" s="41" t="s">
        <v>2493</v>
      </c>
      <c r="J154" s="60" t="str">
        <f>VLOOKUP(I154, 'Player rankings (Lawson Ranks)'!A:B, 2, FALSE)</f>
        <v>#N/A</v>
      </c>
      <c r="K154" s="668"/>
      <c r="L154" s="86"/>
    </row>
    <row r="155">
      <c r="E155" s="669"/>
      <c r="H155" s="86"/>
      <c r="I155" s="41" t="s">
        <v>2494</v>
      </c>
      <c r="J155" s="60" t="str">
        <f>VLOOKUP(I155, 'Player rankings (Lawson Ranks)'!A:B, 2, FALSE)</f>
        <v>#N/A</v>
      </c>
      <c r="K155" s="668"/>
      <c r="L155" s="86"/>
    </row>
    <row r="156">
      <c r="E156" s="669"/>
      <c r="H156" s="86"/>
      <c r="I156" s="41" t="s">
        <v>263</v>
      </c>
      <c r="J156" s="60" t="str">
        <f>VLOOKUP(I156, 'Player rankings (Lawson Ranks)'!A:B, 2, FALSE)</f>
        <v>#N/A</v>
      </c>
      <c r="K156" s="668"/>
      <c r="L156" s="86"/>
    </row>
    <row r="157">
      <c r="E157" s="669"/>
      <c r="H157" s="86"/>
      <c r="I157" s="41" t="s">
        <v>2495</v>
      </c>
      <c r="J157" s="60" t="str">
        <f>VLOOKUP(I157, 'Player rankings (Lawson Ranks)'!A:B, 2, FALSE)</f>
        <v>#N/A</v>
      </c>
      <c r="K157" s="668"/>
      <c r="L157" s="86"/>
    </row>
    <row r="158">
      <c r="E158" s="669"/>
      <c r="H158" s="86"/>
      <c r="I158" s="41" t="s">
        <v>2496</v>
      </c>
      <c r="J158" s="60" t="str">
        <f>VLOOKUP(I158, 'Player rankings (Lawson Ranks)'!A:B, 2, FALSE)</f>
        <v>#N/A</v>
      </c>
      <c r="K158" s="668"/>
      <c r="L158" s="86"/>
    </row>
    <row r="159">
      <c r="E159" s="669"/>
      <c r="H159" s="86"/>
      <c r="I159" s="41" t="s">
        <v>2497</v>
      </c>
      <c r="J159" s="60" t="str">
        <f>VLOOKUP(I159, 'Player rankings (Lawson Ranks)'!A:B, 2, FALSE)</f>
        <v>#N/A</v>
      </c>
      <c r="K159" s="668"/>
      <c r="L159" s="86"/>
    </row>
    <row r="160">
      <c r="E160" s="669"/>
      <c r="H160" s="86"/>
      <c r="I160" s="41" t="s">
        <v>2498</v>
      </c>
      <c r="J160" s="60" t="str">
        <f>VLOOKUP(I160, 'Player rankings (Lawson Ranks)'!A:B, 2, FALSE)</f>
        <v>#N/A</v>
      </c>
      <c r="K160" s="668"/>
      <c r="L160" s="86"/>
    </row>
    <row r="161">
      <c r="E161" s="669"/>
      <c r="H161" s="86"/>
      <c r="I161" s="41" t="s">
        <v>2499</v>
      </c>
      <c r="J161" s="60" t="str">
        <f>VLOOKUP(I161, 'Player rankings (Lawson Ranks)'!A:B, 2, FALSE)</f>
        <v>#N/A</v>
      </c>
      <c r="K161" s="668"/>
      <c r="L161" s="86"/>
    </row>
    <row r="162">
      <c r="E162" s="669"/>
      <c r="H162" s="86"/>
      <c r="I162" s="41" t="s">
        <v>2500</v>
      </c>
      <c r="J162" s="60" t="str">
        <f>VLOOKUP(I162, 'Player rankings (Lawson Ranks)'!A:B, 2, FALSE)</f>
        <v>#N/A</v>
      </c>
      <c r="K162" s="668"/>
      <c r="L162" s="86"/>
    </row>
    <row r="163">
      <c r="E163" s="669"/>
      <c r="H163" s="86"/>
      <c r="I163" s="41" t="s">
        <v>2501</v>
      </c>
      <c r="J163" s="60" t="str">
        <f>VLOOKUP(I163, 'Player rankings (Lawson Ranks)'!A:B, 2, FALSE)</f>
        <v>#N/A</v>
      </c>
      <c r="K163" s="668"/>
      <c r="L163" s="86"/>
    </row>
    <row r="164">
      <c r="E164" s="669"/>
      <c r="H164" s="86"/>
      <c r="I164" s="41" t="s">
        <v>2502</v>
      </c>
      <c r="J164" s="60" t="str">
        <f>VLOOKUP(I164, 'Player rankings (Lawson Ranks)'!A:B, 2, FALSE)</f>
        <v>#N/A</v>
      </c>
      <c r="K164" s="668"/>
      <c r="L164" s="86"/>
    </row>
    <row r="165">
      <c r="E165" s="669"/>
      <c r="H165" s="86"/>
      <c r="I165" s="41" t="s">
        <v>2503</v>
      </c>
      <c r="J165" s="60" t="str">
        <f>VLOOKUP(I165, 'Player rankings (Lawson Ranks)'!A:B, 2, FALSE)</f>
        <v>#N/A</v>
      </c>
      <c r="K165" s="668"/>
      <c r="L165" s="86"/>
    </row>
    <row r="166">
      <c r="E166" s="669"/>
      <c r="H166" s="86"/>
      <c r="I166" s="41" t="s">
        <v>2504</v>
      </c>
      <c r="J166" s="60" t="str">
        <f>VLOOKUP(I166, 'Player rankings (Lawson Ranks)'!A:B, 2, FALSE)</f>
        <v>#N/A</v>
      </c>
      <c r="K166" s="668"/>
      <c r="L166" s="86"/>
    </row>
    <row r="167">
      <c r="E167" s="669"/>
      <c r="H167" s="86"/>
      <c r="I167" s="41" t="s">
        <v>2505</v>
      </c>
      <c r="J167" s="60" t="str">
        <f>VLOOKUP(I167, 'Player rankings (Lawson Ranks)'!A:B, 2, FALSE)</f>
        <v>#N/A</v>
      </c>
      <c r="K167" s="668"/>
      <c r="L167" s="86"/>
    </row>
    <row r="168">
      <c r="E168" s="669"/>
      <c r="H168" s="86"/>
      <c r="I168" s="41" t="s">
        <v>1098</v>
      </c>
      <c r="J168" s="60" t="str">
        <f>VLOOKUP(I168, 'Player rankings (Lawson Ranks)'!A:B, 2, FALSE)</f>
        <v>#N/A</v>
      </c>
      <c r="K168" s="668"/>
      <c r="L168" s="86"/>
    </row>
    <row r="169">
      <c r="E169" s="669"/>
      <c r="H169" s="86"/>
      <c r="I169" s="41" t="s">
        <v>2506</v>
      </c>
      <c r="J169" s="60" t="str">
        <f>VLOOKUP(I169, 'Player rankings (Lawson Ranks)'!A:B, 2, FALSE)</f>
        <v>#N/A</v>
      </c>
      <c r="K169" s="668"/>
      <c r="L169" s="86"/>
    </row>
    <row r="170">
      <c r="E170" s="669"/>
      <c r="H170" s="86"/>
      <c r="I170" s="41" t="s">
        <v>247</v>
      </c>
      <c r="J170" s="60" t="str">
        <f>VLOOKUP(I170, 'Player rankings (Lawson Ranks)'!A:B, 2, FALSE)</f>
        <v>#N/A</v>
      </c>
      <c r="K170" s="668"/>
      <c r="L170" s="86"/>
    </row>
    <row r="171">
      <c r="E171" s="669"/>
      <c r="H171" s="86"/>
      <c r="I171" s="41" t="s">
        <v>835</v>
      </c>
      <c r="J171" s="60" t="str">
        <f>VLOOKUP(I171, 'Player rankings (Lawson Ranks)'!A:B, 2, FALSE)</f>
        <v>#N/A</v>
      </c>
      <c r="L171" s="86"/>
    </row>
    <row r="172">
      <c r="E172" s="669"/>
      <c r="H172" s="86"/>
      <c r="I172" s="41" t="s">
        <v>2507</v>
      </c>
      <c r="J172" s="60" t="str">
        <f>VLOOKUP(I172, 'Player rankings (Lawson Ranks)'!A:B, 2, FALSE)</f>
        <v>#N/A</v>
      </c>
      <c r="L172" s="86"/>
    </row>
    <row r="173">
      <c r="E173" s="669"/>
      <c r="H173" s="86"/>
      <c r="I173" s="41" t="s">
        <v>2508</v>
      </c>
      <c r="J173" s="60" t="str">
        <f>VLOOKUP(I173, 'Player rankings (Lawson Ranks)'!A:B, 2, FALSE)</f>
        <v>#N/A</v>
      </c>
      <c r="L173" s="86"/>
    </row>
    <row r="174">
      <c r="E174" s="669"/>
      <c r="H174" s="86"/>
      <c r="I174" s="41" t="s">
        <v>2509</v>
      </c>
      <c r="J174" s="60" t="str">
        <f>VLOOKUP(I174, 'Player rankings (Lawson Ranks)'!A:B, 2, FALSE)</f>
        <v>#N/A</v>
      </c>
      <c r="L174" s="86"/>
    </row>
    <row r="175">
      <c r="E175" s="669"/>
      <c r="H175" s="86"/>
      <c r="I175" s="41" t="s">
        <v>2510</v>
      </c>
      <c r="J175" s="60" t="str">
        <f>VLOOKUP(I175, 'Player rankings (Lawson Ranks)'!A:B, 2, FALSE)</f>
        <v>#N/A</v>
      </c>
      <c r="L175" s="86"/>
    </row>
    <row r="176">
      <c r="E176" s="669"/>
      <c r="H176" s="86"/>
      <c r="I176" s="41" t="s">
        <v>2338</v>
      </c>
      <c r="J176" s="60" t="str">
        <f>VLOOKUP(I176, 'Player rankings (Lawson Ranks)'!A:B, 2, FALSE)</f>
        <v>#N/A</v>
      </c>
      <c r="L176" s="86"/>
    </row>
    <row r="177">
      <c r="E177" s="669"/>
      <c r="H177" s="86"/>
      <c r="I177" s="41" t="s">
        <v>2511</v>
      </c>
      <c r="J177" s="60" t="str">
        <f>VLOOKUP(I177, 'Player rankings (Lawson Ranks)'!A:B, 2, FALSE)</f>
        <v>#N/A</v>
      </c>
      <c r="L177" s="86"/>
    </row>
    <row r="178">
      <c r="E178" s="669"/>
      <c r="H178" s="86"/>
      <c r="I178" s="41" t="s">
        <v>2326</v>
      </c>
      <c r="J178" s="60" t="str">
        <f>VLOOKUP(I178, 'Player rankings (Lawson Ranks)'!A:B, 2, FALSE)</f>
        <v>#N/A</v>
      </c>
      <c r="L178" s="86"/>
    </row>
    <row r="179">
      <c r="E179" s="669"/>
      <c r="H179" s="86"/>
      <c r="I179" s="41" t="s">
        <v>2512</v>
      </c>
      <c r="J179" s="60" t="str">
        <f>VLOOKUP(I179, 'Player rankings (Lawson Ranks)'!A:B, 2, FALSE)</f>
        <v>#N/A</v>
      </c>
      <c r="L179" s="86"/>
    </row>
    <row r="180">
      <c r="E180" s="669"/>
      <c r="H180" s="86"/>
      <c r="I180" s="41" t="s">
        <v>265</v>
      </c>
      <c r="J180" s="60" t="str">
        <f>VLOOKUP(I180, 'Player rankings (Lawson Ranks)'!A:B, 2, FALSE)</f>
        <v>#N/A</v>
      </c>
      <c r="L180" s="86"/>
    </row>
    <row r="181">
      <c r="E181" s="669"/>
      <c r="H181" s="86"/>
      <c r="I181" s="41" t="s">
        <v>2513</v>
      </c>
      <c r="J181" s="60" t="str">
        <f>VLOOKUP(I181, 'Player rankings (Lawson Ranks)'!A:B, 2, FALSE)</f>
        <v>#N/A</v>
      </c>
      <c r="L181" s="86"/>
    </row>
    <row r="182">
      <c r="E182" s="669"/>
      <c r="H182" s="86"/>
      <c r="I182" s="41" t="s">
        <v>2514</v>
      </c>
      <c r="J182" s="60" t="str">
        <f>VLOOKUP(I182, 'Player rankings (Lawson Ranks)'!A:B, 2, FALSE)</f>
        <v>#N/A</v>
      </c>
      <c r="L182" s="86"/>
    </row>
    <row r="183">
      <c r="E183" s="669"/>
      <c r="H183" s="86"/>
      <c r="I183" s="41" t="s">
        <v>2515</v>
      </c>
      <c r="J183" s="60" t="str">
        <f>VLOOKUP(I183, 'Player rankings (Lawson Ranks)'!A:B, 2, FALSE)</f>
        <v>#N/A</v>
      </c>
      <c r="L183" s="86"/>
    </row>
    <row r="184">
      <c r="E184" s="669"/>
      <c r="H184" s="86"/>
      <c r="I184" s="41" t="s">
        <v>2516</v>
      </c>
      <c r="J184" s="60" t="str">
        <f>VLOOKUP(I184, 'Player rankings (Lawson Ranks)'!A:B, 2, FALSE)</f>
        <v>#N/A</v>
      </c>
      <c r="L184" s="86"/>
    </row>
    <row r="185">
      <c r="E185" s="669"/>
      <c r="H185" s="86"/>
      <c r="I185" s="41" t="s">
        <v>2517</v>
      </c>
      <c r="J185" s="60" t="str">
        <f>VLOOKUP(I185, 'Player rankings (Lawson Ranks)'!A:B, 2, FALSE)</f>
        <v>#N/A</v>
      </c>
      <c r="L185" s="86"/>
    </row>
    <row r="186">
      <c r="E186" s="669"/>
      <c r="H186" s="86"/>
      <c r="I186" s="41" t="s">
        <v>2518</v>
      </c>
      <c r="J186" s="60" t="str">
        <f>VLOOKUP(I186, 'Player rankings (Lawson Ranks)'!A:B, 2, FALSE)</f>
        <v>#N/A</v>
      </c>
      <c r="L186" s="86"/>
    </row>
    <row r="187">
      <c r="E187" s="669"/>
      <c r="H187" s="86"/>
      <c r="I187" s="41" t="s">
        <v>2519</v>
      </c>
      <c r="J187" s="60" t="str">
        <f>VLOOKUP(I187, 'Player rankings (Lawson Ranks)'!A:B, 2, FALSE)</f>
        <v>#N/A</v>
      </c>
      <c r="L187" s="86"/>
    </row>
    <row r="188">
      <c r="E188" s="669"/>
      <c r="H188" s="86"/>
      <c r="I188" s="41" t="s">
        <v>234</v>
      </c>
      <c r="J188" s="60" t="str">
        <f>VLOOKUP(I188, 'Player rankings (Lawson Ranks)'!A:B, 2, FALSE)</f>
        <v>#N/A</v>
      </c>
      <c r="L188" s="86"/>
    </row>
    <row r="189">
      <c r="E189" s="669"/>
      <c r="H189" s="86"/>
      <c r="I189" s="41" t="s">
        <v>2520</v>
      </c>
      <c r="J189" s="60" t="str">
        <f>VLOOKUP(I189, 'Player rankings (Lawson Ranks)'!A:B, 2, FALSE)</f>
        <v>#N/A</v>
      </c>
      <c r="L189" s="86"/>
    </row>
    <row r="190">
      <c r="E190" s="669"/>
      <c r="H190" s="86"/>
      <c r="I190" s="41" t="s">
        <v>2250</v>
      </c>
      <c r="J190" s="60" t="str">
        <f>VLOOKUP(I190, 'Player rankings (Lawson Ranks)'!A:B, 2, FALSE)</f>
        <v>#N/A</v>
      </c>
      <c r="L190" s="86"/>
    </row>
    <row r="191">
      <c r="E191" s="669"/>
      <c r="H191" s="86"/>
      <c r="I191" s="41" t="s">
        <v>2521</v>
      </c>
      <c r="J191" s="60" t="str">
        <f>VLOOKUP(I191, 'Player rankings (Lawson Ranks)'!A:B, 2, FALSE)</f>
        <v>#N/A</v>
      </c>
      <c r="L191" s="86"/>
    </row>
    <row r="192">
      <c r="E192" s="669"/>
      <c r="H192" s="86"/>
      <c r="I192" s="41" t="s">
        <v>2522</v>
      </c>
      <c r="J192" s="60" t="str">
        <f>VLOOKUP(I192, 'Player rankings (Lawson Ranks)'!A:B, 2, FALSE)</f>
        <v>#N/A</v>
      </c>
      <c r="L192" s="86"/>
    </row>
    <row r="193">
      <c r="E193" s="669"/>
      <c r="H193" s="86"/>
      <c r="I193" s="41" t="s">
        <v>2298</v>
      </c>
      <c r="J193" s="60" t="str">
        <f>VLOOKUP(I193, 'Player rankings (Lawson Ranks)'!A:B, 2, FALSE)</f>
        <v>#N/A</v>
      </c>
      <c r="L193" s="86"/>
    </row>
    <row r="194">
      <c r="E194" s="669"/>
      <c r="H194" s="86"/>
      <c r="I194" s="41" t="s">
        <v>918</v>
      </c>
      <c r="J194" s="60" t="str">
        <f>VLOOKUP(I194, 'Player rankings (Lawson Ranks)'!A:B, 2, FALSE)</f>
        <v>#N/A</v>
      </c>
      <c r="L194" s="86"/>
    </row>
    <row r="195">
      <c r="E195" s="669"/>
      <c r="H195" s="86"/>
      <c r="I195" s="41" t="s">
        <v>272</v>
      </c>
      <c r="J195" s="60" t="str">
        <f>VLOOKUP(I195, 'Player rankings (Lawson Ranks)'!A:B, 2, FALSE)</f>
        <v>#N/A</v>
      </c>
      <c r="L195" s="86"/>
    </row>
    <row r="196">
      <c r="E196" s="669"/>
      <c r="H196" s="86"/>
      <c r="I196" s="41" t="s">
        <v>2523</v>
      </c>
      <c r="J196" s="60" t="str">
        <f>VLOOKUP(I196, 'Player rankings (Lawson Ranks)'!A:B, 2, FALSE)</f>
        <v>#N/A</v>
      </c>
      <c r="L196" s="86"/>
    </row>
    <row r="197">
      <c r="E197" s="669"/>
      <c r="H197" s="86"/>
      <c r="I197" s="41" t="s">
        <v>2524</v>
      </c>
      <c r="J197" s="60" t="str">
        <f>VLOOKUP(I197, 'Player rankings (Lawson Ranks)'!A:B, 2, FALSE)</f>
        <v>#N/A</v>
      </c>
      <c r="L197" s="86"/>
    </row>
    <row r="198">
      <c r="E198" s="669"/>
      <c r="H198" s="86"/>
      <c r="I198" s="41" t="s">
        <v>2525</v>
      </c>
      <c r="J198" s="60" t="str">
        <f>VLOOKUP(I198, 'Player rankings (Lawson Ranks)'!A:B, 2, FALSE)</f>
        <v>#N/A</v>
      </c>
      <c r="L198" s="86"/>
    </row>
    <row r="199">
      <c r="E199" s="669"/>
      <c r="H199" s="86"/>
      <c r="I199" s="41" t="s">
        <v>262</v>
      </c>
      <c r="J199" s="60" t="str">
        <f>VLOOKUP(I199, 'Player rankings (Lawson Ranks)'!A:B, 2, FALSE)</f>
        <v>#N/A</v>
      </c>
      <c r="L199" s="86"/>
    </row>
    <row r="200">
      <c r="E200" s="669"/>
      <c r="H200" s="86"/>
      <c r="I200" s="41" t="s">
        <v>2526</v>
      </c>
      <c r="J200" s="60" t="str">
        <f>VLOOKUP(I200, 'Player rankings (Lawson Ranks)'!A:B, 2, FALSE)</f>
        <v>#N/A</v>
      </c>
      <c r="L200" s="86"/>
    </row>
    <row r="201">
      <c r="E201" s="669"/>
      <c r="H201" s="86"/>
      <c r="J201" s="60"/>
      <c r="L201" s="86"/>
    </row>
    <row r="202">
      <c r="E202" s="669"/>
      <c r="H202" s="86"/>
      <c r="J202" s="60"/>
      <c r="L202" s="86"/>
    </row>
    <row r="203">
      <c r="E203" s="669"/>
      <c r="H203" s="86"/>
      <c r="J203" s="60"/>
      <c r="L203" s="86"/>
    </row>
    <row r="204">
      <c r="E204" s="669"/>
      <c r="H204" s="86"/>
      <c r="J204" s="60"/>
      <c r="L204" s="86"/>
    </row>
    <row r="205">
      <c r="E205" s="669"/>
      <c r="H205" s="86"/>
      <c r="J205" s="60"/>
      <c r="L205" s="86"/>
    </row>
    <row r="206">
      <c r="E206" s="669"/>
      <c r="H206" s="86"/>
      <c r="J206" s="60"/>
      <c r="L206" s="86"/>
    </row>
    <row r="207">
      <c r="E207" s="669"/>
      <c r="H207" s="86"/>
      <c r="J207" s="60"/>
      <c r="L207" s="86"/>
    </row>
    <row r="208">
      <c r="E208" s="669"/>
      <c r="H208" s="86"/>
      <c r="J208" s="60"/>
      <c r="L208" s="86"/>
    </row>
    <row r="209">
      <c r="E209" s="669"/>
      <c r="H209" s="86"/>
      <c r="J209" s="60"/>
      <c r="L209" s="86"/>
    </row>
    <row r="210">
      <c r="E210" s="669"/>
      <c r="H210" s="86"/>
      <c r="J210" s="60"/>
      <c r="L210" s="86"/>
    </row>
    <row r="211">
      <c r="E211" s="669"/>
      <c r="H211" s="86"/>
      <c r="J211" s="60"/>
      <c r="L211" s="86"/>
    </row>
    <row r="212">
      <c r="E212" s="669"/>
      <c r="H212" s="86"/>
      <c r="J212" s="60"/>
      <c r="L212" s="86"/>
    </row>
    <row r="213">
      <c r="E213" s="669"/>
      <c r="H213" s="86"/>
      <c r="J213" s="60"/>
      <c r="L213" s="86"/>
    </row>
    <row r="214">
      <c r="E214" s="669"/>
      <c r="H214" s="86"/>
      <c r="J214" s="60"/>
      <c r="L214" s="86"/>
    </row>
    <row r="215">
      <c r="E215" s="669"/>
      <c r="H215" s="86"/>
      <c r="J215" s="60"/>
      <c r="L215" s="86"/>
    </row>
    <row r="216">
      <c r="E216" s="669"/>
      <c r="H216" s="86"/>
      <c r="J216" s="60"/>
      <c r="L216" s="86"/>
    </row>
    <row r="217">
      <c r="E217" s="669"/>
      <c r="H217" s="86"/>
      <c r="J217" s="60"/>
      <c r="L217" s="86"/>
    </row>
    <row r="218">
      <c r="E218" s="669"/>
      <c r="H218" s="86"/>
      <c r="J218" s="60"/>
      <c r="L218" s="86"/>
    </row>
    <row r="219">
      <c r="E219" s="669"/>
      <c r="H219" s="86"/>
      <c r="J219" s="60"/>
      <c r="L219" s="86"/>
    </row>
    <row r="220">
      <c r="E220" s="669"/>
      <c r="H220" s="86"/>
      <c r="J220" s="60"/>
      <c r="L220" s="86"/>
    </row>
    <row r="221">
      <c r="E221" s="669"/>
      <c r="H221" s="86"/>
      <c r="J221" s="60"/>
      <c r="L221" s="86"/>
    </row>
    <row r="222">
      <c r="E222" s="669"/>
      <c r="H222" s="86"/>
      <c r="J222" s="60"/>
      <c r="L222" s="86"/>
    </row>
    <row r="223">
      <c r="E223" s="669"/>
      <c r="H223" s="86"/>
      <c r="J223" s="60"/>
      <c r="L223" s="86"/>
    </row>
    <row r="224">
      <c r="E224" s="669"/>
      <c r="H224" s="86"/>
      <c r="J224" s="60"/>
      <c r="L224" s="86"/>
    </row>
    <row r="225">
      <c r="E225" s="669"/>
      <c r="H225" s="86"/>
      <c r="J225" s="60"/>
      <c r="L225" s="86"/>
    </row>
    <row r="226">
      <c r="E226" s="669"/>
      <c r="H226" s="86"/>
      <c r="J226" s="60"/>
      <c r="L226" s="86"/>
    </row>
    <row r="227">
      <c r="E227" s="669"/>
      <c r="H227" s="86"/>
      <c r="J227" s="60"/>
      <c r="L227" s="86"/>
    </row>
    <row r="228">
      <c r="E228" s="669"/>
      <c r="H228" s="86"/>
      <c r="J228" s="60"/>
      <c r="L228" s="86"/>
    </row>
    <row r="229">
      <c r="E229" s="669"/>
      <c r="H229" s="86"/>
      <c r="J229" s="60"/>
      <c r="L229" s="86"/>
    </row>
    <row r="230">
      <c r="E230" s="669"/>
      <c r="H230" s="86"/>
      <c r="J230" s="60"/>
      <c r="L230" s="86"/>
    </row>
    <row r="231">
      <c r="E231" s="669"/>
      <c r="H231" s="86"/>
      <c r="J231" s="60"/>
      <c r="L231" s="86"/>
    </row>
    <row r="232">
      <c r="E232" s="669"/>
      <c r="H232" s="86"/>
      <c r="J232" s="60"/>
      <c r="L232" s="86"/>
    </row>
    <row r="233">
      <c r="E233" s="669"/>
      <c r="H233" s="86"/>
      <c r="J233" s="60"/>
      <c r="L233" s="86"/>
    </row>
    <row r="234">
      <c r="E234" s="669"/>
      <c r="H234" s="86"/>
      <c r="J234" s="60"/>
      <c r="L234" s="86"/>
    </row>
    <row r="235">
      <c r="E235" s="669"/>
      <c r="H235" s="86"/>
      <c r="J235" s="60"/>
      <c r="L235" s="86"/>
    </row>
    <row r="236">
      <c r="E236" s="669"/>
      <c r="H236" s="86"/>
      <c r="J236" s="60"/>
      <c r="L236" s="86"/>
    </row>
    <row r="237">
      <c r="E237" s="669"/>
      <c r="H237" s="86"/>
      <c r="J237" s="60"/>
      <c r="L237" s="86"/>
    </row>
    <row r="238">
      <c r="E238" s="669"/>
      <c r="H238" s="86"/>
      <c r="J238" s="60"/>
      <c r="L238" s="86"/>
    </row>
    <row r="239">
      <c r="E239" s="669"/>
      <c r="H239" s="86"/>
      <c r="J239" s="60"/>
      <c r="L239" s="86"/>
    </row>
    <row r="240">
      <c r="E240" s="669"/>
      <c r="H240" s="86"/>
      <c r="J240" s="60"/>
      <c r="L240" s="86"/>
    </row>
    <row r="241">
      <c r="E241" s="669"/>
      <c r="H241" s="86"/>
      <c r="J241" s="60"/>
      <c r="L241" s="86"/>
    </row>
    <row r="242">
      <c r="E242" s="669"/>
      <c r="H242" s="86"/>
      <c r="J242" s="60"/>
      <c r="L242" s="86"/>
    </row>
    <row r="243">
      <c r="E243" s="669"/>
      <c r="H243" s="86"/>
      <c r="J243" s="60"/>
      <c r="L243" s="86"/>
    </row>
    <row r="244">
      <c r="E244" s="669"/>
      <c r="H244" s="86"/>
      <c r="J244" s="60"/>
      <c r="L244" s="86"/>
    </row>
    <row r="245">
      <c r="E245" s="669"/>
      <c r="H245" s="86"/>
      <c r="J245" s="60"/>
      <c r="L245" s="86"/>
    </row>
    <row r="246">
      <c r="E246" s="669"/>
      <c r="H246" s="86"/>
      <c r="J246" s="60"/>
      <c r="L246" s="86"/>
    </row>
    <row r="247">
      <c r="E247" s="669"/>
      <c r="H247" s="86"/>
      <c r="J247" s="60"/>
      <c r="L247" s="86"/>
    </row>
    <row r="248">
      <c r="E248" s="669"/>
      <c r="H248" s="86"/>
      <c r="J248" s="60"/>
      <c r="L248" s="86"/>
    </row>
    <row r="249">
      <c r="E249" s="669"/>
      <c r="H249" s="86"/>
      <c r="J249" s="60"/>
      <c r="L249" s="86"/>
    </row>
    <row r="250">
      <c r="E250" s="669"/>
      <c r="H250" s="86"/>
      <c r="J250" s="60"/>
      <c r="L250" s="86"/>
    </row>
    <row r="251">
      <c r="E251" s="669"/>
      <c r="H251" s="86"/>
      <c r="J251" s="60"/>
      <c r="L251" s="86"/>
    </row>
    <row r="252">
      <c r="E252" s="669"/>
      <c r="H252" s="86"/>
      <c r="J252" s="60"/>
      <c r="L252" s="86"/>
    </row>
    <row r="253">
      <c r="E253" s="669"/>
      <c r="H253" s="86"/>
      <c r="J253" s="60"/>
      <c r="L253" s="86"/>
    </row>
    <row r="254">
      <c r="E254" s="669"/>
      <c r="H254" s="86"/>
      <c r="J254" s="60"/>
      <c r="L254" s="86"/>
    </row>
    <row r="255">
      <c r="E255" s="669"/>
      <c r="H255" s="86"/>
      <c r="J255" s="60"/>
      <c r="L255" s="86"/>
    </row>
    <row r="256">
      <c r="E256" s="669"/>
      <c r="H256" s="86"/>
      <c r="J256" s="60"/>
      <c r="L256" s="86"/>
    </row>
    <row r="257">
      <c r="E257" s="669"/>
      <c r="H257" s="86"/>
      <c r="J257" s="60"/>
      <c r="L257" s="86"/>
    </row>
    <row r="258">
      <c r="E258" s="669"/>
      <c r="H258" s="86"/>
      <c r="J258" s="60"/>
      <c r="L258" s="86"/>
    </row>
    <row r="259">
      <c r="E259" s="669"/>
      <c r="H259" s="86"/>
      <c r="J259" s="60"/>
      <c r="L259" s="86"/>
    </row>
    <row r="260">
      <c r="E260" s="669"/>
      <c r="H260" s="86"/>
      <c r="J260" s="60"/>
      <c r="L260" s="86"/>
    </row>
    <row r="261">
      <c r="E261" s="669"/>
      <c r="H261" s="86"/>
      <c r="J261" s="60"/>
      <c r="L261" s="86"/>
    </row>
    <row r="262">
      <c r="E262" s="669"/>
      <c r="H262" s="86"/>
      <c r="J262" s="60"/>
      <c r="L262" s="86"/>
    </row>
    <row r="263">
      <c r="E263" s="669"/>
      <c r="H263" s="86"/>
      <c r="J263" s="60"/>
      <c r="L263" s="86"/>
    </row>
    <row r="264">
      <c r="E264" s="669"/>
      <c r="H264" s="86"/>
      <c r="J264" s="60"/>
      <c r="L264" s="86"/>
    </row>
    <row r="265">
      <c r="E265" s="669"/>
      <c r="H265" s="86"/>
      <c r="J265" s="60"/>
      <c r="L265" s="86"/>
    </row>
    <row r="266">
      <c r="E266" s="669"/>
      <c r="H266" s="86"/>
      <c r="J266" s="60"/>
      <c r="L266" s="86"/>
    </row>
    <row r="267">
      <c r="E267" s="669"/>
      <c r="H267" s="86"/>
      <c r="J267" s="60"/>
      <c r="L267" s="86"/>
    </row>
    <row r="268">
      <c r="E268" s="669"/>
      <c r="H268" s="86"/>
      <c r="J268" s="60"/>
      <c r="L268" s="86"/>
    </row>
    <row r="269">
      <c r="E269" s="669"/>
      <c r="H269" s="86"/>
      <c r="J269" s="60"/>
      <c r="L269" s="86"/>
    </row>
    <row r="270">
      <c r="E270" s="669"/>
      <c r="H270" s="86"/>
      <c r="J270" s="60"/>
      <c r="L270" s="86"/>
    </row>
    <row r="271">
      <c r="E271" s="669"/>
      <c r="H271" s="86"/>
      <c r="J271" s="60"/>
      <c r="L271" s="86"/>
    </row>
    <row r="272">
      <c r="E272" s="669"/>
      <c r="H272" s="86"/>
      <c r="J272" s="60"/>
      <c r="L272" s="86"/>
    </row>
    <row r="273">
      <c r="E273" s="669"/>
      <c r="H273" s="86"/>
      <c r="J273" s="60"/>
      <c r="L273" s="86"/>
    </row>
    <row r="274">
      <c r="E274" s="669"/>
      <c r="H274" s="86"/>
      <c r="J274" s="60"/>
      <c r="L274" s="86"/>
    </row>
    <row r="275">
      <c r="E275" s="669"/>
      <c r="H275" s="86"/>
      <c r="J275" s="60"/>
      <c r="L275" s="86"/>
    </row>
    <row r="276">
      <c r="E276" s="669"/>
      <c r="H276" s="86"/>
      <c r="J276" s="60"/>
      <c r="L276" s="86"/>
    </row>
    <row r="277">
      <c r="E277" s="669"/>
      <c r="H277" s="86"/>
      <c r="J277" s="60"/>
      <c r="L277" s="86"/>
    </row>
    <row r="278">
      <c r="E278" s="669"/>
      <c r="H278" s="86"/>
      <c r="J278" s="60"/>
      <c r="L278" s="86"/>
    </row>
    <row r="279">
      <c r="E279" s="669"/>
      <c r="H279" s="86"/>
      <c r="J279" s="60"/>
      <c r="L279" s="86"/>
    </row>
    <row r="280">
      <c r="E280" s="669"/>
      <c r="H280" s="86"/>
      <c r="J280" s="60"/>
      <c r="L280" s="86"/>
    </row>
    <row r="281">
      <c r="E281" s="669"/>
      <c r="H281" s="86"/>
      <c r="J281" s="60"/>
      <c r="L281" s="86"/>
    </row>
    <row r="282">
      <c r="E282" s="669"/>
      <c r="H282" s="86"/>
      <c r="J282" s="60"/>
      <c r="L282" s="86"/>
    </row>
    <row r="283">
      <c r="E283" s="669"/>
      <c r="H283" s="86"/>
      <c r="J283" s="60"/>
      <c r="L283" s="86"/>
    </row>
    <row r="284">
      <c r="E284" s="669"/>
      <c r="H284" s="86"/>
      <c r="J284" s="60"/>
      <c r="L284" s="86"/>
    </row>
    <row r="285">
      <c r="E285" s="669"/>
      <c r="H285" s="86"/>
      <c r="J285" s="60"/>
      <c r="L285" s="86"/>
    </row>
    <row r="286">
      <c r="E286" s="669"/>
      <c r="H286" s="86"/>
      <c r="J286" s="60"/>
      <c r="L286" s="86"/>
    </row>
    <row r="287">
      <c r="E287" s="669"/>
      <c r="H287" s="86"/>
      <c r="J287" s="60"/>
      <c r="L287" s="86"/>
    </row>
    <row r="288">
      <c r="E288" s="669"/>
      <c r="H288" s="86"/>
      <c r="J288" s="60"/>
      <c r="L288" s="86"/>
    </row>
    <row r="289">
      <c r="E289" s="669"/>
      <c r="H289" s="86"/>
      <c r="J289" s="60"/>
      <c r="L289" s="86"/>
    </row>
    <row r="290">
      <c r="E290" s="669"/>
      <c r="H290" s="86"/>
      <c r="J290" s="60"/>
      <c r="L290" s="86"/>
    </row>
    <row r="291">
      <c r="E291" s="669"/>
      <c r="H291" s="86"/>
      <c r="J291" s="60"/>
      <c r="L291" s="86"/>
    </row>
    <row r="292">
      <c r="E292" s="669"/>
      <c r="H292" s="86"/>
      <c r="J292" s="60"/>
      <c r="L292" s="86"/>
    </row>
    <row r="293">
      <c r="E293" s="669"/>
      <c r="H293" s="86"/>
      <c r="J293" s="60"/>
      <c r="L293" s="86"/>
    </row>
    <row r="294">
      <c r="E294" s="669"/>
      <c r="H294" s="86"/>
      <c r="J294" s="60"/>
      <c r="L294" s="86"/>
    </row>
    <row r="295">
      <c r="E295" s="669"/>
      <c r="H295" s="86"/>
      <c r="J295" s="60"/>
      <c r="L295" s="86"/>
    </row>
    <row r="296">
      <c r="E296" s="669"/>
      <c r="H296" s="86"/>
      <c r="J296" s="60"/>
      <c r="L296" s="86"/>
    </row>
    <row r="297">
      <c r="E297" s="669"/>
      <c r="H297" s="86"/>
      <c r="J297" s="60"/>
      <c r="L297" s="86"/>
    </row>
    <row r="298">
      <c r="E298" s="669"/>
      <c r="H298" s="86"/>
      <c r="J298" s="60"/>
      <c r="L298" s="86"/>
    </row>
    <row r="299">
      <c r="E299" s="669"/>
      <c r="H299" s="86"/>
      <c r="J299" s="60"/>
      <c r="L299" s="86"/>
    </row>
    <row r="300">
      <c r="E300" s="669"/>
      <c r="H300" s="86"/>
      <c r="J300" s="60"/>
      <c r="L300" s="86"/>
    </row>
    <row r="301">
      <c r="E301" s="669"/>
      <c r="H301" s="86"/>
      <c r="J301" s="60"/>
      <c r="L301" s="86"/>
    </row>
    <row r="302">
      <c r="E302" s="669"/>
      <c r="H302" s="86"/>
      <c r="J302" s="60"/>
      <c r="L302" s="86"/>
    </row>
    <row r="303">
      <c r="E303" s="669"/>
      <c r="H303" s="86"/>
      <c r="J303" s="60"/>
      <c r="L303" s="86"/>
    </row>
    <row r="304">
      <c r="E304" s="669"/>
      <c r="H304" s="86"/>
      <c r="J304" s="60"/>
      <c r="L304" s="86"/>
    </row>
    <row r="305">
      <c r="E305" s="669"/>
      <c r="H305" s="86"/>
      <c r="J305" s="60"/>
      <c r="L305" s="86"/>
    </row>
    <row r="306">
      <c r="E306" s="669"/>
      <c r="H306" s="86"/>
      <c r="J306" s="60"/>
      <c r="L306" s="86"/>
    </row>
    <row r="307">
      <c r="E307" s="669"/>
      <c r="H307" s="86"/>
      <c r="J307" s="60"/>
      <c r="L307" s="86"/>
    </row>
    <row r="308">
      <c r="E308" s="669"/>
      <c r="H308" s="86"/>
      <c r="J308" s="60"/>
      <c r="L308" s="86"/>
    </row>
    <row r="309">
      <c r="E309" s="669"/>
      <c r="H309" s="86"/>
      <c r="J309" s="60"/>
      <c r="L309" s="86"/>
    </row>
    <row r="310">
      <c r="E310" s="669"/>
      <c r="H310" s="86"/>
      <c r="J310" s="60"/>
      <c r="L310" s="86"/>
    </row>
    <row r="311">
      <c r="E311" s="669"/>
      <c r="H311" s="86"/>
      <c r="J311" s="60"/>
      <c r="L311" s="86"/>
    </row>
    <row r="312">
      <c r="E312" s="669"/>
      <c r="H312" s="86"/>
      <c r="J312" s="60"/>
      <c r="L312" s="86"/>
    </row>
    <row r="313">
      <c r="E313" s="669"/>
      <c r="H313" s="86"/>
      <c r="J313" s="60"/>
      <c r="L313" s="86"/>
    </row>
    <row r="314">
      <c r="E314" s="669"/>
      <c r="H314" s="86"/>
      <c r="J314" s="60"/>
      <c r="L314" s="86"/>
    </row>
    <row r="315">
      <c r="E315" s="669"/>
      <c r="H315" s="86"/>
      <c r="J315" s="60"/>
      <c r="L315" s="86"/>
    </row>
    <row r="316">
      <c r="E316" s="669"/>
      <c r="H316" s="86"/>
      <c r="J316" s="60"/>
      <c r="L316" s="86"/>
    </row>
    <row r="317">
      <c r="E317" s="669"/>
      <c r="H317" s="86"/>
      <c r="J317" s="60"/>
      <c r="L317" s="86"/>
    </row>
    <row r="318">
      <c r="E318" s="669"/>
      <c r="H318" s="86"/>
      <c r="J318" s="60"/>
      <c r="L318" s="86"/>
    </row>
    <row r="319">
      <c r="E319" s="669"/>
      <c r="H319" s="86"/>
      <c r="J319" s="60"/>
      <c r="L319" s="86"/>
    </row>
    <row r="320">
      <c r="E320" s="669"/>
      <c r="H320" s="86"/>
      <c r="J320" s="60"/>
      <c r="L320" s="86"/>
    </row>
    <row r="321">
      <c r="E321" s="669"/>
      <c r="H321" s="86"/>
      <c r="J321" s="60"/>
      <c r="L321" s="86"/>
    </row>
    <row r="322">
      <c r="E322" s="669"/>
      <c r="H322" s="86"/>
      <c r="J322" s="60"/>
      <c r="L322" s="86"/>
    </row>
    <row r="323">
      <c r="E323" s="669"/>
      <c r="H323" s="86"/>
      <c r="J323" s="60"/>
      <c r="L323" s="86"/>
    </row>
    <row r="324">
      <c r="E324" s="669"/>
      <c r="H324" s="86"/>
      <c r="J324" s="60"/>
      <c r="L324" s="86"/>
    </row>
    <row r="325">
      <c r="E325" s="669"/>
      <c r="H325" s="86"/>
      <c r="J325" s="60"/>
      <c r="L325" s="86"/>
    </row>
    <row r="326">
      <c r="E326" s="669"/>
      <c r="H326" s="86"/>
      <c r="J326" s="60"/>
      <c r="L326" s="86"/>
    </row>
    <row r="327">
      <c r="E327" s="669"/>
      <c r="H327" s="86"/>
      <c r="J327" s="60"/>
      <c r="L327" s="86"/>
    </row>
    <row r="328">
      <c r="E328" s="669"/>
      <c r="H328" s="86"/>
      <c r="J328" s="60"/>
      <c r="L328" s="86"/>
    </row>
    <row r="329">
      <c r="E329" s="669"/>
      <c r="H329" s="86"/>
      <c r="J329" s="60"/>
      <c r="L329" s="86"/>
    </row>
    <row r="330">
      <c r="E330" s="669"/>
      <c r="H330" s="86"/>
      <c r="J330" s="60"/>
      <c r="L330" s="86"/>
    </row>
    <row r="331">
      <c r="E331" s="669"/>
      <c r="H331" s="86"/>
      <c r="J331" s="60"/>
      <c r="L331" s="86"/>
    </row>
    <row r="332">
      <c r="E332" s="669"/>
      <c r="H332" s="86"/>
      <c r="J332" s="60"/>
      <c r="L332" s="86"/>
    </row>
    <row r="333">
      <c r="E333" s="669"/>
      <c r="H333" s="86"/>
      <c r="J333" s="60"/>
      <c r="L333" s="86"/>
    </row>
    <row r="334">
      <c r="E334" s="669"/>
      <c r="H334" s="86"/>
      <c r="J334" s="60"/>
      <c r="L334" s="86"/>
    </row>
    <row r="335">
      <c r="E335" s="669"/>
      <c r="H335" s="86"/>
      <c r="J335" s="60"/>
      <c r="L335" s="86"/>
    </row>
    <row r="336">
      <c r="E336" s="669"/>
      <c r="H336" s="86"/>
      <c r="J336" s="60"/>
      <c r="L336" s="86"/>
    </row>
    <row r="337">
      <c r="E337" s="669"/>
      <c r="H337" s="86"/>
      <c r="J337" s="60"/>
      <c r="L337" s="86"/>
    </row>
    <row r="338">
      <c r="E338" s="669"/>
      <c r="H338" s="86"/>
      <c r="J338" s="60"/>
      <c r="L338" s="86"/>
    </row>
    <row r="339">
      <c r="E339" s="669"/>
      <c r="H339" s="86"/>
      <c r="J339" s="60"/>
      <c r="L339" s="86"/>
    </row>
    <row r="340">
      <c r="E340" s="669"/>
      <c r="H340" s="86"/>
      <c r="J340" s="60"/>
      <c r="L340" s="86"/>
    </row>
    <row r="341">
      <c r="E341" s="669"/>
      <c r="H341" s="86"/>
      <c r="J341" s="60"/>
      <c r="L341" s="86"/>
    </row>
    <row r="342">
      <c r="E342" s="669"/>
      <c r="H342" s="86"/>
      <c r="J342" s="60"/>
      <c r="L342" s="86"/>
    </row>
    <row r="343">
      <c r="E343" s="669"/>
      <c r="H343" s="86"/>
      <c r="J343" s="60"/>
      <c r="L343" s="86"/>
    </row>
    <row r="344">
      <c r="E344" s="669"/>
      <c r="H344" s="86"/>
      <c r="J344" s="60"/>
      <c r="L344" s="86"/>
    </row>
    <row r="345">
      <c r="E345" s="669"/>
      <c r="H345" s="86"/>
      <c r="J345" s="60"/>
      <c r="L345" s="86"/>
    </row>
    <row r="346">
      <c r="E346" s="669"/>
      <c r="H346" s="86"/>
      <c r="J346" s="60"/>
      <c r="L346" s="86"/>
    </row>
    <row r="347">
      <c r="E347" s="669"/>
      <c r="H347" s="86"/>
      <c r="J347" s="60"/>
      <c r="L347" s="86"/>
    </row>
    <row r="348">
      <c r="E348" s="669"/>
      <c r="H348" s="86"/>
      <c r="J348" s="60"/>
      <c r="L348" s="86"/>
    </row>
    <row r="349">
      <c r="E349" s="669"/>
      <c r="H349" s="86"/>
      <c r="J349" s="60"/>
      <c r="L349" s="86"/>
    </row>
    <row r="350">
      <c r="E350" s="669"/>
      <c r="H350" s="86"/>
      <c r="J350" s="60"/>
      <c r="L350" s="86"/>
    </row>
    <row r="351">
      <c r="E351" s="669"/>
      <c r="H351" s="86"/>
      <c r="J351" s="60"/>
      <c r="L351" s="86"/>
    </row>
    <row r="352">
      <c r="E352" s="669"/>
      <c r="H352" s="86"/>
      <c r="J352" s="60"/>
      <c r="L352" s="86"/>
    </row>
    <row r="353">
      <c r="E353" s="669"/>
      <c r="H353" s="86"/>
      <c r="J353" s="60"/>
      <c r="L353" s="86"/>
    </row>
    <row r="354">
      <c r="E354" s="669"/>
      <c r="H354" s="86"/>
      <c r="J354" s="60"/>
      <c r="L354" s="86"/>
    </row>
    <row r="355">
      <c r="E355" s="669"/>
      <c r="H355" s="86"/>
      <c r="J355" s="60"/>
      <c r="L355" s="86"/>
    </row>
    <row r="356">
      <c r="E356" s="669"/>
      <c r="H356" s="86"/>
      <c r="J356" s="60"/>
      <c r="L356" s="86"/>
    </row>
    <row r="357">
      <c r="E357" s="669"/>
      <c r="H357" s="86"/>
      <c r="J357" s="60"/>
      <c r="L357" s="86"/>
    </row>
    <row r="358">
      <c r="E358" s="669"/>
      <c r="H358" s="86"/>
      <c r="J358" s="60"/>
      <c r="L358" s="86"/>
    </row>
    <row r="359">
      <c r="E359" s="669"/>
      <c r="H359" s="86"/>
      <c r="J359" s="60"/>
      <c r="L359" s="86"/>
    </row>
    <row r="360">
      <c r="E360" s="669"/>
      <c r="H360" s="86"/>
      <c r="J360" s="60"/>
      <c r="L360" s="86"/>
    </row>
    <row r="361">
      <c r="E361" s="669"/>
      <c r="H361" s="86"/>
      <c r="J361" s="60"/>
      <c r="L361" s="86"/>
    </row>
    <row r="362">
      <c r="E362" s="669"/>
      <c r="H362" s="86"/>
      <c r="J362" s="60"/>
      <c r="L362" s="86"/>
    </row>
    <row r="363">
      <c r="E363" s="669"/>
      <c r="H363" s="86"/>
      <c r="J363" s="60"/>
      <c r="L363" s="86"/>
    </row>
    <row r="364">
      <c r="E364" s="669"/>
      <c r="H364" s="86"/>
      <c r="J364" s="60"/>
      <c r="L364" s="86"/>
    </row>
    <row r="365">
      <c r="E365" s="669"/>
      <c r="H365" s="86"/>
      <c r="J365" s="60"/>
      <c r="L365" s="86"/>
    </row>
    <row r="366">
      <c r="E366" s="669"/>
      <c r="H366" s="86"/>
      <c r="J366" s="60"/>
      <c r="L366" s="86"/>
    </row>
    <row r="367">
      <c r="E367" s="669"/>
      <c r="H367" s="86"/>
      <c r="J367" s="60"/>
      <c r="L367" s="86"/>
    </row>
    <row r="368">
      <c r="E368" s="669"/>
      <c r="H368" s="86"/>
      <c r="J368" s="60"/>
      <c r="L368" s="86"/>
    </row>
    <row r="369">
      <c r="E369" s="669"/>
      <c r="H369" s="86"/>
      <c r="J369" s="60"/>
      <c r="L369" s="86"/>
    </row>
    <row r="370">
      <c r="E370" s="669"/>
      <c r="H370" s="86"/>
      <c r="J370" s="60"/>
      <c r="L370" s="86"/>
    </row>
    <row r="371">
      <c r="E371" s="669"/>
      <c r="H371" s="86"/>
      <c r="J371" s="60"/>
      <c r="L371" s="86"/>
    </row>
    <row r="372">
      <c r="E372" s="669"/>
      <c r="H372" s="86"/>
      <c r="J372" s="60"/>
      <c r="L372" s="86"/>
    </row>
    <row r="373">
      <c r="E373" s="669"/>
      <c r="H373" s="86"/>
      <c r="J373" s="60"/>
      <c r="L373" s="86"/>
    </row>
    <row r="374">
      <c r="E374" s="669"/>
      <c r="H374" s="86"/>
      <c r="J374" s="60"/>
      <c r="L374" s="86"/>
    </row>
    <row r="375">
      <c r="E375" s="669"/>
      <c r="H375" s="86"/>
      <c r="J375" s="60"/>
      <c r="L375" s="86"/>
    </row>
    <row r="376">
      <c r="E376" s="669"/>
      <c r="H376" s="86"/>
      <c r="J376" s="60"/>
      <c r="L376" s="86"/>
    </row>
    <row r="377">
      <c r="E377" s="669"/>
      <c r="H377" s="86"/>
      <c r="J377" s="60"/>
      <c r="L377" s="86"/>
    </row>
    <row r="378">
      <c r="E378" s="669"/>
      <c r="H378" s="86"/>
      <c r="J378" s="60"/>
      <c r="L378" s="86"/>
    </row>
    <row r="379">
      <c r="E379" s="669"/>
      <c r="H379" s="86"/>
      <c r="J379" s="60"/>
      <c r="L379" s="86"/>
    </row>
    <row r="380">
      <c r="E380" s="669"/>
      <c r="H380" s="86"/>
      <c r="J380" s="60"/>
      <c r="L380" s="86"/>
    </row>
    <row r="381">
      <c r="E381" s="669"/>
      <c r="H381" s="86"/>
      <c r="J381" s="60"/>
      <c r="L381" s="86"/>
    </row>
    <row r="382">
      <c r="E382" s="669"/>
      <c r="H382" s="86"/>
      <c r="J382" s="60"/>
      <c r="L382" s="86"/>
    </row>
    <row r="383">
      <c r="E383" s="669"/>
      <c r="H383" s="86"/>
      <c r="J383" s="60"/>
      <c r="L383" s="86"/>
    </row>
    <row r="384">
      <c r="E384" s="669"/>
      <c r="H384" s="86"/>
      <c r="J384" s="60"/>
      <c r="L384" s="86"/>
    </row>
    <row r="385">
      <c r="E385" s="669"/>
      <c r="H385" s="86"/>
      <c r="J385" s="60"/>
      <c r="L385" s="86"/>
    </row>
    <row r="386">
      <c r="E386" s="669"/>
      <c r="H386" s="86"/>
      <c r="J386" s="60"/>
      <c r="L386" s="86"/>
    </row>
    <row r="387">
      <c r="E387" s="669"/>
      <c r="H387" s="86"/>
      <c r="J387" s="60"/>
      <c r="L387" s="86"/>
    </row>
    <row r="388">
      <c r="E388" s="669"/>
      <c r="H388" s="86"/>
      <c r="J388" s="60"/>
      <c r="L388" s="86"/>
    </row>
    <row r="389">
      <c r="E389" s="669"/>
      <c r="H389" s="86"/>
      <c r="J389" s="60"/>
      <c r="L389" s="86"/>
    </row>
    <row r="390">
      <c r="E390" s="669"/>
      <c r="H390" s="86"/>
      <c r="J390" s="60"/>
      <c r="L390" s="86"/>
    </row>
    <row r="391">
      <c r="E391" s="669"/>
      <c r="H391" s="86"/>
      <c r="J391" s="60"/>
      <c r="L391" s="86"/>
    </row>
    <row r="392">
      <c r="E392" s="669"/>
      <c r="H392" s="86"/>
      <c r="J392" s="60"/>
      <c r="L392" s="86"/>
    </row>
    <row r="393">
      <c r="E393" s="669"/>
      <c r="H393" s="86"/>
      <c r="J393" s="60"/>
      <c r="L393" s="86"/>
    </row>
    <row r="394">
      <c r="E394" s="669"/>
      <c r="H394" s="86"/>
      <c r="J394" s="60"/>
      <c r="L394" s="86"/>
    </row>
    <row r="395">
      <c r="E395" s="669"/>
      <c r="H395" s="86"/>
      <c r="J395" s="60"/>
      <c r="L395" s="86"/>
    </row>
    <row r="396">
      <c r="E396" s="669"/>
      <c r="H396" s="86"/>
      <c r="J396" s="60"/>
      <c r="L396" s="86"/>
    </row>
    <row r="397">
      <c r="E397" s="669"/>
      <c r="H397" s="86"/>
      <c r="J397" s="60"/>
      <c r="L397" s="86"/>
    </row>
    <row r="398">
      <c r="E398" s="669"/>
      <c r="H398" s="86"/>
      <c r="J398" s="60"/>
      <c r="L398" s="86"/>
    </row>
    <row r="399">
      <c r="E399" s="669"/>
      <c r="H399" s="86"/>
      <c r="J399" s="60"/>
      <c r="L399" s="86"/>
    </row>
    <row r="400">
      <c r="E400" s="669"/>
      <c r="H400" s="86"/>
      <c r="J400" s="60"/>
      <c r="L400" s="86"/>
    </row>
    <row r="401">
      <c r="E401" s="669"/>
      <c r="H401" s="86"/>
      <c r="J401" s="60"/>
      <c r="L401" s="86"/>
    </row>
    <row r="402">
      <c r="E402" s="669"/>
      <c r="H402" s="86"/>
      <c r="J402" s="60"/>
      <c r="L402" s="86"/>
    </row>
    <row r="403">
      <c r="E403" s="669"/>
      <c r="H403" s="86"/>
      <c r="J403" s="60"/>
      <c r="L403" s="86"/>
    </row>
    <row r="404">
      <c r="E404" s="669"/>
      <c r="H404" s="86"/>
      <c r="J404" s="60"/>
      <c r="L404" s="86"/>
    </row>
    <row r="405">
      <c r="E405" s="669"/>
      <c r="H405" s="86"/>
      <c r="J405" s="60"/>
      <c r="L405" s="86"/>
    </row>
    <row r="406">
      <c r="E406" s="669"/>
      <c r="H406" s="86"/>
      <c r="J406" s="60"/>
      <c r="L406" s="86"/>
    </row>
    <row r="407">
      <c r="E407" s="669"/>
      <c r="H407" s="86"/>
      <c r="J407" s="60"/>
      <c r="L407" s="86"/>
    </row>
    <row r="408">
      <c r="E408" s="669"/>
      <c r="H408" s="86"/>
      <c r="J408" s="60"/>
      <c r="L408" s="86"/>
    </row>
    <row r="409">
      <c r="E409" s="669"/>
      <c r="H409" s="86"/>
      <c r="J409" s="60"/>
      <c r="L409" s="86"/>
    </row>
    <row r="410">
      <c r="E410" s="669"/>
      <c r="H410" s="86"/>
      <c r="J410" s="60"/>
      <c r="L410" s="86"/>
    </row>
    <row r="411">
      <c r="E411" s="669"/>
      <c r="H411" s="86"/>
      <c r="J411" s="60"/>
      <c r="L411" s="86"/>
    </row>
    <row r="412">
      <c r="E412" s="669"/>
      <c r="H412" s="86"/>
      <c r="J412" s="60"/>
      <c r="L412" s="86"/>
    </row>
    <row r="413">
      <c r="E413" s="669"/>
      <c r="H413" s="86"/>
      <c r="J413" s="60"/>
      <c r="L413" s="86"/>
    </row>
    <row r="414">
      <c r="E414" s="669"/>
      <c r="H414" s="86"/>
      <c r="J414" s="60"/>
      <c r="L414" s="86"/>
    </row>
    <row r="415">
      <c r="E415" s="669"/>
      <c r="H415" s="86"/>
      <c r="J415" s="60"/>
      <c r="L415" s="86"/>
    </row>
    <row r="416">
      <c r="E416" s="669"/>
      <c r="H416" s="86"/>
      <c r="J416" s="60"/>
      <c r="L416" s="86"/>
    </row>
    <row r="417">
      <c r="E417" s="669"/>
      <c r="H417" s="86"/>
      <c r="J417" s="60"/>
      <c r="L417" s="86"/>
    </row>
    <row r="418">
      <c r="E418" s="669"/>
      <c r="H418" s="86"/>
      <c r="J418" s="60"/>
      <c r="L418" s="86"/>
    </row>
    <row r="419">
      <c r="E419" s="669"/>
      <c r="H419" s="86"/>
      <c r="J419" s="60"/>
      <c r="L419" s="86"/>
    </row>
    <row r="420">
      <c r="E420" s="669"/>
      <c r="H420" s="86"/>
      <c r="J420" s="60"/>
      <c r="L420" s="86"/>
    </row>
    <row r="421">
      <c r="E421" s="669"/>
      <c r="H421" s="86"/>
      <c r="J421" s="60"/>
      <c r="L421" s="86"/>
    </row>
    <row r="422">
      <c r="E422" s="669"/>
      <c r="H422" s="86"/>
      <c r="J422" s="60"/>
      <c r="L422" s="86"/>
    </row>
    <row r="423">
      <c r="E423" s="669"/>
      <c r="H423" s="86"/>
      <c r="J423" s="60"/>
      <c r="L423" s="86"/>
    </row>
    <row r="424">
      <c r="E424" s="669"/>
      <c r="H424" s="86"/>
      <c r="J424" s="60"/>
      <c r="L424" s="86"/>
    </row>
    <row r="425">
      <c r="E425" s="669"/>
      <c r="H425" s="86"/>
      <c r="J425" s="60"/>
      <c r="L425" s="86"/>
    </row>
    <row r="426">
      <c r="E426" s="669"/>
      <c r="H426" s="86"/>
      <c r="J426" s="60"/>
      <c r="L426" s="86"/>
    </row>
    <row r="427">
      <c r="E427" s="669"/>
      <c r="H427" s="86"/>
      <c r="J427" s="60"/>
      <c r="L427" s="86"/>
    </row>
    <row r="428">
      <c r="E428" s="669"/>
      <c r="H428" s="86"/>
      <c r="J428" s="60"/>
      <c r="L428" s="86"/>
    </row>
    <row r="429">
      <c r="E429" s="669"/>
      <c r="H429" s="86"/>
      <c r="J429" s="60"/>
      <c r="L429" s="86"/>
    </row>
    <row r="430">
      <c r="E430" s="669"/>
      <c r="H430" s="86"/>
      <c r="J430" s="60"/>
      <c r="L430" s="86"/>
    </row>
    <row r="431">
      <c r="E431" s="669"/>
      <c r="H431" s="86"/>
      <c r="J431" s="60"/>
      <c r="L431" s="86"/>
    </row>
    <row r="432">
      <c r="E432" s="669"/>
      <c r="H432" s="86"/>
      <c r="J432" s="60"/>
      <c r="L432" s="86"/>
    </row>
    <row r="433">
      <c r="E433" s="669"/>
      <c r="H433" s="86"/>
      <c r="J433" s="60"/>
      <c r="L433" s="86"/>
    </row>
    <row r="434">
      <c r="E434" s="669"/>
      <c r="H434" s="86"/>
      <c r="J434" s="60"/>
      <c r="L434" s="86"/>
    </row>
    <row r="435">
      <c r="E435" s="669"/>
      <c r="H435" s="86"/>
      <c r="J435" s="60"/>
      <c r="L435" s="86"/>
    </row>
    <row r="436">
      <c r="E436" s="669"/>
      <c r="H436" s="86"/>
      <c r="J436" s="60"/>
      <c r="L436" s="86"/>
    </row>
    <row r="437">
      <c r="E437" s="669"/>
      <c r="H437" s="86"/>
      <c r="J437" s="60"/>
      <c r="L437" s="86"/>
    </row>
    <row r="438">
      <c r="E438" s="669"/>
      <c r="H438" s="86"/>
      <c r="J438" s="60"/>
      <c r="L438" s="86"/>
    </row>
    <row r="439">
      <c r="E439" s="669"/>
      <c r="H439" s="86"/>
      <c r="J439" s="60"/>
      <c r="L439" s="86"/>
    </row>
    <row r="440">
      <c r="E440" s="669"/>
      <c r="H440" s="86"/>
      <c r="J440" s="60"/>
      <c r="L440" s="86"/>
    </row>
    <row r="441">
      <c r="E441" s="669"/>
      <c r="H441" s="86"/>
      <c r="J441" s="60"/>
      <c r="L441" s="86"/>
    </row>
    <row r="442">
      <c r="E442" s="669"/>
      <c r="H442" s="86"/>
      <c r="J442" s="60"/>
      <c r="L442" s="86"/>
    </row>
    <row r="443">
      <c r="E443" s="669"/>
      <c r="H443" s="86"/>
      <c r="J443" s="60"/>
      <c r="L443" s="86"/>
    </row>
    <row r="444">
      <c r="E444" s="669"/>
      <c r="H444" s="86"/>
      <c r="J444" s="60"/>
      <c r="L444" s="86"/>
    </row>
    <row r="445">
      <c r="E445" s="669"/>
      <c r="H445" s="86"/>
      <c r="J445" s="60"/>
      <c r="L445" s="86"/>
    </row>
    <row r="446">
      <c r="E446" s="669"/>
      <c r="H446" s="86"/>
      <c r="J446" s="60"/>
      <c r="L446" s="86"/>
    </row>
    <row r="447">
      <c r="E447" s="669"/>
      <c r="H447" s="86"/>
      <c r="J447" s="60"/>
      <c r="L447" s="86"/>
    </row>
    <row r="448">
      <c r="E448" s="669"/>
      <c r="H448" s="86"/>
      <c r="J448" s="60"/>
      <c r="L448" s="86"/>
    </row>
    <row r="449">
      <c r="E449" s="669"/>
      <c r="H449" s="86"/>
      <c r="J449" s="60"/>
      <c r="L449" s="86"/>
    </row>
    <row r="450">
      <c r="E450" s="669"/>
      <c r="H450" s="86"/>
      <c r="J450" s="60"/>
      <c r="L450" s="86"/>
    </row>
    <row r="451">
      <c r="E451" s="669"/>
      <c r="H451" s="86"/>
      <c r="J451" s="60"/>
      <c r="L451" s="86"/>
    </row>
    <row r="452">
      <c r="E452" s="669"/>
      <c r="H452" s="86"/>
      <c r="J452" s="60"/>
      <c r="L452" s="86"/>
    </row>
    <row r="453">
      <c r="E453" s="669"/>
      <c r="H453" s="86"/>
      <c r="J453" s="60"/>
      <c r="L453" s="86"/>
    </row>
    <row r="454">
      <c r="E454" s="669"/>
      <c r="H454" s="86"/>
      <c r="J454" s="60"/>
      <c r="L454" s="86"/>
    </row>
    <row r="455">
      <c r="E455" s="669"/>
      <c r="H455" s="86"/>
      <c r="J455" s="60"/>
      <c r="L455" s="86"/>
    </row>
    <row r="456">
      <c r="E456" s="669"/>
      <c r="H456" s="86"/>
      <c r="J456" s="60"/>
      <c r="L456" s="86"/>
    </row>
    <row r="457">
      <c r="E457" s="669"/>
      <c r="H457" s="86"/>
      <c r="J457" s="60"/>
      <c r="L457" s="86"/>
    </row>
    <row r="458">
      <c r="E458" s="669"/>
      <c r="H458" s="86"/>
      <c r="J458" s="60"/>
      <c r="L458" s="86"/>
    </row>
    <row r="459">
      <c r="E459" s="669"/>
      <c r="H459" s="86"/>
      <c r="J459" s="60"/>
      <c r="L459" s="86"/>
    </row>
    <row r="460">
      <c r="E460" s="669"/>
      <c r="H460" s="86"/>
      <c r="J460" s="60"/>
      <c r="L460" s="86"/>
    </row>
    <row r="461">
      <c r="E461" s="669"/>
      <c r="H461" s="86"/>
      <c r="J461" s="60"/>
      <c r="L461" s="86"/>
    </row>
    <row r="462">
      <c r="E462" s="669"/>
      <c r="H462" s="86"/>
      <c r="J462" s="60"/>
      <c r="L462" s="86"/>
    </row>
    <row r="463">
      <c r="E463" s="669"/>
      <c r="H463" s="86"/>
      <c r="J463" s="60"/>
      <c r="L463" s="86"/>
    </row>
    <row r="464">
      <c r="E464" s="669"/>
      <c r="H464" s="86"/>
      <c r="J464" s="60"/>
      <c r="L464" s="86"/>
    </row>
    <row r="465">
      <c r="E465" s="669"/>
      <c r="H465" s="86"/>
      <c r="J465" s="60"/>
      <c r="L465" s="86"/>
    </row>
    <row r="466">
      <c r="E466" s="669"/>
      <c r="H466" s="86"/>
      <c r="J466" s="60"/>
      <c r="L466" s="86"/>
    </row>
    <row r="467">
      <c r="E467" s="669"/>
      <c r="H467" s="86"/>
      <c r="J467" s="60"/>
      <c r="L467" s="86"/>
    </row>
    <row r="468">
      <c r="E468" s="669"/>
      <c r="H468" s="86"/>
      <c r="J468" s="60"/>
      <c r="L468" s="86"/>
    </row>
    <row r="469">
      <c r="E469" s="669"/>
      <c r="H469" s="86"/>
      <c r="J469" s="60"/>
      <c r="L469" s="86"/>
    </row>
    <row r="470">
      <c r="E470" s="669"/>
      <c r="H470" s="86"/>
      <c r="J470" s="60"/>
      <c r="L470" s="86"/>
    </row>
    <row r="471">
      <c r="E471" s="669"/>
      <c r="H471" s="86"/>
      <c r="J471" s="60"/>
      <c r="L471" s="86"/>
    </row>
    <row r="472">
      <c r="E472" s="669"/>
      <c r="H472" s="86"/>
      <c r="J472" s="60"/>
      <c r="L472" s="86"/>
    </row>
    <row r="473">
      <c r="E473" s="669"/>
      <c r="H473" s="86"/>
      <c r="J473" s="60"/>
      <c r="L473" s="86"/>
    </row>
    <row r="474">
      <c r="E474" s="669"/>
      <c r="H474" s="86"/>
      <c r="J474" s="60"/>
      <c r="L474" s="86"/>
    </row>
    <row r="475">
      <c r="E475" s="669"/>
      <c r="H475" s="86"/>
      <c r="J475" s="60"/>
      <c r="L475" s="86"/>
    </row>
    <row r="476">
      <c r="E476" s="669"/>
      <c r="H476" s="86"/>
      <c r="J476" s="60"/>
      <c r="L476" s="86"/>
    </row>
    <row r="477">
      <c r="E477" s="669"/>
      <c r="H477" s="86"/>
      <c r="J477" s="60"/>
      <c r="L477" s="86"/>
    </row>
    <row r="478">
      <c r="E478" s="669"/>
      <c r="H478" s="86"/>
      <c r="J478" s="60"/>
      <c r="L478" s="86"/>
    </row>
    <row r="479">
      <c r="E479" s="669"/>
      <c r="H479" s="86"/>
      <c r="J479" s="60"/>
      <c r="L479" s="86"/>
    </row>
    <row r="480">
      <c r="E480" s="669"/>
      <c r="H480" s="86"/>
      <c r="J480" s="60"/>
      <c r="L480" s="86"/>
    </row>
    <row r="481">
      <c r="E481" s="669"/>
      <c r="H481" s="86"/>
      <c r="J481" s="60"/>
      <c r="L481" s="86"/>
    </row>
    <row r="482">
      <c r="E482" s="669"/>
      <c r="H482" s="86"/>
      <c r="J482" s="60"/>
      <c r="L482" s="86"/>
    </row>
    <row r="483">
      <c r="E483" s="669"/>
      <c r="H483" s="86"/>
      <c r="J483" s="60"/>
      <c r="L483" s="86"/>
    </row>
    <row r="484">
      <c r="E484" s="669"/>
      <c r="H484" s="86"/>
      <c r="J484" s="60"/>
      <c r="L484" s="86"/>
    </row>
    <row r="485">
      <c r="E485" s="669"/>
      <c r="H485" s="86"/>
      <c r="J485" s="60"/>
      <c r="L485" s="86"/>
    </row>
    <row r="486">
      <c r="E486" s="669"/>
      <c r="H486" s="86"/>
      <c r="J486" s="60"/>
      <c r="L486" s="86"/>
    </row>
    <row r="487">
      <c r="E487" s="669"/>
      <c r="H487" s="86"/>
      <c r="J487" s="60"/>
      <c r="L487" s="86"/>
    </row>
    <row r="488">
      <c r="E488" s="669"/>
      <c r="H488" s="86"/>
      <c r="J488" s="60"/>
      <c r="L488" s="86"/>
    </row>
    <row r="489">
      <c r="E489" s="669"/>
      <c r="H489" s="86"/>
      <c r="J489" s="60"/>
      <c r="L489" s="86"/>
    </row>
    <row r="490">
      <c r="E490" s="669"/>
      <c r="H490" s="86"/>
      <c r="J490" s="60"/>
      <c r="L490" s="86"/>
    </row>
    <row r="491">
      <c r="E491" s="669"/>
      <c r="H491" s="86"/>
      <c r="J491" s="60"/>
      <c r="L491" s="86"/>
    </row>
    <row r="492">
      <c r="E492" s="669"/>
      <c r="H492" s="86"/>
      <c r="J492" s="60"/>
      <c r="L492" s="86"/>
    </row>
    <row r="493">
      <c r="E493" s="669"/>
      <c r="H493" s="86"/>
      <c r="J493" s="60"/>
      <c r="L493" s="86"/>
    </row>
    <row r="494">
      <c r="E494" s="669"/>
      <c r="H494" s="86"/>
      <c r="J494" s="60"/>
      <c r="L494" s="86"/>
    </row>
    <row r="495">
      <c r="E495" s="669"/>
      <c r="H495" s="86"/>
      <c r="J495" s="60"/>
      <c r="L495" s="86"/>
    </row>
    <row r="496">
      <c r="E496" s="669"/>
      <c r="H496" s="86"/>
      <c r="J496" s="60"/>
      <c r="L496" s="86"/>
    </row>
    <row r="497">
      <c r="E497" s="669"/>
      <c r="H497" s="86"/>
      <c r="J497" s="60"/>
      <c r="L497" s="86"/>
    </row>
    <row r="498">
      <c r="E498" s="669"/>
      <c r="H498" s="86"/>
      <c r="J498" s="60"/>
      <c r="L498" s="86"/>
    </row>
    <row r="499">
      <c r="E499" s="669"/>
      <c r="H499" s="86"/>
      <c r="J499" s="60"/>
      <c r="L499" s="86"/>
    </row>
    <row r="500">
      <c r="E500" s="669"/>
      <c r="H500" s="86"/>
      <c r="J500" s="60"/>
      <c r="L500" s="86"/>
    </row>
    <row r="501">
      <c r="E501" s="669"/>
      <c r="H501" s="86"/>
      <c r="J501" s="60"/>
      <c r="L501" s="86"/>
    </row>
    <row r="502">
      <c r="E502" s="669"/>
      <c r="H502" s="86"/>
      <c r="J502" s="60"/>
      <c r="L502" s="86"/>
    </row>
    <row r="503">
      <c r="E503" s="669"/>
      <c r="H503" s="86"/>
      <c r="J503" s="60"/>
      <c r="L503" s="86"/>
    </row>
    <row r="504">
      <c r="E504" s="669"/>
      <c r="H504" s="86"/>
      <c r="J504" s="60"/>
      <c r="L504" s="86"/>
    </row>
    <row r="505">
      <c r="E505" s="669"/>
      <c r="H505" s="86"/>
      <c r="J505" s="60"/>
      <c r="L505" s="86"/>
    </row>
    <row r="506">
      <c r="E506" s="669"/>
      <c r="H506" s="86"/>
      <c r="J506" s="60"/>
      <c r="L506" s="86"/>
    </row>
    <row r="507">
      <c r="E507" s="669"/>
      <c r="H507" s="86"/>
      <c r="J507" s="60"/>
      <c r="L507" s="86"/>
    </row>
    <row r="508">
      <c r="E508" s="669"/>
      <c r="H508" s="86"/>
      <c r="J508" s="60"/>
      <c r="L508" s="86"/>
    </row>
    <row r="509">
      <c r="E509" s="669"/>
      <c r="H509" s="86"/>
      <c r="J509" s="60"/>
      <c r="L509" s="86"/>
    </row>
    <row r="510">
      <c r="E510" s="669"/>
      <c r="H510" s="86"/>
      <c r="J510" s="60"/>
      <c r="L510" s="86"/>
    </row>
    <row r="511">
      <c r="E511" s="669"/>
      <c r="H511" s="86"/>
      <c r="J511" s="60"/>
      <c r="L511" s="86"/>
    </row>
    <row r="512">
      <c r="E512" s="669"/>
      <c r="H512" s="86"/>
      <c r="J512" s="60"/>
      <c r="L512" s="86"/>
    </row>
    <row r="513">
      <c r="E513" s="669"/>
      <c r="H513" s="86"/>
      <c r="J513" s="60"/>
      <c r="L513" s="86"/>
    </row>
    <row r="514">
      <c r="E514" s="669"/>
      <c r="H514" s="86"/>
      <c r="J514" s="60"/>
      <c r="L514" s="86"/>
    </row>
    <row r="515">
      <c r="E515" s="669"/>
      <c r="H515" s="86"/>
      <c r="J515" s="60"/>
      <c r="L515" s="86"/>
    </row>
    <row r="516">
      <c r="E516" s="669"/>
      <c r="H516" s="86"/>
      <c r="J516" s="60"/>
      <c r="L516" s="86"/>
    </row>
    <row r="517">
      <c r="E517" s="669"/>
      <c r="H517" s="86"/>
      <c r="J517" s="60"/>
      <c r="L517" s="86"/>
    </row>
    <row r="518">
      <c r="E518" s="669"/>
      <c r="H518" s="86"/>
      <c r="J518" s="60"/>
      <c r="L518" s="86"/>
    </row>
    <row r="519">
      <c r="E519" s="669"/>
      <c r="H519" s="86"/>
      <c r="J519" s="60"/>
      <c r="L519" s="86"/>
    </row>
    <row r="520">
      <c r="E520" s="669"/>
      <c r="H520" s="86"/>
      <c r="J520" s="60"/>
      <c r="L520" s="86"/>
    </row>
    <row r="521">
      <c r="E521" s="669"/>
      <c r="H521" s="86"/>
      <c r="J521" s="60"/>
      <c r="L521" s="86"/>
    </row>
    <row r="522">
      <c r="E522" s="669"/>
      <c r="H522" s="86"/>
      <c r="J522" s="60"/>
      <c r="L522" s="86"/>
    </row>
    <row r="523">
      <c r="E523" s="669"/>
      <c r="H523" s="86"/>
      <c r="J523" s="60"/>
      <c r="L523" s="86"/>
    </row>
    <row r="524">
      <c r="E524" s="669"/>
      <c r="H524" s="86"/>
      <c r="J524" s="60"/>
      <c r="L524" s="86"/>
    </row>
    <row r="525">
      <c r="E525" s="669"/>
      <c r="H525" s="86"/>
      <c r="J525" s="60"/>
      <c r="L525" s="86"/>
    </row>
    <row r="526">
      <c r="E526" s="669"/>
      <c r="H526" s="86"/>
      <c r="J526" s="60"/>
      <c r="L526" s="86"/>
    </row>
    <row r="527">
      <c r="E527" s="669"/>
      <c r="H527" s="86"/>
      <c r="J527" s="60"/>
      <c r="L527" s="86"/>
    </row>
    <row r="528">
      <c r="E528" s="669"/>
      <c r="H528" s="86"/>
      <c r="J528" s="60"/>
      <c r="L528" s="86"/>
    </row>
    <row r="529">
      <c r="E529" s="669"/>
      <c r="H529" s="86"/>
      <c r="J529" s="60"/>
      <c r="L529" s="86"/>
    </row>
    <row r="530">
      <c r="E530" s="669"/>
      <c r="H530" s="86"/>
      <c r="J530" s="60"/>
      <c r="L530" s="86"/>
    </row>
    <row r="531">
      <c r="E531" s="669"/>
      <c r="H531" s="86"/>
      <c r="J531" s="60"/>
      <c r="L531" s="86"/>
    </row>
    <row r="532">
      <c r="E532" s="669"/>
      <c r="H532" s="86"/>
      <c r="J532" s="60"/>
      <c r="L532" s="86"/>
    </row>
    <row r="533">
      <c r="E533" s="669"/>
      <c r="H533" s="86"/>
      <c r="J533" s="60"/>
      <c r="L533" s="86"/>
    </row>
    <row r="534">
      <c r="E534" s="669"/>
      <c r="H534" s="86"/>
      <c r="J534" s="60"/>
      <c r="L534" s="86"/>
    </row>
    <row r="535">
      <c r="E535" s="669"/>
      <c r="H535" s="86"/>
      <c r="J535" s="60"/>
      <c r="L535" s="86"/>
    </row>
    <row r="536">
      <c r="E536" s="669"/>
      <c r="H536" s="86"/>
      <c r="J536" s="60"/>
      <c r="L536" s="86"/>
    </row>
    <row r="537">
      <c r="E537" s="669"/>
      <c r="H537" s="86"/>
      <c r="J537" s="60"/>
      <c r="L537" s="86"/>
    </row>
    <row r="538">
      <c r="E538" s="669"/>
      <c r="H538" s="86"/>
      <c r="J538" s="60"/>
      <c r="L538" s="86"/>
    </row>
    <row r="539">
      <c r="E539" s="669"/>
      <c r="H539" s="86"/>
      <c r="J539" s="60"/>
      <c r="L539" s="86"/>
    </row>
    <row r="540">
      <c r="E540" s="669"/>
      <c r="H540" s="86"/>
      <c r="J540" s="60"/>
      <c r="L540" s="86"/>
    </row>
    <row r="541">
      <c r="E541" s="669"/>
      <c r="H541" s="86"/>
      <c r="J541" s="60"/>
      <c r="L541" s="86"/>
    </row>
    <row r="542">
      <c r="E542" s="669"/>
      <c r="H542" s="86"/>
      <c r="J542" s="60"/>
      <c r="L542" s="86"/>
    </row>
    <row r="543">
      <c r="E543" s="669"/>
      <c r="H543" s="86"/>
      <c r="J543" s="60"/>
      <c r="L543" s="86"/>
    </row>
    <row r="544">
      <c r="E544" s="669"/>
      <c r="H544" s="86"/>
      <c r="J544" s="60"/>
      <c r="L544" s="86"/>
    </row>
    <row r="545">
      <c r="E545" s="669"/>
      <c r="H545" s="86"/>
      <c r="J545" s="60"/>
      <c r="L545" s="86"/>
    </row>
    <row r="546">
      <c r="E546" s="669"/>
      <c r="H546" s="86"/>
      <c r="J546" s="60"/>
      <c r="L546" s="86"/>
    </row>
    <row r="547">
      <c r="E547" s="669"/>
      <c r="H547" s="86"/>
      <c r="J547" s="60"/>
      <c r="L547" s="86"/>
    </row>
    <row r="548">
      <c r="E548" s="669"/>
      <c r="H548" s="86"/>
      <c r="J548" s="60"/>
      <c r="L548" s="86"/>
    </row>
    <row r="549">
      <c r="E549" s="669"/>
      <c r="H549" s="86"/>
      <c r="J549" s="60"/>
      <c r="L549" s="86"/>
    </row>
    <row r="550">
      <c r="E550" s="669"/>
      <c r="H550" s="86"/>
      <c r="J550" s="60"/>
      <c r="L550" s="86"/>
    </row>
    <row r="551">
      <c r="E551" s="669"/>
      <c r="H551" s="86"/>
      <c r="J551" s="60"/>
      <c r="L551" s="86"/>
    </row>
    <row r="552">
      <c r="E552" s="669"/>
      <c r="H552" s="86"/>
      <c r="J552" s="60"/>
      <c r="L552" s="86"/>
    </row>
    <row r="553">
      <c r="E553" s="669"/>
      <c r="H553" s="86"/>
      <c r="J553" s="60"/>
      <c r="L553" s="86"/>
    </row>
    <row r="554">
      <c r="E554" s="669"/>
      <c r="H554" s="86"/>
      <c r="J554" s="60"/>
      <c r="L554" s="86"/>
    </row>
    <row r="555">
      <c r="E555" s="669"/>
      <c r="H555" s="86"/>
      <c r="J555" s="60"/>
      <c r="L555" s="86"/>
    </row>
    <row r="556">
      <c r="E556" s="669"/>
      <c r="H556" s="86"/>
      <c r="J556" s="60"/>
      <c r="L556" s="86"/>
    </row>
    <row r="557">
      <c r="E557" s="669"/>
      <c r="H557" s="86"/>
      <c r="J557" s="60"/>
      <c r="L557" s="86"/>
    </row>
    <row r="558">
      <c r="E558" s="669"/>
      <c r="H558" s="86"/>
      <c r="J558" s="60"/>
      <c r="L558" s="86"/>
    </row>
    <row r="559">
      <c r="E559" s="669"/>
      <c r="H559" s="86"/>
      <c r="J559" s="60"/>
      <c r="L559" s="86"/>
    </row>
    <row r="560">
      <c r="E560" s="669"/>
      <c r="H560" s="86"/>
      <c r="J560" s="60"/>
      <c r="L560" s="86"/>
    </row>
    <row r="561">
      <c r="E561" s="669"/>
      <c r="H561" s="86"/>
      <c r="J561" s="60"/>
      <c r="L561" s="86"/>
    </row>
    <row r="562">
      <c r="E562" s="669"/>
      <c r="H562" s="86"/>
      <c r="J562" s="60"/>
      <c r="L562" s="86"/>
    </row>
    <row r="563">
      <c r="E563" s="669"/>
      <c r="H563" s="86"/>
      <c r="J563" s="60"/>
      <c r="L563" s="86"/>
    </row>
    <row r="564">
      <c r="E564" s="669"/>
      <c r="H564" s="86"/>
      <c r="J564" s="60"/>
      <c r="L564" s="86"/>
    </row>
    <row r="565">
      <c r="E565" s="669"/>
      <c r="H565" s="86"/>
      <c r="J565" s="60"/>
      <c r="L565" s="86"/>
    </row>
    <row r="566">
      <c r="E566" s="669"/>
      <c r="H566" s="86"/>
      <c r="J566" s="60"/>
      <c r="L566" s="86"/>
    </row>
    <row r="567">
      <c r="E567" s="669"/>
      <c r="H567" s="86"/>
      <c r="J567" s="60"/>
      <c r="L567" s="86"/>
    </row>
    <row r="568">
      <c r="E568" s="669"/>
      <c r="H568" s="86"/>
      <c r="J568" s="60"/>
      <c r="L568" s="86"/>
    </row>
    <row r="569">
      <c r="E569" s="669"/>
      <c r="H569" s="86"/>
      <c r="J569" s="60"/>
      <c r="L569" s="86"/>
    </row>
    <row r="570">
      <c r="E570" s="669"/>
      <c r="H570" s="86"/>
      <c r="J570" s="60"/>
      <c r="L570" s="86"/>
    </row>
    <row r="571">
      <c r="E571" s="669"/>
      <c r="H571" s="86"/>
      <c r="J571" s="60"/>
      <c r="L571" s="86"/>
    </row>
    <row r="572">
      <c r="E572" s="669"/>
      <c r="H572" s="86"/>
      <c r="J572" s="60"/>
      <c r="L572" s="86"/>
    </row>
    <row r="573">
      <c r="E573" s="669"/>
      <c r="H573" s="86"/>
      <c r="J573" s="60"/>
      <c r="L573" s="86"/>
    </row>
    <row r="574">
      <c r="E574" s="669"/>
      <c r="H574" s="86"/>
      <c r="J574" s="60"/>
      <c r="L574" s="86"/>
    </row>
    <row r="575">
      <c r="E575" s="669"/>
      <c r="H575" s="86"/>
      <c r="J575" s="60"/>
      <c r="L575" s="86"/>
    </row>
    <row r="576">
      <c r="E576" s="669"/>
      <c r="H576" s="86"/>
      <c r="J576" s="60"/>
      <c r="L576" s="86"/>
    </row>
    <row r="577">
      <c r="E577" s="669"/>
      <c r="H577" s="86"/>
      <c r="J577" s="60"/>
      <c r="L577" s="86"/>
    </row>
    <row r="578">
      <c r="E578" s="669"/>
      <c r="H578" s="86"/>
      <c r="J578" s="60"/>
      <c r="L578" s="86"/>
    </row>
    <row r="579">
      <c r="E579" s="669"/>
      <c r="H579" s="86"/>
      <c r="J579" s="60"/>
      <c r="L579" s="86"/>
    </row>
    <row r="580">
      <c r="E580" s="669"/>
      <c r="H580" s="86"/>
      <c r="J580" s="60"/>
      <c r="L580" s="86"/>
    </row>
    <row r="581">
      <c r="E581" s="669"/>
      <c r="H581" s="86"/>
      <c r="J581" s="60"/>
      <c r="L581" s="86"/>
    </row>
    <row r="582">
      <c r="E582" s="669"/>
      <c r="H582" s="86"/>
      <c r="J582" s="60"/>
      <c r="L582" s="86"/>
    </row>
    <row r="583">
      <c r="E583" s="669"/>
      <c r="H583" s="86"/>
      <c r="J583" s="60"/>
      <c r="L583" s="86"/>
    </row>
    <row r="584">
      <c r="E584" s="669"/>
      <c r="H584" s="86"/>
      <c r="J584" s="60"/>
      <c r="L584" s="86"/>
    </row>
    <row r="585">
      <c r="E585" s="669"/>
      <c r="H585" s="86"/>
      <c r="J585" s="60"/>
      <c r="L585" s="86"/>
    </row>
    <row r="586">
      <c r="E586" s="669"/>
      <c r="H586" s="86"/>
      <c r="J586" s="60"/>
      <c r="L586" s="86"/>
    </row>
    <row r="587">
      <c r="E587" s="669"/>
      <c r="H587" s="86"/>
      <c r="J587" s="60"/>
      <c r="L587" s="86"/>
    </row>
    <row r="588">
      <c r="E588" s="669"/>
      <c r="H588" s="86"/>
      <c r="J588" s="60"/>
      <c r="L588" s="86"/>
    </row>
    <row r="589">
      <c r="E589" s="669"/>
      <c r="H589" s="86"/>
      <c r="J589" s="60"/>
      <c r="L589" s="86"/>
    </row>
    <row r="590">
      <c r="E590" s="669"/>
      <c r="H590" s="86"/>
      <c r="J590" s="60"/>
      <c r="L590" s="86"/>
    </row>
    <row r="591">
      <c r="E591" s="669"/>
      <c r="H591" s="86"/>
      <c r="J591" s="60"/>
      <c r="L591" s="86"/>
    </row>
    <row r="592">
      <c r="E592" s="669"/>
      <c r="H592" s="86"/>
      <c r="J592" s="60"/>
      <c r="L592" s="86"/>
    </row>
    <row r="593">
      <c r="E593" s="669"/>
      <c r="H593" s="86"/>
      <c r="J593" s="60"/>
      <c r="L593" s="86"/>
    </row>
    <row r="594">
      <c r="E594" s="669"/>
      <c r="H594" s="86"/>
      <c r="J594" s="60"/>
      <c r="L594" s="86"/>
    </row>
    <row r="595">
      <c r="E595" s="669"/>
      <c r="H595" s="86"/>
      <c r="J595" s="60"/>
      <c r="L595" s="86"/>
    </row>
    <row r="596">
      <c r="E596" s="669"/>
      <c r="H596" s="86"/>
      <c r="J596" s="60"/>
      <c r="L596" s="86"/>
    </row>
    <row r="597">
      <c r="E597" s="669"/>
      <c r="H597" s="86"/>
      <c r="J597" s="60"/>
      <c r="L597" s="86"/>
    </row>
    <row r="598">
      <c r="E598" s="669"/>
      <c r="H598" s="86"/>
      <c r="J598" s="60"/>
      <c r="L598" s="86"/>
    </row>
    <row r="599">
      <c r="E599" s="669"/>
      <c r="H599" s="86"/>
      <c r="J599" s="60"/>
      <c r="L599" s="86"/>
    </row>
    <row r="600">
      <c r="E600" s="669"/>
      <c r="H600" s="86"/>
      <c r="J600" s="60"/>
      <c r="L600" s="86"/>
    </row>
    <row r="601">
      <c r="E601" s="669"/>
      <c r="H601" s="86"/>
      <c r="J601" s="60"/>
      <c r="L601" s="86"/>
    </row>
    <row r="602">
      <c r="E602" s="669"/>
      <c r="H602" s="86"/>
      <c r="J602" s="60"/>
      <c r="L602" s="86"/>
    </row>
    <row r="603">
      <c r="E603" s="669"/>
      <c r="H603" s="86"/>
      <c r="J603" s="60"/>
      <c r="L603" s="86"/>
    </row>
    <row r="604">
      <c r="E604" s="669"/>
      <c r="H604" s="86"/>
      <c r="J604" s="60"/>
      <c r="L604" s="86"/>
    </row>
    <row r="605">
      <c r="E605" s="669"/>
      <c r="H605" s="86"/>
      <c r="J605" s="60"/>
      <c r="L605" s="86"/>
    </row>
    <row r="606">
      <c r="E606" s="669"/>
      <c r="H606" s="86"/>
      <c r="J606" s="60"/>
      <c r="L606" s="86"/>
    </row>
    <row r="607">
      <c r="E607" s="669"/>
      <c r="H607" s="86"/>
      <c r="J607" s="60"/>
      <c r="L607" s="86"/>
    </row>
    <row r="608">
      <c r="E608" s="669"/>
      <c r="H608" s="86"/>
      <c r="J608" s="60"/>
      <c r="L608" s="86"/>
    </row>
    <row r="609">
      <c r="E609" s="669"/>
      <c r="H609" s="86"/>
      <c r="J609" s="60"/>
      <c r="L609" s="86"/>
    </row>
    <row r="610">
      <c r="E610" s="669"/>
      <c r="H610" s="86"/>
      <c r="J610" s="60"/>
      <c r="L610" s="86"/>
    </row>
    <row r="611">
      <c r="E611" s="669"/>
      <c r="H611" s="86"/>
      <c r="J611" s="60"/>
      <c r="L611" s="86"/>
    </row>
    <row r="612">
      <c r="E612" s="669"/>
      <c r="H612" s="86"/>
      <c r="J612" s="60"/>
      <c r="L612" s="86"/>
    </row>
    <row r="613">
      <c r="E613" s="669"/>
      <c r="H613" s="86"/>
      <c r="J613" s="60"/>
      <c r="L613" s="86"/>
    </row>
    <row r="614">
      <c r="E614" s="669"/>
      <c r="H614" s="86"/>
      <c r="J614" s="60"/>
      <c r="L614" s="86"/>
    </row>
    <row r="615">
      <c r="E615" s="669"/>
      <c r="H615" s="86"/>
      <c r="J615" s="60"/>
      <c r="L615" s="86"/>
    </row>
    <row r="616">
      <c r="E616" s="669"/>
      <c r="H616" s="86"/>
      <c r="J616" s="60"/>
      <c r="L616" s="86"/>
    </row>
    <row r="617">
      <c r="E617" s="669"/>
      <c r="H617" s="86"/>
      <c r="J617" s="60"/>
      <c r="L617" s="86"/>
    </row>
    <row r="618">
      <c r="E618" s="669"/>
      <c r="H618" s="86"/>
      <c r="J618" s="60"/>
      <c r="L618" s="86"/>
    </row>
    <row r="619">
      <c r="E619" s="669"/>
      <c r="H619" s="86"/>
      <c r="J619" s="60"/>
      <c r="L619" s="86"/>
    </row>
    <row r="620">
      <c r="E620" s="669"/>
      <c r="H620" s="86"/>
      <c r="J620" s="60"/>
      <c r="L620" s="86"/>
    </row>
    <row r="621">
      <c r="E621" s="669"/>
      <c r="H621" s="86"/>
      <c r="J621" s="60"/>
      <c r="L621" s="86"/>
    </row>
    <row r="622">
      <c r="E622" s="669"/>
      <c r="H622" s="86"/>
      <c r="J622" s="60"/>
      <c r="L622" s="86"/>
    </row>
    <row r="623">
      <c r="E623" s="669"/>
      <c r="H623" s="86"/>
      <c r="J623" s="60"/>
      <c r="L623" s="86"/>
    </row>
    <row r="624">
      <c r="E624" s="669"/>
      <c r="H624" s="86"/>
      <c r="J624" s="60"/>
      <c r="L624" s="86"/>
    </row>
    <row r="625">
      <c r="E625" s="669"/>
      <c r="H625" s="86"/>
      <c r="J625" s="60"/>
      <c r="L625" s="86"/>
    </row>
    <row r="626">
      <c r="E626" s="669"/>
      <c r="H626" s="86"/>
      <c r="J626" s="60"/>
      <c r="L626" s="86"/>
    </row>
    <row r="627">
      <c r="E627" s="669"/>
      <c r="H627" s="86"/>
      <c r="J627" s="60"/>
      <c r="L627" s="86"/>
    </row>
    <row r="628">
      <c r="E628" s="669"/>
      <c r="H628" s="86"/>
      <c r="J628" s="60"/>
      <c r="L628" s="86"/>
    </row>
    <row r="629">
      <c r="E629" s="669"/>
      <c r="H629" s="86"/>
      <c r="J629" s="60"/>
      <c r="L629" s="86"/>
    </row>
    <row r="630">
      <c r="E630" s="669"/>
      <c r="H630" s="86"/>
      <c r="J630" s="60"/>
      <c r="L630" s="86"/>
    </row>
    <row r="631">
      <c r="E631" s="669"/>
      <c r="H631" s="86"/>
      <c r="J631" s="60"/>
      <c r="L631" s="86"/>
    </row>
    <row r="632">
      <c r="E632" s="669"/>
      <c r="H632" s="86"/>
      <c r="J632" s="60"/>
      <c r="L632" s="86"/>
    </row>
    <row r="633">
      <c r="E633" s="669"/>
      <c r="H633" s="86"/>
      <c r="J633" s="60"/>
      <c r="L633" s="86"/>
    </row>
    <row r="634">
      <c r="E634" s="669"/>
      <c r="H634" s="86"/>
      <c r="J634" s="60"/>
      <c r="L634" s="86"/>
    </row>
    <row r="635">
      <c r="E635" s="669"/>
      <c r="H635" s="86"/>
      <c r="J635" s="60"/>
      <c r="L635" s="86"/>
    </row>
    <row r="636">
      <c r="E636" s="669"/>
      <c r="H636" s="86"/>
      <c r="J636" s="60"/>
      <c r="L636" s="86"/>
    </row>
    <row r="637">
      <c r="E637" s="669"/>
      <c r="H637" s="86"/>
      <c r="J637" s="60"/>
      <c r="L637" s="86"/>
    </row>
    <row r="638">
      <c r="E638" s="669"/>
      <c r="H638" s="86"/>
      <c r="J638" s="60"/>
      <c r="L638" s="86"/>
    </row>
    <row r="639">
      <c r="E639" s="669"/>
      <c r="H639" s="86"/>
      <c r="J639" s="60"/>
      <c r="L639" s="86"/>
    </row>
    <row r="640">
      <c r="E640" s="669"/>
      <c r="H640" s="86"/>
      <c r="J640" s="60"/>
      <c r="L640" s="86"/>
    </row>
    <row r="641">
      <c r="E641" s="669"/>
      <c r="H641" s="86"/>
      <c r="J641" s="60"/>
      <c r="L641" s="86"/>
    </row>
    <row r="642">
      <c r="E642" s="669"/>
      <c r="H642" s="86"/>
      <c r="J642" s="60"/>
      <c r="L642" s="86"/>
    </row>
    <row r="643">
      <c r="E643" s="669"/>
      <c r="H643" s="86"/>
      <c r="J643" s="60"/>
      <c r="L643" s="86"/>
    </row>
    <row r="644">
      <c r="E644" s="669"/>
      <c r="H644" s="86"/>
      <c r="J644" s="60"/>
      <c r="L644" s="86"/>
    </row>
    <row r="645">
      <c r="E645" s="669"/>
      <c r="H645" s="86"/>
      <c r="J645" s="60"/>
      <c r="L645" s="86"/>
    </row>
    <row r="646">
      <c r="E646" s="669"/>
      <c r="H646" s="86"/>
      <c r="J646" s="60"/>
      <c r="L646" s="86"/>
    </row>
    <row r="647">
      <c r="E647" s="669"/>
      <c r="H647" s="86"/>
      <c r="J647" s="60"/>
      <c r="L647" s="86"/>
    </row>
    <row r="648">
      <c r="E648" s="669"/>
      <c r="H648" s="86"/>
      <c r="J648" s="60"/>
      <c r="L648" s="86"/>
    </row>
    <row r="649">
      <c r="E649" s="669"/>
      <c r="H649" s="86"/>
      <c r="J649" s="60"/>
      <c r="L649" s="86"/>
    </row>
    <row r="650">
      <c r="E650" s="669"/>
      <c r="H650" s="86"/>
      <c r="J650" s="60"/>
      <c r="L650" s="86"/>
    </row>
    <row r="651">
      <c r="E651" s="669"/>
      <c r="H651" s="86"/>
      <c r="J651" s="60"/>
      <c r="L651" s="86"/>
    </row>
    <row r="652">
      <c r="E652" s="669"/>
      <c r="H652" s="86"/>
      <c r="J652" s="60"/>
      <c r="L652" s="86"/>
    </row>
    <row r="653">
      <c r="E653" s="669"/>
      <c r="H653" s="86"/>
      <c r="J653" s="60"/>
      <c r="L653" s="86"/>
    </row>
    <row r="654">
      <c r="E654" s="669"/>
      <c r="H654" s="86"/>
      <c r="J654" s="60"/>
      <c r="L654" s="86"/>
    </row>
    <row r="655">
      <c r="E655" s="669"/>
      <c r="H655" s="86"/>
      <c r="J655" s="60"/>
      <c r="L655" s="86"/>
    </row>
    <row r="656">
      <c r="E656" s="669"/>
      <c r="H656" s="86"/>
      <c r="J656" s="60"/>
      <c r="L656" s="86"/>
    </row>
    <row r="657">
      <c r="E657" s="669"/>
      <c r="H657" s="86"/>
      <c r="J657" s="60"/>
      <c r="L657" s="86"/>
    </row>
    <row r="658">
      <c r="E658" s="669"/>
      <c r="H658" s="86"/>
      <c r="J658" s="60"/>
      <c r="L658" s="86"/>
    </row>
    <row r="659">
      <c r="E659" s="669"/>
      <c r="H659" s="86"/>
      <c r="J659" s="60"/>
      <c r="L659" s="86"/>
    </row>
    <row r="660">
      <c r="E660" s="669"/>
      <c r="H660" s="86"/>
      <c r="J660" s="60"/>
      <c r="L660" s="86"/>
    </row>
    <row r="661">
      <c r="E661" s="669"/>
      <c r="H661" s="86"/>
      <c r="J661" s="60"/>
      <c r="L661" s="86"/>
    </row>
    <row r="662">
      <c r="E662" s="669"/>
      <c r="H662" s="86"/>
      <c r="J662" s="60"/>
      <c r="L662" s="86"/>
    </row>
    <row r="663">
      <c r="E663" s="669"/>
      <c r="H663" s="86"/>
      <c r="J663" s="60"/>
      <c r="L663" s="86"/>
    </row>
    <row r="664">
      <c r="E664" s="669"/>
      <c r="H664" s="86"/>
      <c r="J664" s="60"/>
      <c r="L664" s="86"/>
    </row>
    <row r="665">
      <c r="E665" s="669"/>
      <c r="H665" s="86"/>
      <c r="J665" s="60"/>
      <c r="L665" s="86"/>
    </row>
    <row r="666">
      <c r="E666" s="669"/>
      <c r="H666" s="86"/>
      <c r="J666" s="60"/>
      <c r="L666" s="86"/>
    </row>
    <row r="667">
      <c r="E667" s="669"/>
      <c r="H667" s="86"/>
      <c r="J667" s="60"/>
      <c r="L667" s="86"/>
    </row>
    <row r="668">
      <c r="E668" s="669"/>
      <c r="H668" s="86"/>
      <c r="J668" s="60"/>
      <c r="L668" s="86"/>
    </row>
    <row r="669">
      <c r="E669" s="669"/>
      <c r="H669" s="86"/>
      <c r="J669" s="60"/>
      <c r="L669" s="86"/>
    </row>
    <row r="670">
      <c r="E670" s="669"/>
      <c r="H670" s="86"/>
      <c r="J670" s="60"/>
      <c r="L670" s="86"/>
    </row>
    <row r="671">
      <c r="E671" s="669"/>
      <c r="H671" s="86"/>
      <c r="J671" s="60"/>
      <c r="L671" s="86"/>
    </row>
    <row r="672">
      <c r="E672" s="669"/>
      <c r="H672" s="86"/>
      <c r="J672" s="60"/>
      <c r="L672" s="86"/>
    </row>
    <row r="673">
      <c r="E673" s="669"/>
      <c r="H673" s="86"/>
      <c r="J673" s="60"/>
      <c r="L673" s="86"/>
    </row>
    <row r="674">
      <c r="E674" s="669"/>
      <c r="H674" s="86"/>
      <c r="J674" s="60"/>
      <c r="L674" s="86"/>
    </row>
    <row r="675">
      <c r="E675" s="669"/>
      <c r="H675" s="86"/>
      <c r="J675" s="60"/>
      <c r="L675" s="86"/>
    </row>
    <row r="676">
      <c r="E676" s="669"/>
      <c r="H676" s="86"/>
      <c r="J676" s="60"/>
      <c r="L676" s="86"/>
    </row>
    <row r="677">
      <c r="E677" s="669"/>
      <c r="H677" s="86"/>
      <c r="J677" s="60"/>
      <c r="L677" s="86"/>
    </row>
    <row r="678">
      <c r="E678" s="669"/>
      <c r="H678" s="86"/>
      <c r="J678" s="60"/>
      <c r="L678" s="86"/>
    </row>
    <row r="679">
      <c r="E679" s="669"/>
      <c r="H679" s="86"/>
      <c r="J679" s="60"/>
      <c r="L679" s="86"/>
    </row>
    <row r="680">
      <c r="E680" s="669"/>
      <c r="H680" s="86"/>
      <c r="J680" s="60"/>
      <c r="L680" s="86"/>
    </row>
    <row r="681">
      <c r="E681" s="669"/>
      <c r="H681" s="86"/>
      <c r="J681" s="60"/>
      <c r="L681" s="86"/>
    </row>
    <row r="682">
      <c r="E682" s="669"/>
      <c r="H682" s="86"/>
      <c r="J682" s="60"/>
      <c r="L682" s="86"/>
    </row>
    <row r="683">
      <c r="E683" s="669"/>
      <c r="H683" s="86"/>
      <c r="J683" s="60"/>
      <c r="L683" s="86"/>
    </row>
    <row r="684">
      <c r="E684" s="669"/>
      <c r="H684" s="86"/>
      <c r="J684" s="60"/>
      <c r="L684" s="86"/>
    </row>
    <row r="685">
      <c r="E685" s="669"/>
      <c r="H685" s="86"/>
      <c r="J685" s="60"/>
      <c r="L685" s="86"/>
    </row>
    <row r="686">
      <c r="E686" s="669"/>
      <c r="H686" s="86"/>
      <c r="J686" s="60"/>
      <c r="L686" s="86"/>
    </row>
    <row r="687">
      <c r="E687" s="669"/>
      <c r="H687" s="86"/>
      <c r="J687" s="60"/>
      <c r="L687" s="86"/>
    </row>
    <row r="688">
      <c r="E688" s="669"/>
      <c r="H688" s="86"/>
      <c r="J688" s="60"/>
      <c r="L688" s="86"/>
    </row>
    <row r="689">
      <c r="E689" s="669"/>
      <c r="H689" s="86"/>
      <c r="J689" s="60"/>
      <c r="L689" s="86"/>
    </row>
    <row r="690">
      <c r="E690" s="669"/>
      <c r="H690" s="86"/>
      <c r="J690" s="60"/>
      <c r="L690" s="86"/>
    </row>
    <row r="691">
      <c r="E691" s="669"/>
      <c r="H691" s="86"/>
      <c r="J691" s="60"/>
      <c r="L691" s="86"/>
    </row>
    <row r="692">
      <c r="E692" s="669"/>
      <c r="H692" s="86"/>
      <c r="J692" s="60"/>
      <c r="L692" s="86"/>
    </row>
    <row r="693">
      <c r="E693" s="669"/>
      <c r="H693" s="86"/>
      <c r="J693" s="60"/>
      <c r="L693" s="86"/>
    </row>
    <row r="694">
      <c r="E694" s="669"/>
      <c r="H694" s="86"/>
      <c r="J694" s="60"/>
      <c r="L694" s="86"/>
    </row>
    <row r="695">
      <c r="E695" s="669"/>
      <c r="H695" s="86"/>
      <c r="J695" s="60"/>
      <c r="L695" s="86"/>
    </row>
    <row r="696">
      <c r="E696" s="669"/>
      <c r="H696" s="86"/>
      <c r="J696" s="60"/>
      <c r="L696" s="86"/>
    </row>
    <row r="697">
      <c r="E697" s="669"/>
      <c r="H697" s="86"/>
      <c r="J697" s="60"/>
      <c r="L697" s="86"/>
    </row>
    <row r="698">
      <c r="E698" s="669"/>
      <c r="H698" s="86"/>
      <c r="J698" s="60"/>
      <c r="L698" s="86"/>
    </row>
    <row r="699">
      <c r="E699" s="669"/>
      <c r="H699" s="86"/>
      <c r="J699" s="60"/>
      <c r="L699" s="86"/>
    </row>
    <row r="700">
      <c r="E700" s="669"/>
      <c r="H700" s="86"/>
      <c r="J700" s="60"/>
      <c r="L700" s="86"/>
    </row>
    <row r="701">
      <c r="E701" s="669"/>
      <c r="H701" s="86"/>
      <c r="J701" s="60"/>
      <c r="L701" s="86"/>
    </row>
    <row r="702">
      <c r="E702" s="669"/>
      <c r="H702" s="86"/>
      <c r="J702" s="60"/>
      <c r="L702" s="86"/>
    </row>
    <row r="703">
      <c r="E703" s="669"/>
      <c r="H703" s="86"/>
      <c r="J703" s="60"/>
      <c r="L703" s="86"/>
    </row>
    <row r="704">
      <c r="E704" s="669"/>
      <c r="H704" s="86"/>
      <c r="J704" s="60"/>
      <c r="L704" s="86"/>
    </row>
    <row r="705">
      <c r="E705" s="669"/>
      <c r="H705" s="86"/>
      <c r="J705" s="60"/>
      <c r="L705" s="86"/>
    </row>
    <row r="706">
      <c r="E706" s="669"/>
      <c r="H706" s="86"/>
      <c r="J706" s="60"/>
      <c r="L706" s="86"/>
    </row>
    <row r="707">
      <c r="E707" s="669"/>
      <c r="H707" s="86"/>
      <c r="J707" s="60"/>
      <c r="L707" s="86"/>
    </row>
    <row r="708">
      <c r="E708" s="669"/>
      <c r="H708" s="86"/>
      <c r="J708" s="60"/>
      <c r="L708" s="86"/>
    </row>
    <row r="709">
      <c r="E709" s="669"/>
      <c r="H709" s="86"/>
      <c r="J709" s="60"/>
      <c r="L709" s="86"/>
    </row>
    <row r="710">
      <c r="E710" s="669"/>
      <c r="H710" s="86"/>
      <c r="J710" s="60"/>
      <c r="L710" s="86"/>
    </row>
    <row r="711">
      <c r="E711" s="669"/>
      <c r="H711" s="86"/>
      <c r="J711" s="60"/>
      <c r="L711" s="86"/>
    </row>
    <row r="712">
      <c r="E712" s="669"/>
      <c r="H712" s="86"/>
      <c r="J712" s="60"/>
      <c r="L712" s="86"/>
    </row>
    <row r="713">
      <c r="E713" s="669"/>
      <c r="H713" s="86"/>
      <c r="J713" s="60"/>
      <c r="L713" s="86"/>
    </row>
    <row r="714">
      <c r="E714" s="669"/>
      <c r="H714" s="86"/>
      <c r="J714" s="60"/>
      <c r="L714" s="86"/>
    </row>
    <row r="715">
      <c r="E715" s="669"/>
      <c r="H715" s="86"/>
      <c r="J715" s="60"/>
      <c r="L715" s="86"/>
    </row>
    <row r="716">
      <c r="E716" s="669"/>
      <c r="H716" s="86"/>
      <c r="J716" s="60"/>
      <c r="L716" s="86"/>
    </row>
    <row r="717">
      <c r="E717" s="669"/>
      <c r="H717" s="86"/>
      <c r="J717" s="60"/>
      <c r="L717" s="86"/>
    </row>
    <row r="718">
      <c r="E718" s="669"/>
      <c r="H718" s="86"/>
      <c r="J718" s="60"/>
      <c r="L718" s="86"/>
    </row>
    <row r="719">
      <c r="E719" s="669"/>
      <c r="H719" s="86"/>
      <c r="J719" s="60"/>
      <c r="L719" s="86"/>
    </row>
    <row r="720">
      <c r="E720" s="669"/>
      <c r="H720" s="86"/>
      <c r="J720" s="60"/>
      <c r="L720" s="86"/>
    </row>
    <row r="721">
      <c r="E721" s="669"/>
      <c r="H721" s="86"/>
      <c r="J721" s="60"/>
      <c r="L721" s="86"/>
    </row>
    <row r="722">
      <c r="E722" s="669"/>
      <c r="H722" s="86"/>
      <c r="J722" s="60"/>
      <c r="L722" s="86"/>
    </row>
    <row r="723">
      <c r="E723" s="669"/>
      <c r="H723" s="86"/>
      <c r="J723" s="60"/>
      <c r="L723" s="86"/>
    </row>
    <row r="724">
      <c r="E724" s="669"/>
      <c r="H724" s="86"/>
      <c r="J724" s="60"/>
      <c r="L724" s="86"/>
    </row>
    <row r="725">
      <c r="E725" s="669"/>
      <c r="H725" s="86"/>
      <c r="J725" s="60"/>
      <c r="L725" s="86"/>
    </row>
    <row r="726">
      <c r="E726" s="669"/>
      <c r="H726" s="86"/>
      <c r="J726" s="60"/>
      <c r="L726" s="86"/>
    </row>
    <row r="727">
      <c r="E727" s="669"/>
      <c r="H727" s="86"/>
      <c r="J727" s="60"/>
      <c r="L727" s="86"/>
    </row>
    <row r="728">
      <c r="E728" s="669"/>
      <c r="H728" s="86"/>
      <c r="J728" s="60"/>
      <c r="L728" s="86"/>
    </row>
    <row r="729">
      <c r="E729" s="669"/>
      <c r="H729" s="86"/>
      <c r="J729" s="60"/>
      <c r="L729" s="86"/>
    </row>
    <row r="730">
      <c r="E730" s="669"/>
      <c r="H730" s="86"/>
      <c r="J730" s="60"/>
      <c r="L730" s="86"/>
    </row>
    <row r="731">
      <c r="E731" s="669"/>
      <c r="H731" s="86"/>
      <c r="J731" s="60"/>
      <c r="L731" s="86"/>
    </row>
    <row r="732">
      <c r="E732" s="669"/>
      <c r="H732" s="86"/>
      <c r="J732" s="60"/>
      <c r="L732" s="86"/>
    </row>
    <row r="733">
      <c r="E733" s="669"/>
      <c r="H733" s="86"/>
      <c r="J733" s="60"/>
      <c r="L733" s="86"/>
    </row>
    <row r="734">
      <c r="E734" s="669"/>
      <c r="H734" s="86"/>
      <c r="J734" s="60"/>
      <c r="L734" s="86"/>
    </row>
    <row r="735">
      <c r="E735" s="669"/>
      <c r="H735" s="86"/>
      <c r="J735" s="60"/>
      <c r="L735" s="86"/>
    </row>
    <row r="736">
      <c r="E736" s="669"/>
      <c r="H736" s="86"/>
      <c r="J736" s="60"/>
      <c r="L736" s="86"/>
    </row>
    <row r="737">
      <c r="E737" s="669"/>
      <c r="H737" s="86"/>
      <c r="J737" s="60"/>
      <c r="L737" s="86"/>
    </row>
    <row r="738">
      <c r="E738" s="669"/>
      <c r="H738" s="86"/>
      <c r="J738" s="60"/>
      <c r="L738" s="86"/>
    </row>
    <row r="739">
      <c r="E739" s="669"/>
      <c r="H739" s="86"/>
      <c r="J739" s="60"/>
      <c r="L739" s="86"/>
    </row>
    <row r="740">
      <c r="E740" s="669"/>
      <c r="H740" s="86"/>
      <c r="J740" s="60"/>
      <c r="L740" s="86"/>
    </row>
    <row r="741">
      <c r="E741" s="669"/>
      <c r="H741" s="86"/>
      <c r="J741" s="60"/>
      <c r="L741" s="86"/>
    </row>
    <row r="742">
      <c r="E742" s="669"/>
      <c r="H742" s="86"/>
      <c r="J742" s="60"/>
      <c r="L742" s="86"/>
    </row>
    <row r="743">
      <c r="E743" s="669"/>
      <c r="H743" s="86"/>
      <c r="J743" s="60"/>
      <c r="L743" s="86"/>
    </row>
    <row r="744">
      <c r="E744" s="669"/>
      <c r="H744" s="86"/>
      <c r="J744" s="60"/>
      <c r="L744" s="86"/>
    </row>
    <row r="745">
      <c r="E745" s="669"/>
      <c r="H745" s="86"/>
      <c r="J745" s="60"/>
      <c r="L745" s="86"/>
    </row>
    <row r="746">
      <c r="E746" s="669"/>
      <c r="H746" s="86"/>
      <c r="J746" s="60"/>
      <c r="L746" s="86"/>
    </row>
    <row r="747">
      <c r="E747" s="669"/>
      <c r="H747" s="86"/>
      <c r="J747" s="60"/>
      <c r="L747" s="86"/>
    </row>
    <row r="748">
      <c r="E748" s="669"/>
      <c r="H748" s="86"/>
      <c r="J748" s="60"/>
      <c r="L748" s="86"/>
    </row>
    <row r="749">
      <c r="E749" s="669"/>
      <c r="H749" s="86"/>
      <c r="J749" s="60"/>
      <c r="L749" s="86"/>
    </row>
    <row r="750">
      <c r="E750" s="669"/>
      <c r="H750" s="86"/>
      <c r="J750" s="60"/>
      <c r="L750" s="86"/>
    </row>
    <row r="751">
      <c r="E751" s="669"/>
      <c r="H751" s="86"/>
      <c r="J751" s="60"/>
      <c r="L751" s="86"/>
    </row>
    <row r="752">
      <c r="E752" s="669"/>
      <c r="H752" s="86"/>
      <c r="J752" s="60"/>
      <c r="L752" s="86"/>
    </row>
    <row r="753">
      <c r="E753" s="669"/>
      <c r="H753" s="86"/>
      <c r="J753" s="60"/>
      <c r="L753" s="86"/>
    </row>
    <row r="754">
      <c r="E754" s="669"/>
      <c r="H754" s="86"/>
      <c r="J754" s="60"/>
      <c r="L754" s="86"/>
    </row>
    <row r="755">
      <c r="E755" s="669"/>
      <c r="H755" s="86"/>
      <c r="J755" s="60"/>
      <c r="L755" s="86"/>
    </row>
    <row r="756">
      <c r="E756" s="669"/>
      <c r="H756" s="86"/>
      <c r="J756" s="60"/>
      <c r="L756" s="86"/>
    </row>
    <row r="757">
      <c r="E757" s="669"/>
      <c r="H757" s="86"/>
      <c r="J757" s="60"/>
      <c r="L757" s="86"/>
    </row>
    <row r="758">
      <c r="E758" s="669"/>
      <c r="H758" s="86"/>
      <c r="J758" s="60"/>
      <c r="L758" s="86"/>
    </row>
    <row r="759">
      <c r="E759" s="669"/>
      <c r="H759" s="86"/>
      <c r="J759" s="60"/>
      <c r="L759" s="86"/>
    </row>
    <row r="760">
      <c r="E760" s="669"/>
      <c r="H760" s="86"/>
      <c r="J760" s="60"/>
      <c r="L760" s="86"/>
    </row>
    <row r="761">
      <c r="E761" s="669"/>
      <c r="H761" s="86"/>
      <c r="J761" s="60"/>
      <c r="L761" s="86"/>
    </row>
    <row r="762">
      <c r="E762" s="669"/>
      <c r="H762" s="86"/>
      <c r="J762" s="60"/>
      <c r="L762" s="86"/>
    </row>
    <row r="763">
      <c r="E763" s="669"/>
      <c r="H763" s="86"/>
      <c r="J763" s="60"/>
      <c r="L763" s="86"/>
    </row>
    <row r="764">
      <c r="E764" s="669"/>
      <c r="H764" s="86"/>
      <c r="J764" s="60"/>
      <c r="L764" s="86"/>
    </row>
    <row r="765">
      <c r="E765" s="669"/>
      <c r="H765" s="86"/>
      <c r="J765" s="60"/>
      <c r="L765" s="86"/>
    </row>
    <row r="766">
      <c r="E766" s="669"/>
      <c r="H766" s="86"/>
      <c r="J766" s="60"/>
      <c r="L766" s="86"/>
    </row>
    <row r="767">
      <c r="E767" s="669"/>
      <c r="H767" s="86"/>
      <c r="J767" s="60"/>
      <c r="L767" s="86"/>
    </row>
    <row r="768">
      <c r="E768" s="669"/>
      <c r="H768" s="86"/>
      <c r="J768" s="60"/>
      <c r="L768" s="86"/>
    </row>
    <row r="769">
      <c r="E769" s="669"/>
      <c r="H769" s="86"/>
      <c r="J769" s="60"/>
      <c r="L769" s="86"/>
    </row>
    <row r="770">
      <c r="E770" s="669"/>
      <c r="H770" s="86"/>
      <c r="J770" s="60"/>
      <c r="L770" s="86"/>
    </row>
    <row r="771">
      <c r="E771" s="669"/>
      <c r="H771" s="86"/>
      <c r="J771" s="60"/>
      <c r="L771" s="86"/>
    </row>
    <row r="772">
      <c r="E772" s="669"/>
      <c r="H772" s="86"/>
      <c r="J772" s="60"/>
      <c r="L772" s="86"/>
    </row>
    <row r="773">
      <c r="E773" s="669"/>
      <c r="H773" s="86"/>
      <c r="J773" s="60"/>
      <c r="L773" s="86"/>
    </row>
    <row r="774">
      <c r="E774" s="669"/>
      <c r="H774" s="86"/>
      <c r="J774" s="60"/>
      <c r="L774" s="86"/>
    </row>
    <row r="775">
      <c r="E775" s="669"/>
      <c r="H775" s="86"/>
      <c r="J775" s="60"/>
      <c r="L775" s="86"/>
    </row>
    <row r="776">
      <c r="E776" s="669"/>
      <c r="H776" s="86"/>
      <c r="J776" s="60"/>
      <c r="L776" s="86"/>
    </row>
    <row r="777">
      <c r="E777" s="669"/>
      <c r="H777" s="86"/>
      <c r="J777" s="60"/>
      <c r="L777" s="86"/>
    </row>
    <row r="778">
      <c r="E778" s="669"/>
      <c r="H778" s="86"/>
      <c r="J778" s="60"/>
      <c r="L778" s="86"/>
    </row>
    <row r="779">
      <c r="E779" s="669"/>
      <c r="H779" s="86"/>
      <c r="J779" s="60"/>
      <c r="L779" s="86"/>
    </row>
    <row r="780">
      <c r="E780" s="669"/>
      <c r="H780" s="86"/>
      <c r="J780" s="60"/>
      <c r="L780" s="86"/>
    </row>
    <row r="781">
      <c r="E781" s="669"/>
      <c r="H781" s="86"/>
      <c r="J781" s="60"/>
      <c r="L781" s="86"/>
    </row>
    <row r="782">
      <c r="E782" s="669"/>
      <c r="H782" s="86"/>
      <c r="J782" s="60"/>
      <c r="L782" s="86"/>
    </row>
    <row r="783">
      <c r="E783" s="669"/>
      <c r="H783" s="86"/>
      <c r="J783" s="60"/>
      <c r="L783" s="86"/>
    </row>
    <row r="784">
      <c r="E784" s="669"/>
      <c r="H784" s="86"/>
      <c r="J784" s="60"/>
      <c r="L784" s="86"/>
    </row>
    <row r="785">
      <c r="E785" s="669"/>
      <c r="H785" s="86"/>
      <c r="J785" s="60"/>
      <c r="L785" s="86"/>
    </row>
    <row r="786">
      <c r="E786" s="669"/>
      <c r="H786" s="86"/>
      <c r="J786" s="60"/>
      <c r="L786" s="86"/>
    </row>
    <row r="787">
      <c r="E787" s="669"/>
      <c r="H787" s="86"/>
      <c r="J787" s="60"/>
      <c r="L787" s="86"/>
    </row>
    <row r="788">
      <c r="E788" s="669"/>
      <c r="H788" s="86"/>
      <c r="J788" s="60"/>
      <c r="L788" s="86"/>
    </row>
    <row r="789">
      <c r="E789" s="669"/>
      <c r="H789" s="86"/>
      <c r="J789" s="60"/>
      <c r="L789" s="86"/>
    </row>
    <row r="790">
      <c r="E790" s="669"/>
      <c r="H790" s="86"/>
      <c r="J790" s="60"/>
      <c r="L790" s="86"/>
    </row>
    <row r="791">
      <c r="E791" s="669"/>
      <c r="H791" s="86"/>
      <c r="J791" s="60"/>
      <c r="L791" s="86"/>
    </row>
    <row r="792">
      <c r="E792" s="669"/>
      <c r="H792" s="86"/>
      <c r="J792" s="60"/>
      <c r="L792" s="86"/>
    </row>
    <row r="793">
      <c r="E793" s="669"/>
      <c r="H793" s="86"/>
      <c r="J793" s="60"/>
      <c r="L793" s="86"/>
    </row>
    <row r="794">
      <c r="E794" s="669"/>
      <c r="H794" s="86"/>
      <c r="J794" s="60"/>
      <c r="L794" s="86"/>
    </row>
    <row r="795">
      <c r="E795" s="669"/>
      <c r="H795" s="86"/>
      <c r="J795" s="60"/>
      <c r="L795" s="86"/>
    </row>
    <row r="796">
      <c r="E796" s="669"/>
      <c r="H796" s="86"/>
      <c r="J796" s="60"/>
      <c r="L796" s="86"/>
    </row>
    <row r="797">
      <c r="E797" s="669"/>
      <c r="H797" s="86"/>
      <c r="J797" s="60"/>
      <c r="L797" s="86"/>
    </row>
    <row r="798">
      <c r="E798" s="669"/>
      <c r="H798" s="86"/>
      <c r="J798" s="60"/>
      <c r="L798" s="86"/>
    </row>
    <row r="799">
      <c r="E799" s="669"/>
      <c r="H799" s="86"/>
      <c r="J799" s="60"/>
      <c r="L799" s="86"/>
    </row>
    <row r="800">
      <c r="E800" s="669"/>
      <c r="H800" s="86"/>
      <c r="J800" s="60"/>
      <c r="L800" s="86"/>
    </row>
    <row r="801">
      <c r="E801" s="669"/>
      <c r="H801" s="86"/>
      <c r="J801" s="60"/>
      <c r="L801" s="86"/>
    </row>
    <row r="802">
      <c r="E802" s="669"/>
      <c r="H802" s="86"/>
      <c r="J802" s="60"/>
      <c r="L802" s="86"/>
    </row>
    <row r="803">
      <c r="E803" s="669"/>
      <c r="H803" s="86"/>
      <c r="J803" s="60"/>
      <c r="L803" s="86"/>
    </row>
    <row r="804">
      <c r="E804" s="669"/>
      <c r="H804" s="86"/>
      <c r="J804" s="60"/>
      <c r="L804" s="86"/>
    </row>
    <row r="805">
      <c r="E805" s="669"/>
      <c r="H805" s="86"/>
      <c r="J805" s="60"/>
      <c r="L805" s="86"/>
    </row>
    <row r="806">
      <c r="E806" s="669"/>
      <c r="H806" s="86"/>
      <c r="J806" s="60"/>
      <c r="L806" s="86"/>
    </row>
    <row r="807">
      <c r="E807" s="669"/>
      <c r="H807" s="86"/>
      <c r="J807" s="60"/>
      <c r="L807" s="86"/>
    </row>
    <row r="808">
      <c r="E808" s="669"/>
      <c r="H808" s="86"/>
      <c r="J808" s="60"/>
      <c r="L808" s="86"/>
    </row>
    <row r="809">
      <c r="E809" s="669"/>
      <c r="H809" s="86"/>
      <c r="J809" s="60"/>
      <c r="L809" s="86"/>
    </row>
    <row r="810">
      <c r="E810" s="669"/>
      <c r="H810" s="86"/>
      <c r="J810" s="60"/>
      <c r="L810" s="86"/>
    </row>
    <row r="811">
      <c r="E811" s="669"/>
      <c r="H811" s="86"/>
      <c r="J811" s="60"/>
      <c r="L811" s="86"/>
    </row>
    <row r="812">
      <c r="E812" s="669"/>
      <c r="H812" s="86"/>
      <c r="J812" s="60"/>
      <c r="L812" s="86"/>
    </row>
    <row r="813">
      <c r="E813" s="669"/>
      <c r="H813" s="86"/>
      <c r="J813" s="60"/>
      <c r="L813" s="86"/>
    </row>
    <row r="814">
      <c r="E814" s="669"/>
      <c r="H814" s="86"/>
      <c r="J814" s="60"/>
      <c r="L814" s="86"/>
    </row>
    <row r="815">
      <c r="E815" s="669"/>
      <c r="H815" s="86"/>
      <c r="J815" s="60"/>
      <c r="L815" s="86"/>
    </row>
    <row r="816">
      <c r="E816" s="669"/>
      <c r="H816" s="86"/>
      <c r="J816" s="60"/>
      <c r="L816" s="86"/>
    </row>
    <row r="817">
      <c r="E817" s="669"/>
      <c r="H817" s="86"/>
      <c r="J817" s="60"/>
      <c r="L817" s="86"/>
    </row>
    <row r="818">
      <c r="E818" s="669"/>
      <c r="H818" s="86"/>
      <c r="J818" s="60"/>
      <c r="L818" s="86"/>
    </row>
    <row r="819">
      <c r="E819" s="669"/>
      <c r="H819" s="86"/>
      <c r="J819" s="60"/>
      <c r="L819" s="86"/>
    </row>
    <row r="820">
      <c r="E820" s="669"/>
      <c r="H820" s="86"/>
      <c r="J820" s="60"/>
      <c r="L820" s="86"/>
    </row>
    <row r="821">
      <c r="E821" s="669"/>
      <c r="H821" s="86"/>
      <c r="J821" s="60"/>
      <c r="L821" s="86"/>
    </row>
    <row r="822">
      <c r="E822" s="669"/>
      <c r="H822" s="86"/>
      <c r="J822" s="60"/>
      <c r="L822" s="86"/>
    </row>
    <row r="823">
      <c r="E823" s="669"/>
      <c r="H823" s="86"/>
      <c r="J823" s="60"/>
      <c r="L823" s="86"/>
    </row>
    <row r="824">
      <c r="E824" s="669"/>
      <c r="H824" s="86"/>
      <c r="J824" s="60"/>
      <c r="L824" s="86"/>
    </row>
    <row r="825">
      <c r="E825" s="669"/>
      <c r="H825" s="86"/>
      <c r="J825" s="60"/>
      <c r="L825" s="86"/>
    </row>
    <row r="826">
      <c r="E826" s="669"/>
      <c r="H826" s="86"/>
      <c r="J826" s="60"/>
      <c r="L826" s="86"/>
    </row>
    <row r="827">
      <c r="E827" s="669"/>
      <c r="H827" s="86"/>
      <c r="J827" s="60"/>
      <c r="L827" s="86"/>
    </row>
    <row r="828">
      <c r="E828" s="669"/>
      <c r="H828" s="86"/>
      <c r="J828" s="60"/>
      <c r="L828" s="86"/>
    </row>
    <row r="829">
      <c r="E829" s="669"/>
      <c r="H829" s="86"/>
      <c r="J829" s="60"/>
      <c r="L829" s="86"/>
    </row>
    <row r="830">
      <c r="E830" s="669"/>
      <c r="H830" s="86"/>
      <c r="J830" s="60"/>
      <c r="L830" s="86"/>
    </row>
    <row r="831">
      <c r="E831" s="669"/>
      <c r="H831" s="86"/>
      <c r="J831" s="60"/>
      <c r="L831" s="86"/>
    </row>
    <row r="832">
      <c r="E832" s="669"/>
      <c r="H832" s="86"/>
      <c r="J832" s="60"/>
      <c r="L832" s="86"/>
    </row>
    <row r="833">
      <c r="E833" s="669"/>
      <c r="H833" s="86"/>
      <c r="J833" s="60"/>
      <c r="L833" s="86"/>
    </row>
    <row r="834">
      <c r="E834" s="669"/>
      <c r="H834" s="86"/>
      <c r="J834" s="60"/>
      <c r="L834" s="86"/>
    </row>
    <row r="835">
      <c r="E835" s="669"/>
      <c r="H835" s="86"/>
      <c r="J835" s="60"/>
      <c r="L835" s="86"/>
    </row>
    <row r="836">
      <c r="E836" s="669"/>
      <c r="H836" s="86"/>
      <c r="J836" s="60"/>
      <c r="L836" s="86"/>
    </row>
    <row r="837">
      <c r="E837" s="669"/>
      <c r="H837" s="86"/>
      <c r="J837" s="60"/>
      <c r="L837" s="86"/>
    </row>
    <row r="838">
      <c r="E838" s="669"/>
      <c r="H838" s="86"/>
      <c r="J838" s="60"/>
      <c r="L838" s="86"/>
    </row>
    <row r="839">
      <c r="E839" s="669"/>
      <c r="H839" s="86"/>
      <c r="J839" s="60"/>
      <c r="L839" s="86"/>
    </row>
    <row r="840">
      <c r="E840" s="669"/>
      <c r="H840" s="86"/>
      <c r="J840" s="60"/>
      <c r="L840" s="86"/>
    </row>
    <row r="841">
      <c r="E841" s="669"/>
      <c r="H841" s="86"/>
      <c r="J841" s="60"/>
      <c r="L841" s="86"/>
    </row>
    <row r="842">
      <c r="E842" s="669"/>
      <c r="H842" s="86"/>
      <c r="J842" s="60"/>
      <c r="L842" s="86"/>
    </row>
    <row r="843">
      <c r="E843" s="669"/>
      <c r="H843" s="86"/>
      <c r="J843" s="60"/>
      <c r="L843" s="86"/>
    </row>
    <row r="844">
      <c r="E844" s="669"/>
      <c r="H844" s="86"/>
      <c r="J844" s="60"/>
      <c r="L844" s="86"/>
    </row>
    <row r="845">
      <c r="E845" s="669"/>
      <c r="H845" s="86"/>
      <c r="J845" s="60"/>
      <c r="L845" s="86"/>
    </row>
    <row r="846">
      <c r="E846" s="669"/>
      <c r="H846" s="86"/>
      <c r="J846" s="60"/>
      <c r="L846" s="86"/>
    </row>
    <row r="847">
      <c r="E847" s="669"/>
      <c r="H847" s="86"/>
      <c r="J847" s="60"/>
      <c r="L847" s="86"/>
    </row>
    <row r="848">
      <c r="E848" s="669"/>
      <c r="H848" s="86"/>
      <c r="J848" s="60"/>
      <c r="L848" s="86"/>
    </row>
    <row r="849">
      <c r="E849" s="669"/>
      <c r="H849" s="86"/>
      <c r="J849" s="60"/>
      <c r="L849" s="86"/>
    </row>
    <row r="850">
      <c r="E850" s="669"/>
      <c r="H850" s="86"/>
      <c r="J850" s="60"/>
      <c r="L850" s="86"/>
    </row>
    <row r="851">
      <c r="E851" s="669"/>
      <c r="H851" s="86"/>
      <c r="J851" s="60"/>
      <c r="L851" s="86"/>
    </row>
    <row r="852">
      <c r="E852" s="669"/>
      <c r="H852" s="86"/>
      <c r="J852" s="60"/>
      <c r="L852" s="86"/>
    </row>
    <row r="853">
      <c r="E853" s="669"/>
      <c r="H853" s="86"/>
      <c r="J853" s="60"/>
      <c r="L853" s="86"/>
    </row>
    <row r="854">
      <c r="E854" s="669"/>
      <c r="H854" s="86"/>
      <c r="J854" s="60"/>
      <c r="L854" s="86"/>
    </row>
    <row r="855">
      <c r="E855" s="669"/>
      <c r="H855" s="86"/>
      <c r="J855" s="60"/>
      <c r="L855" s="86"/>
    </row>
    <row r="856">
      <c r="E856" s="669"/>
      <c r="H856" s="86"/>
      <c r="J856" s="60"/>
      <c r="L856" s="86"/>
    </row>
    <row r="857">
      <c r="E857" s="669"/>
      <c r="H857" s="86"/>
      <c r="J857" s="60"/>
      <c r="L857" s="86"/>
    </row>
    <row r="858">
      <c r="E858" s="669"/>
      <c r="H858" s="86"/>
      <c r="J858" s="60"/>
      <c r="L858" s="86"/>
    </row>
    <row r="859">
      <c r="E859" s="669"/>
      <c r="H859" s="86"/>
      <c r="J859" s="60"/>
      <c r="L859" s="86"/>
    </row>
    <row r="860">
      <c r="E860" s="669"/>
      <c r="H860" s="86"/>
      <c r="J860" s="60"/>
      <c r="L860" s="86"/>
    </row>
    <row r="861">
      <c r="E861" s="669"/>
      <c r="H861" s="86"/>
      <c r="J861" s="60"/>
      <c r="L861" s="86"/>
    </row>
    <row r="862">
      <c r="E862" s="669"/>
      <c r="H862" s="86"/>
      <c r="J862" s="60"/>
      <c r="L862" s="86"/>
    </row>
    <row r="863">
      <c r="E863" s="669"/>
      <c r="H863" s="86"/>
      <c r="J863" s="60"/>
      <c r="L863" s="86"/>
    </row>
    <row r="864">
      <c r="E864" s="669"/>
      <c r="H864" s="86"/>
      <c r="J864" s="60"/>
      <c r="L864" s="86"/>
    </row>
    <row r="865">
      <c r="E865" s="669"/>
      <c r="H865" s="86"/>
      <c r="J865" s="60"/>
      <c r="L865" s="86"/>
    </row>
    <row r="866">
      <c r="E866" s="669"/>
      <c r="H866" s="86"/>
      <c r="J866" s="60"/>
      <c r="L866" s="86"/>
    </row>
    <row r="867">
      <c r="E867" s="669"/>
      <c r="H867" s="86"/>
      <c r="J867" s="60"/>
      <c r="L867" s="86"/>
    </row>
    <row r="868">
      <c r="E868" s="669"/>
      <c r="H868" s="86"/>
      <c r="J868" s="60"/>
      <c r="L868" s="86"/>
    </row>
    <row r="869">
      <c r="E869" s="669"/>
      <c r="H869" s="86"/>
      <c r="J869" s="60"/>
      <c r="L869" s="86"/>
    </row>
    <row r="870">
      <c r="E870" s="669"/>
      <c r="H870" s="86"/>
      <c r="J870" s="60"/>
      <c r="L870" s="86"/>
    </row>
    <row r="871">
      <c r="E871" s="669"/>
      <c r="H871" s="86"/>
      <c r="J871" s="60"/>
      <c r="L871" s="86"/>
    </row>
    <row r="872">
      <c r="E872" s="669"/>
      <c r="H872" s="86"/>
      <c r="J872" s="60"/>
      <c r="L872" s="86"/>
    </row>
    <row r="873">
      <c r="E873" s="669"/>
      <c r="H873" s="86"/>
      <c r="J873" s="60"/>
      <c r="L873" s="86"/>
    </row>
    <row r="874">
      <c r="E874" s="669"/>
      <c r="H874" s="86"/>
      <c r="J874" s="60"/>
      <c r="L874" s="86"/>
    </row>
    <row r="875">
      <c r="E875" s="669"/>
      <c r="H875" s="86"/>
      <c r="J875" s="60"/>
      <c r="L875" s="86"/>
    </row>
    <row r="876">
      <c r="E876" s="669"/>
      <c r="H876" s="86"/>
      <c r="J876" s="60"/>
      <c r="L876" s="86"/>
    </row>
    <row r="877">
      <c r="E877" s="669"/>
      <c r="H877" s="86"/>
      <c r="J877" s="60"/>
      <c r="L877" s="86"/>
    </row>
    <row r="878">
      <c r="E878" s="669"/>
      <c r="H878" s="86"/>
      <c r="J878" s="60"/>
      <c r="L878" s="86"/>
    </row>
    <row r="879">
      <c r="E879" s="669"/>
      <c r="H879" s="86"/>
      <c r="J879" s="60"/>
      <c r="L879" s="86"/>
    </row>
    <row r="880">
      <c r="E880" s="669"/>
      <c r="H880" s="86"/>
      <c r="J880" s="60"/>
      <c r="L880" s="86"/>
    </row>
    <row r="881">
      <c r="E881" s="669"/>
      <c r="H881" s="86"/>
      <c r="J881" s="60"/>
      <c r="L881" s="86"/>
    </row>
    <row r="882">
      <c r="E882" s="669"/>
      <c r="H882" s="86"/>
      <c r="J882" s="60"/>
      <c r="L882" s="86"/>
    </row>
    <row r="883">
      <c r="E883" s="669"/>
      <c r="H883" s="86"/>
      <c r="J883" s="60"/>
      <c r="L883" s="86"/>
    </row>
    <row r="884">
      <c r="E884" s="669"/>
      <c r="H884" s="86"/>
      <c r="J884" s="60"/>
      <c r="L884" s="86"/>
    </row>
    <row r="885">
      <c r="E885" s="669"/>
      <c r="H885" s="86"/>
      <c r="J885" s="60"/>
      <c r="L885" s="86"/>
    </row>
    <row r="886">
      <c r="E886" s="669"/>
      <c r="H886" s="86"/>
      <c r="J886" s="60"/>
      <c r="L886" s="86"/>
    </row>
    <row r="887">
      <c r="E887" s="669"/>
      <c r="H887" s="86"/>
      <c r="J887" s="60"/>
      <c r="L887" s="86"/>
    </row>
    <row r="888">
      <c r="E888" s="669"/>
      <c r="H888" s="86"/>
      <c r="J888" s="60"/>
      <c r="L888" s="86"/>
    </row>
    <row r="889">
      <c r="E889" s="669"/>
      <c r="H889" s="86"/>
      <c r="J889" s="60"/>
      <c r="L889" s="86"/>
    </row>
    <row r="890">
      <c r="E890" s="669"/>
      <c r="H890" s="86"/>
      <c r="J890" s="60"/>
      <c r="L890" s="86"/>
    </row>
    <row r="891">
      <c r="E891" s="669"/>
      <c r="H891" s="86"/>
      <c r="J891" s="60"/>
      <c r="L891" s="86"/>
    </row>
    <row r="892">
      <c r="E892" s="669"/>
      <c r="H892" s="86"/>
      <c r="J892" s="60"/>
      <c r="L892" s="86"/>
    </row>
    <row r="893">
      <c r="E893" s="669"/>
      <c r="H893" s="86"/>
      <c r="J893" s="60"/>
      <c r="L893" s="86"/>
    </row>
    <row r="894">
      <c r="E894" s="669"/>
      <c r="H894" s="86"/>
      <c r="J894" s="60"/>
      <c r="L894" s="86"/>
    </row>
    <row r="895">
      <c r="E895" s="669"/>
      <c r="H895" s="86"/>
      <c r="J895" s="60"/>
      <c r="L895" s="86"/>
    </row>
    <row r="896">
      <c r="E896" s="669"/>
      <c r="H896" s="86"/>
      <c r="J896" s="60"/>
      <c r="L896" s="86"/>
    </row>
    <row r="897">
      <c r="E897" s="669"/>
      <c r="H897" s="86"/>
      <c r="J897" s="60"/>
      <c r="L897" s="86"/>
    </row>
    <row r="898">
      <c r="E898" s="669"/>
      <c r="H898" s="86"/>
      <c r="J898" s="60"/>
      <c r="L898" s="86"/>
    </row>
    <row r="899">
      <c r="E899" s="669"/>
      <c r="H899" s="86"/>
      <c r="J899" s="60"/>
      <c r="L899" s="86"/>
    </row>
    <row r="900">
      <c r="E900" s="669"/>
      <c r="H900" s="86"/>
      <c r="J900" s="60"/>
      <c r="L900" s="86"/>
    </row>
    <row r="901">
      <c r="E901" s="669"/>
      <c r="H901" s="86"/>
      <c r="J901" s="60"/>
      <c r="L901" s="86"/>
    </row>
    <row r="902">
      <c r="E902" s="669"/>
      <c r="H902" s="86"/>
      <c r="J902" s="60"/>
      <c r="L902" s="86"/>
    </row>
    <row r="903">
      <c r="E903" s="669"/>
      <c r="H903" s="86"/>
      <c r="J903" s="60"/>
      <c r="L903" s="86"/>
    </row>
    <row r="904">
      <c r="E904" s="669"/>
      <c r="H904" s="86"/>
      <c r="J904" s="60"/>
      <c r="L904" s="86"/>
    </row>
    <row r="905">
      <c r="E905" s="669"/>
      <c r="H905" s="86"/>
      <c r="J905" s="60"/>
      <c r="L905" s="86"/>
    </row>
    <row r="906">
      <c r="E906" s="669"/>
      <c r="H906" s="86"/>
      <c r="J906" s="60"/>
      <c r="L906" s="86"/>
    </row>
    <row r="907">
      <c r="E907" s="669"/>
      <c r="H907" s="86"/>
      <c r="J907" s="60"/>
      <c r="L907" s="86"/>
    </row>
    <row r="908">
      <c r="E908" s="669"/>
      <c r="H908" s="86"/>
      <c r="J908" s="60"/>
      <c r="L908" s="86"/>
    </row>
    <row r="909">
      <c r="E909" s="669"/>
      <c r="H909" s="86"/>
      <c r="J909" s="60"/>
      <c r="L909" s="86"/>
    </row>
    <row r="910">
      <c r="E910" s="669"/>
      <c r="H910" s="86"/>
      <c r="J910" s="60"/>
      <c r="L910" s="86"/>
    </row>
    <row r="911">
      <c r="E911" s="669"/>
      <c r="H911" s="86"/>
      <c r="J911" s="60"/>
      <c r="L911" s="86"/>
    </row>
    <row r="912">
      <c r="E912" s="669"/>
      <c r="H912" s="86"/>
      <c r="J912" s="60"/>
      <c r="L912" s="86"/>
    </row>
    <row r="913">
      <c r="E913" s="669"/>
      <c r="H913" s="86"/>
      <c r="J913" s="60"/>
      <c r="L913" s="86"/>
    </row>
    <row r="914">
      <c r="E914" s="669"/>
      <c r="H914" s="86"/>
      <c r="J914" s="60"/>
      <c r="L914" s="86"/>
    </row>
    <row r="915">
      <c r="E915" s="669"/>
      <c r="H915" s="86"/>
      <c r="J915" s="60"/>
      <c r="L915" s="86"/>
    </row>
    <row r="916">
      <c r="E916" s="669"/>
      <c r="H916" s="86"/>
      <c r="J916" s="60"/>
      <c r="L916" s="86"/>
    </row>
    <row r="917">
      <c r="E917" s="669"/>
      <c r="H917" s="86"/>
      <c r="J917" s="60"/>
      <c r="L917" s="86"/>
    </row>
    <row r="918">
      <c r="E918" s="669"/>
      <c r="H918" s="86"/>
      <c r="J918" s="60"/>
      <c r="L918" s="86"/>
    </row>
    <row r="919">
      <c r="E919" s="669"/>
      <c r="H919" s="86"/>
      <c r="J919" s="60"/>
      <c r="L919" s="86"/>
    </row>
    <row r="920">
      <c r="E920" s="669"/>
      <c r="H920" s="86"/>
      <c r="J920" s="60"/>
      <c r="L920" s="86"/>
    </row>
    <row r="921">
      <c r="E921" s="669"/>
      <c r="H921" s="86"/>
      <c r="J921" s="60"/>
      <c r="L921" s="86"/>
    </row>
    <row r="922">
      <c r="E922" s="669"/>
      <c r="H922" s="86"/>
      <c r="J922" s="60"/>
      <c r="L922" s="86"/>
    </row>
    <row r="923">
      <c r="E923" s="669"/>
      <c r="H923" s="86"/>
      <c r="J923" s="60"/>
      <c r="L923" s="86"/>
    </row>
    <row r="924">
      <c r="E924" s="669"/>
      <c r="H924" s="86"/>
      <c r="J924" s="60"/>
      <c r="L924" s="86"/>
    </row>
    <row r="925">
      <c r="E925" s="669"/>
      <c r="H925" s="86"/>
      <c r="J925" s="60"/>
      <c r="L925" s="86"/>
    </row>
    <row r="926">
      <c r="E926" s="669"/>
      <c r="H926" s="86"/>
      <c r="J926" s="60"/>
      <c r="L926" s="86"/>
    </row>
    <row r="927">
      <c r="E927" s="669"/>
      <c r="H927" s="86"/>
      <c r="J927" s="60"/>
      <c r="L927" s="86"/>
    </row>
    <row r="928">
      <c r="E928" s="669"/>
      <c r="H928" s="86"/>
      <c r="J928" s="60"/>
      <c r="L928" s="86"/>
    </row>
    <row r="929">
      <c r="E929" s="669"/>
      <c r="H929" s="86"/>
      <c r="J929" s="60"/>
      <c r="L929" s="86"/>
    </row>
    <row r="930">
      <c r="E930" s="669"/>
      <c r="H930" s="86"/>
      <c r="J930" s="60"/>
      <c r="L930" s="86"/>
    </row>
    <row r="931">
      <c r="E931" s="669"/>
      <c r="H931" s="86"/>
      <c r="J931" s="60"/>
      <c r="L931" s="86"/>
    </row>
    <row r="932">
      <c r="E932" s="669"/>
      <c r="H932" s="86"/>
      <c r="J932" s="60"/>
      <c r="L932" s="86"/>
    </row>
    <row r="933">
      <c r="E933" s="669"/>
      <c r="H933" s="86"/>
      <c r="J933" s="60"/>
      <c r="L933" s="86"/>
    </row>
    <row r="934">
      <c r="E934" s="669"/>
      <c r="H934" s="86"/>
      <c r="J934" s="60"/>
      <c r="L934" s="86"/>
    </row>
    <row r="935">
      <c r="E935" s="669"/>
      <c r="H935" s="86"/>
      <c r="J935" s="60"/>
      <c r="L935" s="86"/>
    </row>
    <row r="936">
      <c r="E936" s="669"/>
      <c r="H936" s="86"/>
      <c r="J936" s="60"/>
      <c r="L936" s="86"/>
    </row>
    <row r="937">
      <c r="E937" s="669"/>
      <c r="H937" s="86"/>
      <c r="J937" s="60"/>
      <c r="L937" s="86"/>
    </row>
    <row r="938">
      <c r="E938" s="669"/>
      <c r="H938" s="86"/>
      <c r="J938" s="60"/>
      <c r="L938" s="86"/>
    </row>
    <row r="939">
      <c r="E939" s="669"/>
      <c r="H939" s="86"/>
      <c r="J939" s="60"/>
      <c r="L939" s="86"/>
    </row>
    <row r="940">
      <c r="E940" s="669"/>
      <c r="H940" s="86"/>
      <c r="J940" s="60"/>
      <c r="L940" s="86"/>
    </row>
    <row r="941">
      <c r="E941" s="669"/>
      <c r="H941" s="86"/>
      <c r="J941" s="60"/>
      <c r="L941" s="86"/>
    </row>
    <row r="942">
      <c r="E942" s="669"/>
      <c r="H942" s="86"/>
      <c r="J942" s="60"/>
      <c r="L942" s="86"/>
    </row>
    <row r="943">
      <c r="E943" s="669"/>
      <c r="H943" s="86"/>
      <c r="J943" s="60"/>
      <c r="L943" s="86"/>
    </row>
    <row r="944">
      <c r="E944" s="669"/>
      <c r="H944" s="86"/>
      <c r="J944" s="60"/>
      <c r="L944" s="86"/>
    </row>
    <row r="945">
      <c r="E945" s="669"/>
      <c r="H945" s="86"/>
      <c r="J945" s="60"/>
      <c r="L945" s="86"/>
    </row>
    <row r="946">
      <c r="E946" s="669"/>
      <c r="H946" s="86"/>
      <c r="J946" s="60"/>
      <c r="L946" s="86"/>
    </row>
    <row r="947">
      <c r="E947" s="669"/>
      <c r="H947" s="86"/>
      <c r="J947" s="60"/>
      <c r="L947" s="86"/>
    </row>
    <row r="948">
      <c r="E948" s="669"/>
      <c r="H948" s="86"/>
      <c r="J948" s="60"/>
      <c r="L948" s="86"/>
    </row>
    <row r="949">
      <c r="E949" s="669"/>
      <c r="H949" s="86"/>
      <c r="J949" s="60"/>
      <c r="L949" s="86"/>
    </row>
    <row r="950">
      <c r="E950" s="669"/>
      <c r="H950" s="86"/>
      <c r="J950" s="60"/>
      <c r="L950" s="86"/>
    </row>
    <row r="951">
      <c r="E951" s="669"/>
      <c r="H951" s="86"/>
      <c r="J951" s="60"/>
      <c r="L951" s="86"/>
    </row>
    <row r="952">
      <c r="E952" s="669"/>
      <c r="H952" s="86"/>
      <c r="J952" s="60"/>
      <c r="L952" s="86"/>
    </row>
    <row r="953">
      <c r="E953" s="669"/>
      <c r="H953" s="86"/>
      <c r="J953" s="60"/>
      <c r="L953" s="86"/>
    </row>
    <row r="954">
      <c r="E954" s="669"/>
      <c r="H954" s="86"/>
      <c r="J954" s="60"/>
      <c r="L954" s="86"/>
    </row>
    <row r="955">
      <c r="E955" s="669"/>
      <c r="H955" s="86"/>
      <c r="J955" s="60"/>
      <c r="L955" s="86"/>
    </row>
    <row r="956">
      <c r="E956" s="669"/>
      <c r="H956" s="86"/>
      <c r="J956" s="60"/>
      <c r="L956" s="86"/>
    </row>
    <row r="957">
      <c r="E957" s="669"/>
      <c r="H957" s="86"/>
      <c r="J957" s="60"/>
      <c r="L957" s="86"/>
    </row>
    <row r="958">
      <c r="E958" s="669"/>
      <c r="H958" s="86"/>
      <c r="J958" s="60"/>
      <c r="L958" s="86"/>
    </row>
    <row r="959">
      <c r="E959" s="669"/>
      <c r="H959" s="86"/>
      <c r="J959" s="60"/>
      <c r="L959" s="86"/>
    </row>
    <row r="960">
      <c r="E960" s="669"/>
      <c r="H960" s="86"/>
      <c r="J960" s="60"/>
      <c r="L960" s="86"/>
    </row>
    <row r="961">
      <c r="E961" s="669"/>
      <c r="H961" s="86"/>
      <c r="J961" s="60"/>
      <c r="L961" s="86"/>
    </row>
    <row r="962">
      <c r="E962" s="669"/>
      <c r="H962" s="86"/>
      <c r="J962" s="60"/>
      <c r="L962" s="86"/>
    </row>
    <row r="963">
      <c r="E963" s="669"/>
      <c r="H963" s="86"/>
      <c r="J963" s="60"/>
      <c r="L963" s="86"/>
    </row>
    <row r="964">
      <c r="E964" s="669"/>
      <c r="H964" s="86"/>
      <c r="J964" s="60"/>
      <c r="L964" s="86"/>
    </row>
    <row r="965">
      <c r="E965" s="669"/>
      <c r="H965" s="86"/>
      <c r="J965" s="60"/>
      <c r="L965" s="86"/>
    </row>
    <row r="966">
      <c r="E966" s="669"/>
      <c r="H966" s="86"/>
      <c r="J966" s="60"/>
      <c r="L966" s="86"/>
    </row>
    <row r="967">
      <c r="E967" s="669"/>
      <c r="H967" s="86"/>
      <c r="J967" s="60"/>
      <c r="L967" s="86"/>
    </row>
    <row r="968">
      <c r="E968" s="669"/>
      <c r="H968" s="86"/>
      <c r="J968" s="60"/>
      <c r="L968" s="86"/>
    </row>
    <row r="969">
      <c r="E969" s="669"/>
      <c r="H969" s="86"/>
      <c r="J969" s="60"/>
      <c r="L969" s="86"/>
    </row>
    <row r="970">
      <c r="E970" s="669"/>
      <c r="H970" s="86"/>
      <c r="J970" s="60"/>
      <c r="L970" s="86"/>
    </row>
    <row r="971">
      <c r="E971" s="669"/>
      <c r="H971" s="86"/>
      <c r="J971" s="60"/>
      <c r="L971" s="86"/>
    </row>
    <row r="972">
      <c r="E972" s="669"/>
      <c r="H972" s="86"/>
      <c r="J972" s="60"/>
      <c r="L972" s="86"/>
    </row>
    <row r="973">
      <c r="E973" s="669"/>
      <c r="H973" s="86"/>
      <c r="J973" s="60"/>
      <c r="L973" s="86"/>
    </row>
    <row r="974">
      <c r="E974" s="669"/>
      <c r="H974" s="86"/>
      <c r="J974" s="60"/>
      <c r="L974" s="86"/>
    </row>
    <row r="975">
      <c r="E975" s="669"/>
      <c r="H975" s="86"/>
      <c r="J975" s="60"/>
      <c r="L975" s="86"/>
    </row>
    <row r="976">
      <c r="E976" s="669"/>
      <c r="H976" s="86"/>
      <c r="J976" s="60"/>
      <c r="L976" s="86"/>
    </row>
    <row r="977">
      <c r="E977" s="669"/>
      <c r="H977" s="86"/>
      <c r="J977" s="60"/>
      <c r="L977" s="86"/>
    </row>
    <row r="978">
      <c r="E978" s="669"/>
      <c r="H978" s="86"/>
      <c r="J978" s="60"/>
      <c r="L978" s="86"/>
    </row>
    <row r="979">
      <c r="E979" s="669"/>
      <c r="H979" s="86"/>
      <c r="J979" s="60"/>
      <c r="L979" s="86"/>
    </row>
    <row r="980">
      <c r="E980" s="669"/>
      <c r="H980" s="86"/>
      <c r="J980" s="60"/>
      <c r="L980" s="86"/>
    </row>
    <row r="981">
      <c r="E981" s="669"/>
      <c r="H981" s="86"/>
      <c r="J981" s="60"/>
      <c r="L981" s="86"/>
    </row>
    <row r="982">
      <c r="E982" s="669"/>
      <c r="H982" s="86"/>
      <c r="J982" s="60"/>
      <c r="L982" s="86"/>
    </row>
    <row r="983">
      <c r="E983" s="669"/>
      <c r="H983" s="86"/>
      <c r="J983" s="60"/>
      <c r="L983" s="86"/>
    </row>
    <row r="984">
      <c r="E984" s="669"/>
      <c r="H984" s="86"/>
      <c r="J984" s="60"/>
      <c r="L984" s="86"/>
    </row>
    <row r="985">
      <c r="E985" s="669"/>
      <c r="H985" s="86"/>
      <c r="J985" s="60"/>
      <c r="L985" s="86"/>
    </row>
    <row r="986">
      <c r="E986" s="669"/>
      <c r="H986" s="86"/>
      <c r="J986" s="60"/>
      <c r="L986" s="86"/>
    </row>
    <row r="987">
      <c r="E987" s="669"/>
      <c r="H987" s="86"/>
      <c r="J987" s="60"/>
      <c r="L987" s="86"/>
    </row>
    <row r="988">
      <c r="E988" s="669"/>
      <c r="H988" s="86"/>
      <c r="J988" s="60"/>
      <c r="L988" s="86"/>
    </row>
    <row r="989">
      <c r="E989" s="669"/>
      <c r="H989" s="86"/>
      <c r="J989" s="60"/>
      <c r="L989" s="86"/>
    </row>
    <row r="990">
      <c r="E990" s="669"/>
      <c r="H990" s="86"/>
      <c r="J990" s="60"/>
      <c r="L990" s="86"/>
    </row>
    <row r="991">
      <c r="E991" s="669"/>
      <c r="H991" s="86"/>
      <c r="J991" s="60"/>
      <c r="L991" s="86"/>
    </row>
    <row r="992">
      <c r="E992" s="669"/>
      <c r="H992" s="86"/>
      <c r="J992" s="60"/>
      <c r="L992" s="86"/>
    </row>
    <row r="993">
      <c r="E993" s="669"/>
      <c r="H993" s="86"/>
      <c r="J993" s="60"/>
      <c r="L993" s="86"/>
    </row>
    <row r="994">
      <c r="E994" s="669"/>
      <c r="H994" s="86"/>
      <c r="J994" s="60"/>
      <c r="L994" s="86"/>
    </row>
    <row r="995">
      <c r="E995" s="669"/>
      <c r="H995" s="86"/>
      <c r="J995" s="60"/>
      <c r="L995" s="86"/>
    </row>
    <row r="996">
      <c r="E996" s="669"/>
      <c r="H996" s="86"/>
      <c r="J996" s="60"/>
      <c r="L996" s="86"/>
    </row>
    <row r="997">
      <c r="E997" s="669"/>
      <c r="H997" s="86"/>
      <c r="J997" s="60"/>
      <c r="L997" s="86"/>
    </row>
    <row r="998">
      <c r="E998" s="669"/>
      <c r="H998" s="86"/>
      <c r="J998" s="60"/>
      <c r="L998" s="86"/>
    </row>
    <row r="999">
      <c r="E999" s="669"/>
      <c r="H999" s="86"/>
      <c r="J999" s="60"/>
      <c r="L999" s="86"/>
    </row>
    <row r="1000">
      <c r="E1000" s="669"/>
      <c r="H1000" s="86"/>
      <c r="J1000" s="60"/>
      <c r="L1000" s="86"/>
    </row>
  </sheetData>
  <mergeCells count="11">
    <mergeCell ref="A15:D15"/>
    <mergeCell ref="A18:D18"/>
    <mergeCell ref="A22:D22"/>
    <mergeCell ref="A26:D26"/>
    <mergeCell ref="A1:D1"/>
    <mergeCell ref="A7:D7"/>
    <mergeCell ref="A8:D8"/>
    <mergeCell ref="A9:D9"/>
    <mergeCell ref="A10:D10"/>
    <mergeCell ref="A13:D13"/>
    <mergeCell ref="A14:D14"/>
  </mergeCells>
  <conditionalFormatting sqref="H2:H51 J2:J50">
    <cfRule type="colorScale" priority="1">
      <colorScale>
        <cfvo type="min"/>
        <cfvo type="percentile" val="50"/>
        <cfvo type="max"/>
        <color rgb="FF57BB8A"/>
        <color rgb="FFFFD666"/>
        <color rgb="FFE67C73"/>
      </colorScale>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8.38"/>
    <col customWidth="1" min="6" max="6" width="13.75"/>
  </cols>
  <sheetData>
    <row r="1">
      <c r="A1" s="670" t="s">
        <v>2527</v>
      </c>
    </row>
    <row r="3">
      <c r="A3" s="671"/>
    </row>
    <row r="4">
      <c r="A4" s="671"/>
      <c r="I4" s="672" t="s">
        <v>2528</v>
      </c>
    </row>
    <row r="5">
      <c r="A5" s="673" t="s">
        <v>2529</v>
      </c>
      <c r="F5" s="672" t="s">
        <v>2530</v>
      </c>
      <c r="I5" s="79" t="s">
        <v>2</v>
      </c>
      <c r="J5" s="79">
        <v>4.0</v>
      </c>
    </row>
    <row r="6">
      <c r="A6" s="671" t="s">
        <v>302</v>
      </c>
      <c r="B6" s="79" t="s">
        <v>1</v>
      </c>
      <c r="C6" s="79" t="s">
        <v>2531</v>
      </c>
      <c r="F6" s="79" t="s">
        <v>2532</v>
      </c>
      <c r="G6" s="79" t="s">
        <v>554</v>
      </c>
      <c r="H6" s="79" t="s">
        <v>2533</v>
      </c>
      <c r="I6" s="79" t="s">
        <v>157</v>
      </c>
      <c r="J6" s="79">
        <v>3.0</v>
      </c>
    </row>
    <row r="7">
      <c r="A7" s="671" t="s">
        <v>2090</v>
      </c>
      <c r="B7" s="79" t="s">
        <v>3</v>
      </c>
      <c r="F7" s="79" t="s">
        <v>2049</v>
      </c>
      <c r="G7" s="79" t="s">
        <v>2</v>
      </c>
      <c r="I7" s="79" t="s">
        <v>158</v>
      </c>
      <c r="J7" s="79">
        <v>3.0</v>
      </c>
    </row>
    <row r="8">
      <c r="A8" s="671" t="s">
        <v>2534</v>
      </c>
      <c r="B8" s="79" t="s">
        <v>158</v>
      </c>
      <c r="F8" s="79" t="s">
        <v>2535</v>
      </c>
      <c r="G8" s="79" t="s">
        <v>2</v>
      </c>
      <c r="I8" s="79" t="s">
        <v>26</v>
      </c>
      <c r="J8" s="79">
        <v>3.0</v>
      </c>
    </row>
    <row r="9">
      <c r="A9" s="79" t="s">
        <v>2119</v>
      </c>
      <c r="B9" s="79" t="s">
        <v>2</v>
      </c>
      <c r="F9" s="79" t="s">
        <v>2125</v>
      </c>
      <c r="G9" s="79" t="s">
        <v>26</v>
      </c>
      <c r="I9" s="79" t="s">
        <v>3</v>
      </c>
      <c r="J9" s="79">
        <v>3.0</v>
      </c>
    </row>
    <row r="10">
      <c r="A10" s="79" t="s">
        <v>322</v>
      </c>
      <c r="B10" s="79" t="s">
        <v>157</v>
      </c>
      <c r="F10" s="79" t="s">
        <v>2060</v>
      </c>
      <c r="G10" s="79" t="s">
        <v>157</v>
      </c>
      <c r="H10" s="79" t="s">
        <v>2536</v>
      </c>
      <c r="I10" s="79" t="s">
        <v>1</v>
      </c>
      <c r="J10" s="79">
        <v>3.0</v>
      </c>
    </row>
    <row r="11">
      <c r="I11" s="79" t="s">
        <v>22</v>
      </c>
      <c r="J11" s="79">
        <v>3.0</v>
      </c>
    </row>
    <row r="12">
      <c r="A12" s="673" t="s">
        <v>2537</v>
      </c>
      <c r="F12" s="672" t="s">
        <v>2538</v>
      </c>
      <c r="I12" s="79" t="s">
        <v>78</v>
      </c>
      <c r="J12" s="79">
        <v>2.0</v>
      </c>
    </row>
    <row r="13">
      <c r="A13" s="671" t="s">
        <v>2214</v>
      </c>
      <c r="B13" s="79" t="s">
        <v>22</v>
      </c>
      <c r="F13" s="79" t="s">
        <v>2056</v>
      </c>
      <c r="G13" s="79" t="s">
        <v>26</v>
      </c>
      <c r="I13" s="79" t="s">
        <v>554</v>
      </c>
      <c r="J13" s="79">
        <v>1.0</v>
      </c>
    </row>
    <row r="14">
      <c r="A14" s="671" t="s">
        <v>2080</v>
      </c>
      <c r="B14" s="79" t="s">
        <v>59</v>
      </c>
      <c r="C14" s="79" t="s">
        <v>2539</v>
      </c>
      <c r="F14" s="79" t="s">
        <v>317</v>
      </c>
      <c r="G14" s="79" t="s">
        <v>26</v>
      </c>
      <c r="H14" s="79" t="s">
        <v>2533</v>
      </c>
      <c r="I14" s="79" t="s">
        <v>59</v>
      </c>
      <c r="J14" s="79">
        <v>1.0</v>
      </c>
    </row>
    <row r="15">
      <c r="A15" s="671" t="s">
        <v>2540</v>
      </c>
      <c r="B15" s="79" t="s">
        <v>3</v>
      </c>
      <c r="F15" s="79" t="s">
        <v>2178</v>
      </c>
      <c r="G15" s="79" t="s">
        <v>157</v>
      </c>
    </row>
    <row r="16">
      <c r="A16" s="79" t="s">
        <v>2305</v>
      </c>
      <c r="B16" s="79" t="s">
        <v>158</v>
      </c>
      <c r="F16" s="79" t="s">
        <v>298</v>
      </c>
      <c r="G16" s="79" t="s">
        <v>1</v>
      </c>
      <c r="H16" s="79" t="s">
        <v>2533</v>
      </c>
    </row>
    <row r="17">
      <c r="A17" s="79" t="s">
        <v>926</v>
      </c>
      <c r="B17" s="79" t="s">
        <v>22</v>
      </c>
      <c r="F17" s="79" t="s">
        <v>2129</v>
      </c>
      <c r="G17" s="79" t="s">
        <v>78</v>
      </c>
      <c r="H17" s="79" t="s">
        <v>2541</v>
      </c>
    </row>
    <row r="18">
      <c r="A18" s="79" t="s">
        <v>288</v>
      </c>
      <c r="B18" s="79" t="s">
        <v>78</v>
      </c>
      <c r="F18" s="79" t="s">
        <v>2250</v>
      </c>
      <c r="G18" s="79" t="s">
        <v>158</v>
      </c>
    </row>
    <row r="19">
      <c r="A19" s="79" t="s">
        <v>1009</v>
      </c>
      <c r="B19" s="674" t="s">
        <v>2</v>
      </c>
      <c r="F19" s="79" t="s">
        <v>2068</v>
      </c>
      <c r="G19" s="79" t="s">
        <v>1</v>
      </c>
    </row>
    <row r="20">
      <c r="A20" s="79" t="s">
        <v>2542</v>
      </c>
      <c r="B20" s="675" t="s">
        <v>3</v>
      </c>
      <c r="F20" s="79" t="s">
        <v>2076</v>
      </c>
      <c r="G20" s="79" t="s">
        <v>22</v>
      </c>
    </row>
    <row r="21">
      <c r="B21" s="676"/>
      <c r="F21" s="79" t="s">
        <v>2322</v>
      </c>
      <c r="G21" s="79" t="s">
        <v>157</v>
      </c>
    </row>
    <row r="22">
      <c r="B22" s="677"/>
    </row>
    <row r="23">
      <c r="B23" s="678"/>
    </row>
    <row r="24">
      <c r="B24" s="676"/>
    </row>
    <row r="25">
      <c r="B25" s="678"/>
    </row>
    <row r="26">
      <c r="B26" s="676"/>
    </row>
    <row r="27">
      <c r="B27" s="678"/>
    </row>
    <row r="28">
      <c r="B28" s="676"/>
    </row>
    <row r="29">
      <c r="B29" s="678"/>
    </row>
    <row r="30">
      <c r="B30" s="676"/>
    </row>
    <row r="31">
      <c r="B31" s="678"/>
    </row>
    <row r="32">
      <c r="B32" s="676"/>
    </row>
    <row r="33">
      <c r="B33" s="678"/>
    </row>
    <row r="34">
      <c r="B34" s="676"/>
    </row>
    <row r="35">
      <c r="B35" s="678"/>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6.25"/>
    <col customWidth="1" min="2" max="2" width="6.13"/>
    <col customWidth="1" min="3" max="4" width="26.25"/>
    <col customWidth="1" min="5" max="5" width="6.13"/>
    <col customWidth="1" min="6" max="7" width="26.25"/>
    <col customWidth="1" min="8" max="8" width="6.13"/>
    <col customWidth="1" min="9" max="10" width="26.25"/>
    <col customWidth="1" min="11" max="11" width="6.13"/>
    <col customWidth="1" min="12" max="13" width="26.25"/>
    <col customWidth="1" min="14" max="14" width="6.13"/>
    <col customWidth="1" min="15" max="16" width="26.25"/>
    <col customWidth="1" min="17" max="17" width="6.13"/>
    <col customWidth="1" min="18" max="19" width="26.25"/>
    <col customWidth="1" min="20" max="20" width="6.13"/>
    <col customWidth="1" min="21" max="22" width="26.25"/>
    <col customWidth="1" min="23" max="23" width="6.13"/>
    <col customWidth="1" min="24" max="25" width="26.25"/>
    <col customWidth="1" min="26" max="26" width="6.13"/>
    <col customWidth="1" min="27" max="28" width="26.25"/>
    <col customWidth="1" min="29" max="29" width="6.13"/>
    <col customWidth="1" min="30" max="31" width="26.25"/>
    <col customWidth="1" min="32" max="32" width="6.13"/>
    <col customWidth="1" min="33" max="34" width="26.25"/>
    <col customWidth="1" min="35" max="35" width="6.13"/>
    <col customWidth="1" min="36" max="37" width="26.25"/>
    <col customWidth="1" min="38" max="38" width="6.13"/>
    <col customWidth="1" min="39" max="40" width="26.25"/>
    <col customWidth="1" min="41" max="41" width="6.13"/>
    <col customWidth="1" min="42" max="43" width="26.25"/>
    <col customWidth="1" min="44" max="44" width="6.13"/>
    <col customWidth="1" min="45" max="46" width="26.25"/>
    <col customWidth="1" min="47" max="47" width="6.13"/>
    <col customWidth="1" min="48" max="49" width="26.25"/>
    <col customWidth="1" min="50" max="50" width="6.13"/>
    <col customWidth="1" min="51" max="52" width="26.25"/>
    <col customWidth="1" min="53" max="53" width="6.13"/>
    <col customWidth="1" min="54" max="55" width="26.25"/>
    <col customWidth="1" min="56" max="56" width="6.13"/>
    <col customWidth="1" min="57" max="58" width="26.25"/>
    <col customWidth="1" min="59" max="59" width="7.5"/>
    <col customWidth="1" min="61" max="61" width="26.25"/>
    <col customWidth="1" min="62" max="62" width="7.0"/>
    <col customWidth="1" min="64" max="64" width="39.13"/>
    <col customWidth="1" min="65" max="65" width="7.0"/>
  </cols>
  <sheetData>
    <row r="1">
      <c r="A1" s="79" t="s">
        <v>2543</v>
      </c>
      <c r="C1" s="679"/>
      <c r="D1" s="679">
        <v>45962.0</v>
      </c>
      <c r="F1" s="679"/>
      <c r="G1" s="679">
        <v>45901.0</v>
      </c>
      <c r="I1" s="679"/>
      <c r="J1" s="679">
        <v>45839.0</v>
      </c>
      <c r="L1" s="679"/>
      <c r="M1" s="679">
        <v>45778.0</v>
      </c>
      <c r="O1" s="680"/>
      <c r="P1" s="680">
        <v>45717.0</v>
      </c>
      <c r="R1" s="679"/>
      <c r="S1" s="679">
        <v>45658.0</v>
      </c>
      <c r="U1" s="680"/>
      <c r="V1" s="680">
        <v>45627.0</v>
      </c>
      <c r="X1" s="680"/>
      <c r="Y1" s="679">
        <v>45597.0</v>
      </c>
      <c r="AA1" s="41"/>
      <c r="AB1" s="79" t="s">
        <v>2544</v>
      </c>
      <c r="AD1" s="79"/>
      <c r="AE1" s="79" t="s">
        <v>2545</v>
      </c>
      <c r="AG1" s="41"/>
      <c r="AH1" s="79" t="s">
        <v>2546</v>
      </c>
      <c r="AJ1" s="41"/>
      <c r="AK1" s="79" t="s">
        <v>2547</v>
      </c>
      <c r="AM1" s="41"/>
      <c r="AN1" s="79" t="s">
        <v>2548</v>
      </c>
      <c r="AP1" s="41"/>
      <c r="AQ1" s="79" t="s">
        <v>2549</v>
      </c>
      <c r="AS1" s="41"/>
      <c r="AT1" s="79" t="s">
        <v>2550</v>
      </c>
      <c r="AV1" s="41"/>
      <c r="AW1" s="79" t="s">
        <v>2551</v>
      </c>
      <c r="AY1" s="41"/>
      <c r="AZ1" s="79" t="s">
        <v>2552</v>
      </c>
      <c r="BB1" s="41"/>
      <c r="BC1" s="79" t="s">
        <v>2553</v>
      </c>
      <c r="BE1" s="41"/>
      <c r="BF1" s="216" t="s">
        <v>2554</v>
      </c>
      <c r="BI1" s="681" t="s">
        <v>2555</v>
      </c>
      <c r="BJ1" s="44"/>
      <c r="BL1" s="216" t="s">
        <v>2556</v>
      </c>
      <c r="BM1" s="216" t="s">
        <v>423</v>
      </c>
    </row>
    <row r="2">
      <c r="A2" s="41" t="s">
        <v>2557</v>
      </c>
      <c r="B2" s="307">
        <v>1.0</v>
      </c>
      <c r="C2" s="41"/>
      <c r="D2" s="41" t="s">
        <v>2557</v>
      </c>
      <c r="E2" s="307">
        <v>1.0</v>
      </c>
      <c r="F2" s="41"/>
      <c r="G2" s="41" t="s">
        <v>2557</v>
      </c>
      <c r="H2" s="307">
        <v>1.0</v>
      </c>
      <c r="I2" s="41"/>
      <c r="J2" s="41" t="s">
        <v>2557</v>
      </c>
      <c r="K2" s="307">
        <v>1.0</v>
      </c>
      <c r="L2" s="41"/>
      <c r="M2" s="41" t="s">
        <v>2557</v>
      </c>
      <c r="N2" s="307">
        <v>1.0</v>
      </c>
      <c r="O2" s="41"/>
      <c r="P2" s="41" t="s">
        <v>2557</v>
      </c>
      <c r="Q2" s="307">
        <v>1.0</v>
      </c>
      <c r="R2" s="41"/>
      <c r="S2" s="41" t="s">
        <v>2557</v>
      </c>
      <c r="T2" s="307">
        <v>1.0</v>
      </c>
      <c r="U2" s="41"/>
      <c r="V2" s="41" t="s">
        <v>2557</v>
      </c>
      <c r="W2" s="307">
        <v>1.0</v>
      </c>
      <c r="X2" s="41"/>
      <c r="Y2" s="682" t="s">
        <v>2557</v>
      </c>
      <c r="Z2" s="307">
        <v>1.0</v>
      </c>
      <c r="AA2" s="41"/>
      <c r="AB2" s="683" t="s">
        <v>2557</v>
      </c>
      <c r="AC2" s="307">
        <v>1.0</v>
      </c>
      <c r="AD2" s="79"/>
      <c r="AE2" s="684" t="s">
        <v>2557</v>
      </c>
      <c r="AF2" s="307">
        <v>1.0</v>
      </c>
      <c r="AH2" s="685" t="s">
        <v>2557</v>
      </c>
      <c r="AI2" s="307">
        <v>1.0</v>
      </c>
      <c r="AK2" s="685" t="s">
        <v>2557</v>
      </c>
      <c r="AL2" s="307">
        <v>1.0</v>
      </c>
      <c r="AN2" s="685" t="s">
        <v>2557</v>
      </c>
      <c r="AO2" s="307">
        <v>1.0</v>
      </c>
      <c r="AQ2" s="685" t="s">
        <v>2557</v>
      </c>
      <c r="AR2" s="307">
        <v>1.0</v>
      </c>
      <c r="AT2" s="685" t="s">
        <v>2557</v>
      </c>
      <c r="AU2" s="307">
        <v>1.0</v>
      </c>
      <c r="AW2" s="685" t="s">
        <v>2557</v>
      </c>
      <c r="AX2" s="307">
        <v>1.0</v>
      </c>
      <c r="AZ2" s="685" t="s">
        <v>2557</v>
      </c>
      <c r="BA2" s="307">
        <v>1.0</v>
      </c>
      <c r="BC2" s="686" t="s">
        <v>2557</v>
      </c>
      <c r="BD2" s="307">
        <v>1.0</v>
      </c>
      <c r="BF2" s="687" t="s">
        <v>2558</v>
      </c>
      <c r="BG2" s="145">
        <v>1.0</v>
      </c>
      <c r="BI2" s="688" t="s">
        <v>2558</v>
      </c>
      <c r="BJ2" s="145">
        <v>1.0</v>
      </c>
      <c r="BL2" s="689" t="s">
        <v>2558</v>
      </c>
      <c r="BM2" s="216">
        <v>1.0</v>
      </c>
    </row>
    <row r="3">
      <c r="A3" s="41" t="s">
        <v>2558</v>
      </c>
      <c r="B3" s="307">
        <v>2.0</v>
      </c>
      <c r="C3" s="41"/>
      <c r="D3" s="41" t="s">
        <v>2559</v>
      </c>
      <c r="E3" s="307">
        <v>2.0</v>
      </c>
      <c r="F3" s="41"/>
      <c r="G3" s="41" t="s">
        <v>2559</v>
      </c>
      <c r="H3" s="307">
        <v>2.0</v>
      </c>
      <c r="I3" s="41"/>
      <c r="J3" s="41" t="s">
        <v>2559</v>
      </c>
      <c r="K3" s="307">
        <v>2.0</v>
      </c>
      <c r="L3" s="41"/>
      <c r="M3" s="41" t="s">
        <v>2559</v>
      </c>
      <c r="N3" s="307">
        <v>2.0</v>
      </c>
      <c r="O3" s="41"/>
      <c r="P3" s="41" t="s">
        <v>2559</v>
      </c>
      <c r="Q3" s="307">
        <v>2.0</v>
      </c>
      <c r="R3" s="41"/>
      <c r="S3" s="41" t="s">
        <v>2559</v>
      </c>
      <c r="T3" s="307">
        <v>2.0</v>
      </c>
      <c r="U3" s="41"/>
      <c r="V3" s="41" t="s">
        <v>2559</v>
      </c>
      <c r="W3" s="307">
        <v>2.0</v>
      </c>
      <c r="X3" s="41"/>
      <c r="Y3" s="682" t="s">
        <v>2558</v>
      </c>
      <c r="Z3" s="307">
        <v>2.0</v>
      </c>
      <c r="AA3" s="41"/>
      <c r="AB3" s="683" t="s">
        <v>2558</v>
      </c>
      <c r="AC3" s="307">
        <v>2.0</v>
      </c>
      <c r="AD3" s="79"/>
      <c r="AE3" s="690" t="s">
        <v>2558</v>
      </c>
      <c r="AF3" s="307">
        <v>2.0</v>
      </c>
      <c r="AH3" s="687" t="s">
        <v>2558</v>
      </c>
      <c r="AI3" s="307">
        <v>2.0</v>
      </c>
      <c r="AK3" s="687" t="s">
        <v>2558</v>
      </c>
      <c r="AL3" s="307">
        <v>2.0</v>
      </c>
      <c r="AN3" s="687" t="s">
        <v>2558</v>
      </c>
      <c r="AO3" s="307">
        <v>2.0</v>
      </c>
      <c r="AQ3" s="687" t="s">
        <v>2558</v>
      </c>
      <c r="AR3" s="307">
        <v>2.0</v>
      </c>
      <c r="AT3" s="687" t="s">
        <v>2558</v>
      </c>
      <c r="AU3" s="307">
        <v>2.0</v>
      </c>
      <c r="AW3" s="687" t="s">
        <v>2558</v>
      </c>
      <c r="AX3" s="307">
        <v>2.0</v>
      </c>
      <c r="AZ3" s="687" t="s">
        <v>2558</v>
      </c>
      <c r="BA3" s="307">
        <v>2.0</v>
      </c>
      <c r="BC3" s="691" t="s">
        <v>2558</v>
      </c>
      <c r="BD3" s="307">
        <v>2.0</v>
      </c>
      <c r="BF3" s="687" t="s">
        <v>2559</v>
      </c>
      <c r="BG3" s="145">
        <v>2.0</v>
      </c>
      <c r="BI3" s="688" t="s">
        <v>2559</v>
      </c>
      <c r="BJ3" s="145">
        <v>2.0</v>
      </c>
      <c r="BL3" s="692" t="s">
        <v>2559</v>
      </c>
      <c r="BM3" s="216">
        <v>2.0</v>
      </c>
    </row>
    <row r="4">
      <c r="A4" s="41" t="s">
        <v>2559</v>
      </c>
      <c r="B4" s="307">
        <v>3.0</v>
      </c>
      <c r="C4" s="41"/>
      <c r="D4" s="41" t="s">
        <v>2558</v>
      </c>
      <c r="E4" s="307">
        <v>3.0</v>
      </c>
      <c r="F4" s="41"/>
      <c r="G4" s="41" t="s">
        <v>2558</v>
      </c>
      <c r="H4" s="307">
        <v>3.0</v>
      </c>
      <c r="I4" s="41"/>
      <c r="J4" s="41" t="s">
        <v>2120</v>
      </c>
      <c r="K4" s="307">
        <v>3.0</v>
      </c>
      <c r="L4" s="41"/>
      <c r="M4" s="41" t="s">
        <v>2558</v>
      </c>
      <c r="N4" s="307">
        <v>3.0</v>
      </c>
      <c r="O4" s="41"/>
      <c r="P4" s="41" t="s">
        <v>2558</v>
      </c>
      <c r="Q4" s="307">
        <v>3.0</v>
      </c>
      <c r="R4" s="41"/>
      <c r="S4" s="41" t="s">
        <v>2558</v>
      </c>
      <c r="T4" s="307">
        <v>3.0</v>
      </c>
      <c r="U4" s="41"/>
      <c r="V4" s="41" t="s">
        <v>2558</v>
      </c>
      <c r="W4" s="307">
        <v>3.0</v>
      </c>
      <c r="X4" s="41"/>
      <c r="Y4" s="682" t="s">
        <v>2559</v>
      </c>
      <c r="Z4" s="307">
        <v>3.0</v>
      </c>
      <c r="AA4" s="41"/>
      <c r="AB4" s="683" t="s">
        <v>2559</v>
      </c>
      <c r="AC4" s="307">
        <v>3.0</v>
      </c>
      <c r="AD4" s="79"/>
      <c r="AE4" s="690" t="s">
        <v>2559</v>
      </c>
      <c r="AF4" s="307">
        <v>3.0</v>
      </c>
      <c r="AH4" s="687" t="s">
        <v>2559</v>
      </c>
      <c r="AI4" s="307">
        <v>3.0</v>
      </c>
      <c r="AK4" s="687" t="s">
        <v>2559</v>
      </c>
      <c r="AL4" s="307">
        <v>3.0</v>
      </c>
      <c r="AN4" s="687" t="s">
        <v>2559</v>
      </c>
      <c r="AO4" s="307">
        <v>3.0</v>
      </c>
      <c r="AQ4" s="687" t="s">
        <v>2559</v>
      </c>
      <c r="AR4" s="307">
        <v>3.0</v>
      </c>
      <c r="AT4" s="687" t="s">
        <v>2559</v>
      </c>
      <c r="AU4" s="307">
        <v>3.0</v>
      </c>
      <c r="AW4" s="687" t="s">
        <v>2559</v>
      </c>
      <c r="AX4" s="307">
        <v>3.0</v>
      </c>
      <c r="AZ4" s="687" t="s">
        <v>2559</v>
      </c>
      <c r="BA4" s="307">
        <v>3.0</v>
      </c>
      <c r="BC4" s="691" t="s">
        <v>2559</v>
      </c>
      <c r="BD4" s="307">
        <v>3.0</v>
      </c>
      <c r="BF4" s="687" t="s">
        <v>2557</v>
      </c>
      <c r="BG4" s="145">
        <v>3.0</v>
      </c>
      <c r="BI4" s="688" t="s">
        <v>2557</v>
      </c>
      <c r="BJ4" s="145">
        <v>3.0</v>
      </c>
      <c r="BL4" s="692" t="s">
        <v>2557</v>
      </c>
      <c r="BM4" s="216">
        <v>3.0</v>
      </c>
    </row>
    <row r="5">
      <c r="A5" s="41" t="s">
        <v>2120</v>
      </c>
      <c r="B5" s="307">
        <v>4.0</v>
      </c>
      <c r="C5" s="41"/>
      <c r="D5" s="41" t="s">
        <v>2120</v>
      </c>
      <c r="E5" s="307">
        <v>4.0</v>
      </c>
      <c r="F5" s="41"/>
      <c r="G5" s="41" t="s">
        <v>2120</v>
      </c>
      <c r="H5" s="307">
        <v>4.0</v>
      </c>
      <c r="I5" s="41"/>
      <c r="J5" s="41" t="s">
        <v>2558</v>
      </c>
      <c r="K5" s="307">
        <v>4.0</v>
      </c>
      <c r="L5" s="41"/>
      <c r="M5" s="41" t="s">
        <v>2120</v>
      </c>
      <c r="N5" s="307">
        <v>4.0</v>
      </c>
      <c r="O5" s="41"/>
      <c r="P5" s="41" t="s">
        <v>2120</v>
      </c>
      <c r="Q5" s="307">
        <v>4.0</v>
      </c>
      <c r="R5" s="41"/>
      <c r="S5" s="41" t="s">
        <v>2120</v>
      </c>
      <c r="T5" s="307">
        <v>4.0</v>
      </c>
      <c r="U5" s="41"/>
      <c r="V5" s="41" t="s">
        <v>2120</v>
      </c>
      <c r="W5" s="307">
        <v>4.0</v>
      </c>
      <c r="X5" s="41"/>
      <c r="Y5" s="682" t="s">
        <v>2120</v>
      </c>
      <c r="Z5" s="307">
        <v>4.0</v>
      </c>
      <c r="AA5" s="41"/>
      <c r="AB5" s="682" t="s">
        <v>2120</v>
      </c>
      <c r="AC5" s="307">
        <v>4.0</v>
      </c>
      <c r="AD5" s="79"/>
      <c r="AE5" s="693" t="s">
        <v>2120</v>
      </c>
      <c r="AF5" s="307">
        <v>4.0</v>
      </c>
      <c r="AH5" s="694" t="s">
        <v>2120</v>
      </c>
      <c r="AI5" s="307">
        <v>4.0</v>
      </c>
      <c r="AK5" s="694" t="s">
        <v>2120</v>
      </c>
      <c r="AL5" s="307">
        <v>4.0</v>
      </c>
      <c r="AN5" s="694" t="s">
        <v>2120</v>
      </c>
      <c r="AO5" s="307">
        <v>4.0</v>
      </c>
      <c r="AQ5" s="694" t="s">
        <v>2120</v>
      </c>
      <c r="AR5" s="307">
        <v>4.0</v>
      </c>
      <c r="AT5" s="687" t="s">
        <v>294</v>
      </c>
      <c r="AU5" s="307">
        <v>4.0</v>
      </c>
      <c r="AW5" s="687" t="s">
        <v>294</v>
      </c>
      <c r="AX5" s="307">
        <v>4.0</v>
      </c>
      <c r="AZ5" s="687" t="s">
        <v>322</v>
      </c>
      <c r="BA5" s="307">
        <v>4.0</v>
      </c>
      <c r="BC5" s="691" t="s">
        <v>322</v>
      </c>
      <c r="BD5" s="307">
        <v>4.0</v>
      </c>
      <c r="BF5" s="687" t="s">
        <v>322</v>
      </c>
      <c r="BG5" s="145">
        <v>4.0</v>
      </c>
      <c r="BI5" s="688" t="s">
        <v>322</v>
      </c>
      <c r="BJ5" s="145">
        <v>4.0</v>
      </c>
      <c r="BL5" s="695" t="s">
        <v>2120</v>
      </c>
      <c r="BM5" s="216">
        <v>4.0</v>
      </c>
    </row>
    <row r="6">
      <c r="A6" s="41" t="s">
        <v>2560</v>
      </c>
      <c r="B6" s="307">
        <v>5.0</v>
      </c>
      <c r="C6" s="41"/>
      <c r="D6" s="41" t="s">
        <v>2560</v>
      </c>
      <c r="E6" s="307">
        <v>5.0</v>
      </c>
      <c r="F6" s="41"/>
      <c r="G6" s="41" t="s">
        <v>2560</v>
      </c>
      <c r="H6" s="307">
        <v>5.0</v>
      </c>
      <c r="I6" s="41"/>
      <c r="J6" s="41" t="s">
        <v>2560</v>
      </c>
      <c r="K6" s="307">
        <v>5.0</v>
      </c>
      <c r="L6" s="41"/>
      <c r="M6" s="41" t="s">
        <v>2560</v>
      </c>
      <c r="N6" s="307">
        <v>5.0</v>
      </c>
      <c r="O6" s="41"/>
      <c r="P6" s="41" t="s">
        <v>2560</v>
      </c>
      <c r="Q6" s="307">
        <v>5.0</v>
      </c>
      <c r="R6" s="41"/>
      <c r="S6" s="41" t="s">
        <v>288</v>
      </c>
      <c r="T6" s="307">
        <v>5.0</v>
      </c>
      <c r="U6" s="41"/>
      <c r="V6" s="41" t="s">
        <v>2050</v>
      </c>
      <c r="W6" s="307">
        <v>5.0</v>
      </c>
      <c r="X6" s="41"/>
      <c r="Y6" s="682" t="s">
        <v>2050</v>
      </c>
      <c r="Z6" s="307">
        <v>5.0</v>
      </c>
      <c r="AA6" s="41"/>
      <c r="AB6" s="683" t="s">
        <v>294</v>
      </c>
      <c r="AC6" s="307">
        <v>5.0</v>
      </c>
      <c r="AD6" s="79"/>
      <c r="AE6" s="690" t="s">
        <v>294</v>
      </c>
      <c r="AF6" s="307">
        <v>5.0</v>
      </c>
      <c r="AH6" s="687" t="s">
        <v>294</v>
      </c>
      <c r="AI6" s="307">
        <v>5.0</v>
      </c>
      <c r="AK6" s="687" t="s">
        <v>294</v>
      </c>
      <c r="AL6" s="307">
        <v>5.0</v>
      </c>
      <c r="AN6" s="687" t="s">
        <v>294</v>
      </c>
      <c r="AO6" s="307">
        <v>5.0</v>
      </c>
      <c r="AQ6" s="687" t="s">
        <v>294</v>
      </c>
      <c r="AR6" s="307">
        <v>5.0</v>
      </c>
      <c r="AT6" s="694" t="s">
        <v>2120</v>
      </c>
      <c r="AU6" s="307">
        <v>5.0</v>
      </c>
      <c r="AW6" s="694" t="s">
        <v>2120</v>
      </c>
      <c r="AX6" s="307">
        <v>5.0</v>
      </c>
      <c r="AZ6" s="687" t="s">
        <v>294</v>
      </c>
      <c r="BA6" s="307">
        <v>5.0</v>
      </c>
      <c r="BC6" s="691" t="s">
        <v>294</v>
      </c>
      <c r="BD6" s="307">
        <v>5.0</v>
      </c>
      <c r="BF6" s="687" t="s">
        <v>294</v>
      </c>
      <c r="BG6" s="145">
        <v>5.0</v>
      </c>
      <c r="BI6" s="696" t="s">
        <v>2050</v>
      </c>
      <c r="BJ6" s="145">
        <v>5.0</v>
      </c>
      <c r="BL6" s="695" t="s">
        <v>2050</v>
      </c>
      <c r="BM6" s="216">
        <v>5.0</v>
      </c>
    </row>
    <row r="7">
      <c r="A7" s="41" t="s">
        <v>2561</v>
      </c>
      <c r="B7" s="307">
        <v>6.0</v>
      </c>
      <c r="C7" s="41"/>
      <c r="D7" s="41" t="s">
        <v>2050</v>
      </c>
      <c r="E7" s="307">
        <v>6.0</v>
      </c>
      <c r="F7" s="41"/>
      <c r="G7" s="41" t="s">
        <v>2050</v>
      </c>
      <c r="H7" s="307">
        <v>6.0</v>
      </c>
      <c r="I7" s="41"/>
      <c r="J7" s="41" t="s">
        <v>2050</v>
      </c>
      <c r="K7" s="307">
        <v>6.0</v>
      </c>
      <c r="L7" s="41"/>
      <c r="M7" s="41" t="s">
        <v>2050</v>
      </c>
      <c r="N7" s="307">
        <v>6.0</v>
      </c>
      <c r="O7" s="41"/>
      <c r="P7" s="41" t="s">
        <v>2050</v>
      </c>
      <c r="Q7" s="307">
        <v>6.0</v>
      </c>
      <c r="R7" s="41"/>
      <c r="S7" s="41" t="s">
        <v>2050</v>
      </c>
      <c r="T7" s="307">
        <v>6.0</v>
      </c>
      <c r="U7" s="41"/>
      <c r="V7" s="41" t="s">
        <v>2202</v>
      </c>
      <c r="W7" s="307">
        <v>6.0</v>
      </c>
      <c r="X7" s="41"/>
      <c r="Y7" s="682" t="s">
        <v>2299</v>
      </c>
      <c r="Z7" s="307">
        <v>6.0</v>
      </c>
      <c r="AA7" s="41"/>
      <c r="AB7" s="682" t="s">
        <v>2050</v>
      </c>
      <c r="AC7" s="307">
        <v>6.0</v>
      </c>
      <c r="AD7" s="79"/>
      <c r="AE7" s="693" t="s">
        <v>2050</v>
      </c>
      <c r="AF7" s="307">
        <v>6.0</v>
      </c>
      <c r="AH7" s="694" t="s">
        <v>2050</v>
      </c>
      <c r="AI7" s="307">
        <v>6.0</v>
      </c>
      <c r="AK7" s="694" t="s">
        <v>2050</v>
      </c>
      <c r="AL7" s="307">
        <v>6.0</v>
      </c>
      <c r="AN7" s="694" t="s">
        <v>2050</v>
      </c>
      <c r="AO7" s="307">
        <v>6.0</v>
      </c>
      <c r="AQ7" s="694" t="s">
        <v>2050</v>
      </c>
      <c r="AR7" s="307">
        <v>6.0</v>
      </c>
      <c r="AT7" s="694" t="s">
        <v>2050</v>
      </c>
      <c r="AU7" s="307">
        <v>6.0</v>
      </c>
      <c r="AW7" s="687" t="s">
        <v>322</v>
      </c>
      <c r="AX7" s="307">
        <v>6.0</v>
      </c>
      <c r="AZ7" s="694" t="s">
        <v>2120</v>
      </c>
      <c r="BA7" s="307">
        <v>6.0</v>
      </c>
      <c r="BC7" s="697" t="s">
        <v>2120</v>
      </c>
      <c r="BD7" s="307">
        <v>6.0</v>
      </c>
      <c r="BF7" s="694" t="s">
        <v>2120</v>
      </c>
      <c r="BG7" s="145">
        <v>6.0</v>
      </c>
      <c r="BI7" s="688" t="s">
        <v>288</v>
      </c>
      <c r="BJ7" s="145">
        <v>6.0</v>
      </c>
      <c r="BL7" s="692" t="s">
        <v>322</v>
      </c>
      <c r="BM7" s="216">
        <v>6.0</v>
      </c>
    </row>
    <row r="8">
      <c r="A8" s="41" t="s">
        <v>2562</v>
      </c>
      <c r="B8" s="307">
        <v>7.0</v>
      </c>
      <c r="C8" s="41"/>
      <c r="D8" s="41" t="s">
        <v>2561</v>
      </c>
      <c r="E8" s="307">
        <v>7.0</v>
      </c>
      <c r="F8" s="41"/>
      <c r="G8" s="41" t="s">
        <v>2561</v>
      </c>
      <c r="H8" s="307">
        <v>7.0</v>
      </c>
      <c r="I8" s="41"/>
      <c r="J8" s="41" t="s">
        <v>2561</v>
      </c>
      <c r="K8" s="307">
        <v>7.0</v>
      </c>
      <c r="L8" s="41"/>
      <c r="M8" s="41" t="s">
        <v>288</v>
      </c>
      <c r="N8" s="307">
        <v>7.0</v>
      </c>
      <c r="O8" s="41"/>
      <c r="P8" s="41" t="s">
        <v>288</v>
      </c>
      <c r="Q8" s="307">
        <v>7.0</v>
      </c>
      <c r="R8" s="41"/>
      <c r="S8" s="41" t="s">
        <v>2560</v>
      </c>
      <c r="T8" s="307">
        <v>7.0</v>
      </c>
      <c r="U8" s="41"/>
      <c r="V8" s="41" t="s">
        <v>288</v>
      </c>
      <c r="W8" s="307">
        <v>7.0</v>
      </c>
      <c r="X8" s="41"/>
      <c r="Y8" s="682" t="s">
        <v>2202</v>
      </c>
      <c r="Z8" s="307">
        <v>7.0</v>
      </c>
      <c r="AA8" s="41"/>
      <c r="AB8" s="683" t="s">
        <v>2299</v>
      </c>
      <c r="AC8" s="307">
        <v>7.0</v>
      </c>
      <c r="AD8" s="79"/>
      <c r="AE8" s="690" t="s">
        <v>2299</v>
      </c>
      <c r="AF8" s="307">
        <v>7.0</v>
      </c>
      <c r="AH8" s="687" t="s">
        <v>2563</v>
      </c>
      <c r="AI8" s="307">
        <v>7.0</v>
      </c>
      <c r="AK8" s="687" t="s">
        <v>288</v>
      </c>
      <c r="AL8" s="307">
        <v>7.0</v>
      </c>
      <c r="AN8" s="687" t="s">
        <v>288</v>
      </c>
      <c r="AO8" s="307">
        <v>7.0</v>
      </c>
      <c r="AQ8" s="687" t="s">
        <v>288</v>
      </c>
      <c r="AR8" s="307">
        <v>7.0</v>
      </c>
      <c r="AT8" s="687" t="s">
        <v>288</v>
      </c>
      <c r="AU8" s="307">
        <v>7.0</v>
      </c>
      <c r="AW8" s="694" t="s">
        <v>2050</v>
      </c>
      <c r="AX8" s="307">
        <v>7.0</v>
      </c>
      <c r="AZ8" s="694" t="s">
        <v>2050</v>
      </c>
      <c r="BA8" s="307">
        <v>7.0</v>
      </c>
      <c r="BC8" s="697" t="s">
        <v>2050</v>
      </c>
      <c r="BD8" s="307">
        <v>7.0</v>
      </c>
      <c r="BF8" s="694" t="s">
        <v>2050</v>
      </c>
      <c r="BG8" s="145">
        <v>7.0</v>
      </c>
      <c r="BI8" s="696" t="s">
        <v>2120</v>
      </c>
      <c r="BJ8" s="145">
        <v>7.0</v>
      </c>
      <c r="BL8" s="692" t="s">
        <v>288</v>
      </c>
      <c r="BM8" s="216">
        <v>7.0</v>
      </c>
    </row>
    <row r="9">
      <c r="A9" s="41" t="s">
        <v>1231</v>
      </c>
      <c r="B9" s="307">
        <v>8.0</v>
      </c>
      <c r="C9" s="41"/>
      <c r="D9" s="41" t="s">
        <v>2562</v>
      </c>
      <c r="E9" s="307">
        <v>8.0</v>
      </c>
      <c r="F9" s="41"/>
      <c r="G9" s="41" t="s">
        <v>2564</v>
      </c>
      <c r="H9" s="307">
        <v>8.0</v>
      </c>
      <c r="I9" s="41"/>
      <c r="J9" s="41" t="s">
        <v>2562</v>
      </c>
      <c r="K9" s="307">
        <v>8.0</v>
      </c>
      <c r="L9" s="41"/>
      <c r="M9" s="41" t="s">
        <v>2561</v>
      </c>
      <c r="N9" s="307">
        <v>8.0</v>
      </c>
      <c r="O9" s="41"/>
      <c r="P9" s="41" t="s">
        <v>2565</v>
      </c>
      <c r="Q9" s="307">
        <v>8.0</v>
      </c>
      <c r="R9" s="41"/>
      <c r="S9" s="41" t="s">
        <v>2566</v>
      </c>
      <c r="T9" s="307">
        <v>8.0</v>
      </c>
      <c r="U9" s="41"/>
      <c r="V9" s="41" t="s">
        <v>2566</v>
      </c>
      <c r="W9" s="307">
        <v>8.0</v>
      </c>
      <c r="X9" s="41"/>
      <c r="Y9" s="682" t="s">
        <v>288</v>
      </c>
      <c r="Z9" s="307">
        <v>8.0</v>
      </c>
      <c r="AA9" s="41"/>
      <c r="AB9" s="683" t="s">
        <v>2566</v>
      </c>
      <c r="AC9" s="307">
        <v>8.0</v>
      </c>
      <c r="AD9" s="79"/>
      <c r="AE9" s="690" t="s">
        <v>2566</v>
      </c>
      <c r="AF9" s="307">
        <v>8.0</v>
      </c>
      <c r="AH9" s="687" t="s">
        <v>2299</v>
      </c>
      <c r="AI9" s="307">
        <v>8.0</v>
      </c>
      <c r="AK9" s="687" t="s">
        <v>2563</v>
      </c>
      <c r="AL9" s="307">
        <v>8.0</v>
      </c>
      <c r="AN9" s="687" t="s">
        <v>2563</v>
      </c>
      <c r="AO9" s="307">
        <v>8.0</v>
      </c>
      <c r="AQ9" s="687" t="s">
        <v>2563</v>
      </c>
      <c r="AR9" s="307">
        <v>8.0</v>
      </c>
      <c r="AT9" s="687" t="s">
        <v>322</v>
      </c>
      <c r="AU9" s="307">
        <v>8.0</v>
      </c>
      <c r="AW9" s="687" t="s">
        <v>288</v>
      </c>
      <c r="AX9" s="307">
        <v>8.0</v>
      </c>
      <c r="AZ9" s="687" t="s">
        <v>288</v>
      </c>
      <c r="BA9" s="307">
        <v>8.0</v>
      </c>
      <c r="BC9" s="691" t="s">
        <v>288</v>
      </c>
      <c r="BD9" s="307">
        <v>8.0</v>
      </c>
      <c r="BF9" s="687" t="s">
        <v>288</v>
      </c>
      <c r="BG9" s="145">
        <v>8.0</v>
      </c>
      <c r="BI9" s="688" t="s">
        <v>2202</v>
      </c>
      <c r="BJ9" s="145">
        <v>8.0</v>
      </c>
      <c r="BL9" s="692" t="s">
        <v>2202</v>
      </c>
      <c r="BM9" s="216">
        <v>8.0</v>
      </c>
    </row>
    <row r="10">
      <c r="A10" s="41" t="s">
        <v>2348</v>
      </c>
      <c r="B10" s="307">
        <v>9.0</v>
      </c>
      <c r="C10" s="41"/>
      <c r="D10" s="41" t="s">
        <v>2564</v>
      </c>
      <c r="E10" s="307">
        <v>9.0</v>
      </c>
      <c r="F10" s="41"/>
      <c r="G10" s="41" t="s">
        <v>2299</v>
      </c>
      <c r="H10" s="307">
        <v>9.0</v>
      </c>
      <c r="I10" s="41"/>
      <c r="J10" s="41" t="s">
        <v>2299</v>
      </c>
      <c r="K10" s="307">
        <v>9.0</v>
      </c>
      <c r="L10" s="41"/>
      <c r="M10" s="41" t="s">
        <v>2565</v>
      </c>
      <c r="N10" s="307">
        <v>9.0</v>
      </c>
      <c r="O10" s="41"/>
      <c r="P10" s="41" t="s">
        <v>2562</v>
      </c>
      <c r="Q10" s="307">
        <v>9.0</v>
      </c>
      <c r="R10" s="41"/>
      <c r="S10" s="41" t="s">
        <v>2202</v>
      </c>
      <c r="T10" s="307">
        <v>9.0</v>
      </c>
      <c r="U10" s="41"/>
      <c r="V10" s="41" t="s">
        <v>2560</v>
      </c>
      <c r="W10" s="307">
        <v>9.0</v>
      </c>
      <c r="X10" s="41"/>
      <c r="Y10" s="682" t="s">
        <v>2566</v>
      </c>
      <c r="Z10" s="307">
        <v>9.0</v>
      </c>
      <c r="AA10" s="41"/>
      <c r="AB10" s="683" t="s">
        <v>2563</v>
      </c>
      <c r="AC10" s="307">
        <v>9.0</v>
      </c>
      <c r="AD10" s="79"/>
      <c r="AE10" s="690" t="s">
        <v>2563</v>
      </c>
      <c r="AF10" s="307">
        <v>9.0</v>
      </c>
      <c r="AH10" s="687" t="s">
        <v>288</v>
      </c>
      <c r="AI10" s="307">
        <v>9.0</v>
      </c>
      <c r="AK10" s="687" t="s">
        <v>2299</v>
      </c>
      <c r="AL10" s="307">
        <v>9.0</v>
      </c>
      <c r="AN10" s="687" t="s">
        <v>2299</v>
      </c>
      <c r="AO10" s="307">
        <v>9.0</v>
      </c>
      <c r="AQ10" s="687" t="s">
        <v>322</v>
      </c>
      <c r="AR10" s="307">
        <v>9.0</v>
      </c>
      <c r="AT10" s="687" t="s">
        <v>2563</v>
      </c>
      <c r="AU10" s="307">
        <v>9.0</v>
      </c>
      <c r="AW10" s="687" t="s">
        <v>2563</v>
      </c>
      <c r="AX10" s="307">
        <v>9.0</v>
      </c>
      <c r="AZ10" s="687" t="s">
        <v>2563</v>
      </c>
      <c r="BA10" s="307">
        <v>9.0</v>
      </c>
      <c r="BC10" s="691" t="s">
        <v>2563</v>
      </c>
      <c r="BD10" s="307">
        <v>9.0</v>
      </c>
      <c r="BF10" s="687" t="s">
        <v>2299</v>
      </c>
      <c r="BG10" s="145">
        <v>9.0</v>
      </c>
      <c r="BI10" s="688" t="s">
        <v>294</v>
      </c>
      <c r="BJ10" s="145">
        <v>9.0</v>
      </c>
      <c r="BL10" s="692" t="s">
        <v>2299</v>
      </c>
      <c r="BM10" s="216">
        <v>9.0</v>
      </c>
    </row>
    <row r="11">
      <c r="A11" s="41" t="s">
        <v>2050</v>
      </c>
      <c r="B11" s="307">
        <v>10.0</v>
      </c>
      <c r="C11" s="41"/>
      <c r="D11" s="41" t="s">
        <v>2299</v>
      </c>
      <c r="E11" s="307">
        <v>10.0</v>
      </c>
      <c r="F11" s="41"/>
      <c r="G11" s="41" t="s">
        <v>2562</v>
      </c>
      <c r="H11" s="307">
        <v>10.0</v>
      </c>
      <c r="I11" s="41"/>
      <c r="J11" s="41" t="s">
        <v>2565</v>
      </c>
      <c r="K11" s="307">
        <v>10.0</v>
      </c>
      <c r="L11" s="41"/>
      <c r="M11" s="41" t="s">
        <v>2562</v>
      </c>
      <c r="N11" s="307">
        <v>10.0</v>
      </c>
      <c r="O11" s="41"/>
      <c r="P11" s="41" t="s">
        <v>2299</v>
      </c>
      <c r="Q11" s="307">
        <v>10.0</v>
      </c>
      <c r="R11" s="41"/>
      <c r="S11" s="41" t="s">
        <v>2299</v>
      </c>
      <c r="T11" s="307">
        <v>10.0</v>
      </c>
      <c r="U11" s="41"/>
      <c r="V11" s="41" t="s">
        <v>2299</v>
      </c>
      <c r="W11" s="307">
        <v>10.0</v>
      </c>
      <c r="X11" s="41"/>
      <c r="Y11" s="682" t="s">
        <v>294</v>
      </c>
      <c r="Z11" s="307">
        <v>10.0</v>
      </c>
      <c r="AA11" s="41"/>
      <c r="AB11" s="683" t="s">
        <v>288</v>
      </c>
      <c r="AC11" s="307">
        <v>10.0</v>
      </c>
      <c r="AD11" s="79"/>
      <c r="AE11" s="690" t="s">
        <v>288</v>
      </c>
      <c r="AF11" s="307">
        <v>10.0</v>
      </c>
      <c r="AH11" s="687" t="s">
        <v>2562</v>
      </c>
      <c r="AI11" s="307">
        <v>10.0</v>
      </c>
      <c r="AK11" s="687" t="s">
        <v>2562</v>
      </c>
      <c r="AL11" s="307">
        <v>10.0</v>
      </c>
      <c r="AN11" s="687" t="s">
        <v>2562</v>
      </c>
      <c r="AO11" s="307">
        <v>10.0</v>
      </c>
      <c r="AQ11" s="687" t="s">
        <v>2562</v>
      </c>
      <c r="AR11" s="307">
        <v>10.0</v>
      </c>
      <c r="AT11" s="687" t="s">
        <v>2202</v>
      </c>
      <c r="AU11" s="307">
        <v>10.0</v>
      </c>
      <c r="AW11" s="687" t="s">
        <v>2202</v>
      </c>
      <c r="AX11" s="307">
        <v>10.0</v>
      </c>
      <c r="AZ11" s="687" t="s">
        <v>2299</v>
      </c>
      <c r="BA11" s="307">
        <v>10.0</v>
      </c>
      <c r="BC11" s="691" t="s">
        <v>2299</v>
      </c>
      <c r="BD11" s="307">
        <v>10.0</v>
      </c>
      <c r="BF11" s="687" t="s">
        <v>2202</v>
      </c>
      <c r="BG11" s="145">
        <v>10.0</v>
      </c>
      <c r="BI11" s="688" t="s">
        <v>2299</v>
      </c>
      <c r="BJ11" s="145">
        <v>10.0</v>
      </c>
      <c r="BL11" s="692" t="s">
        <v>294</v>
      </c>
      <c r="BM11" s="216">
        <v>10.0</v>
      </c>
    </row>
    <row r="12">
      <c r="A12" s="41" t="s">
        <v>2299</v>
      </c>
      <c r="B12" s="307">
        <v>11.0</v>
      </c>
      <c r="C12" s="41"/>
      <c r="D12" s="41" t="s">
        <v>2567</v>
      </c>
      <c r="E12" s="307">
        <v>11.0</v>
      </c>
      <c r="F12" s="41"/>
      <c r="G12" s="41" t="s">
        <v>2566</v>
      </c>
      <c r="H12" s="307">
        <v>11.0</v>
      </c>
      <c r="I12" s="41"/>
      <c r="J12" s="41" t="s">
        <v>2566</v>
      </c>
      <c r="K12" s="307">
        <v>11.0</v>
      </c>
      <c r="L12" s="41"/>
      <c r="M12" s="41" t="s">
        <v>2299</v>
      </c>
      <c r="N12" s="307">
        <v>11.0</v>
      </c>
      <c r="O12" s="41"/>
      <c r="P12" s="41" t="s">
        <v>2561</v>
      </c>
      <c r="Q12" s="307">
        <v>11.0</v>
      </c>
      <c r="R12" s="41"/>
      <c r="S12" s="41" t="s">
        <v>2565</v>
      </c>
      <c r="T12" s="307">
        <v>11.0</v>
      </c>
      <c r="U12" s="41"/>
      <c r="V12" s="41" t="s">
        <v>2565</v>
      </c>
      <c r="W12" s="307">
        <v>11.0</v>
      </c>
      <c r="X12" s="41"/>
      <c r="Y12" s="682" t="s">
        <v>2565</v>
      </c>
      <c r="Z12" s="307">
        <v>11.0</v>
      </c>
      <c r="AA12" s="41"/>
      <c r="AB12" s="683" t="s">
        <v>2202</v>
      </c>
      <c r="AC12" s="307">
        <v>11.0</v>
      </c>
      <c r="AD12" s="79"/>
      <c r="AE12" s="690" t="s">
        <v>2562</v>
      </c>
      <c r="AF12" s="307">
        <v>11.0</v>
      </c>
      <c r="AH12" s="687" t="s">
        <v>2566</v>
      </c>
      <c r="AI12" s="307">
        <v>11.0</v>
      </c>
      <c r="AK12" s="687" t="s">
        <v>322</v>
      </c>
      <c r="AL12" s="307">
        <v>11.0</v>
      </c>
      <c r="AN12" s="687" t="s">
        <v>322</v>
      </c>
      <c r="AO12" s="307">
        <v>11.0</v>
      </c>
      <c r="AQ12" s="687" t="s">
        <v>2566</v>
      </c>
      <c r="AR12" s="307">
        <v>11.0</v>
      </c>
      <c r="AT12" s="687" t="s">
        <v>2562</v>
      </c>
      <c r="AU12" s="307">
        <v>11.0</v>
      </c>
      <c r="AW12" s="687" t="s">
        <v>2562</v>
      </c>
      <c r="AX12" s="307">
        <v>11.0</v>
      </c>
      <c r="AZ12" s="687" t="s">
        <v>2562</v>
      </c>
      <c r="BA12" s="307">
        <v>11.0</v>
      </c>
      <c r="BC12" s="691" t="s">
        <v>2565</v>
      </c>
      <c r="BD12" s="307">
        <v>11.0</v>
      </c>
      <c r="BF12" s="687" t="s">
        <v>2563</v>
      </c>
      <c r="BG12" s="145">
        <v>11.0</v>
      </c>
      <c r="BI12" s="688" t="s">
        <v>2563</v>
      </c>
      <c r="BJ12" s="145">
        <v>11.0</v>
      </c>
      <c r="BL12" s="692" t="s">
        <v>2560</v>
      </c>
      <c r="BM12" s="216">
        <v>11.0</v>
      </c>
    </row>
    <row r="13">
      <c r="A13" s="41" t="s">
        <v>288</v>
      </c>
      <c r="B13" s="307">
        <v>12.0</v>
      </c>
      <c r="C13" s="41"/>
      <c r="D13" s="41" t="s">
        <v>2348</v>
      </c>
      <c r="E13" s="307">
        <v>12.0</v>
      </c>
      <c r="F13" s="41"/>
      <c r="G13" s="41" t="s">
        <v>1231</v>
      </c>
      <c r="H13" s="307">
        <v>12.0</v>
      </c>
      <c r="I13" s="41"/>
      <c r="J13" s="41" t="s">
        <v>1231</v>
      </c>
      <c r="K13" s="307">
        <v>12.0</v>
      </c>
      <c r="L13" s="41"/>
      <c r="M13" s="41" t="s">
        <v>2566</v>
      </c>
      <c r="N13" s="307">
        <v>12.0</v>
      </c>
      <c r="O13" s="41"/>
      <c r="P13" s="41" t="s">
        <v>2202</v>
      </c>
      <c r="Q13" s="307">
        <v>12.0</v>
      </c>
      <c r="R13" s="41"/>
      <c r="S13" s="41" t="s">
        <v>2561</v>
      </c>
      <c r="T13" s="307">
        <v>12.0</v>
      </c>
      <c r="U13" s="41"/>
      <c r="V13" s="41" t="s">
        <v>1231</v>
      </c>
      <c r="W13" s="307">
        <v>12.0</v>
      </c>
      <c r="X13" s="41"/>
      <c r="Y13" s="682" t="s">
        <v>2560</v>
      </c>
      <c r="Z13" s="307">
        <v>12.0</v>
      </c>
      <c r="AA13" s="41"/>
      <c r="AB13" s="683" t="s">
        <v>2562</v>
      </c>
      <c r="AC13" s="307">
        <v>12.0</v>
      </c>
      <c r="AD13" s="79"/>
      <c r="AE13" s="690" t="s">
        <v>2565</v>
      </c>
      <c r="AF13" s="307">
        <v>12.0</v>
      </c>
      <c r="AH13" s="687" t="s">
        <v>2565</v>
      </c>
      <c r="AI13" s="307">
        <v>12.0</v>
      </c>
      <c r="AK13" s="687" t="s">
        <v>2566</v>
      </c>
      <c r="AL13" s="307">
        <v>12.0</v>
      </c>
      <c r="AN13" s="687" t="s">
        <v>2566</v>
      </c>
      <c r="AO13" s="307">
        <v>12.0</v>
      </c>
      <c r="AQ13" s="687" t="s">
        <v>2565</v>
      </c>
      <c r="AR13" s="307">
        <v>12.0</v>
      </c>
      <c r="AT13" s="687" t="s">
        <v>2566</v>
      </c>
      <c r="AU13" s="307">
        <v>12.0</v>
      </c>
      <c r="AW13" s="687" t="s">
        <v>2566</v>
      </c>
      <c r="AX13" s="307">
        <v>12.0</v>
      </c>
      <c r="AZ13" s="687" t="s">
        <v>2565</v>
      </c>
      <c r="BA13" s="307">
        <v>12.0</v>
      </c>
      <c r="BC13" s="691" t="s">
        <v>2202</v>
      </c>
      <c r="BD13" s="307">
        <v>12.0</v>
      </c>
      <c r="BF13" s="687" t="s">
        <v>2562</v>
      </c>
      <c r="BG13" s="145">
        <v>12.0</v>
      </c>
      <c r="BI13" s="688" t="s">
        <v>2560</v>
      </c>
      <c r="BJ13" s="145">
        <v>12.0</v>
      </c>
      <c r="BL13" s="692" t="s">
        <v>2566</v>
      </c>
      <c r="BM13" s="216">
        <v>12.0</v>
      </c>
    </row>
    <row r="14">
      <c r="A14" s="41" t="s">
        <v>294</v>
      </c>
      <c r="B14" s="307">
        <v>13.0</v>
      </c>
      <c r="C14" s="41"/>
      <c r="D14" s="41" t="s">
        <v>1231</v>
      </c>
      <c r="E14" s="307">
        <v>13.0</v>
      </c>
      <c r="F14" s="41"/>
      <c r="G14" s="41" t="s">
        <v>2567</v>
      </c>
      <c r="H14" s="307">
        <v>13.0</v>
      </c>
      <c r="I14" s="41"/>
      <c r="J14" s="41" t="s">
        <v>2567</v>
      </c>
      <c r="K14" s="307">
        <v>13.0</v>
      </c>
      <c r="L14" s="41"/>
      <c r="M14" s="41" t="s">
        <v>1231</v>
      </c>
      <c r="N14" s="307">
        <v>13.0</v>
      </c>
      <c r="O14" s="41"/>
      <c r="P14" s="41" t="s">
        <v>1231</v>
      </c>
      <c r="Q14" s="307">
        <v>13.0</v>
      </c>
      <c r="R14" s="41"/>
      <c r="S14" s="41" t="s">
        <v>1231</v>
      </c>
      <c r="T14" s="307">
        <v>13.0</v>
      </c>
      <c r="U14" s="41"/>
      <c r="V14" s="41" t="s">
        <v>2562</v>
      </c>
      <c r="W14" s="307">
        <v>13.0</v>
      </c>
      <c r="X14" s="41"/>
      <c r="Y14" s="682" t="s">
        <v>2563</v>
      </c>
      <c r="Z14" s="307">
        <v>13.0</v>
      </c>
      <c r="AA14" s="41"/>
      <c r="AB14" s="683" t="s">
        <v>2565</v>
      </c>
      <c r="AC14" s="307">
        <v>13.0</v>
      </c>
      <c r="AD14" s="79"/>
      <c r="AE14" s="690" t="s">
        <v>2202</v>
      </c>
      <c r="AF14" s="307">
        <v>13.0</v>
      </c>
      <c r="AH14" s="687" t="s">
        <v>2072</v>
      </c>
      <c r="AI14" s="307">
        <v>13.0</v>
      </c>
      <c r="AK14" s="687" t="s">
        <v>2565</v>
      </c>
      <c r="AL14" s="307">
        <v>13.0</v>
      </c>
      <c r="AN14" s="687" t="s">
        <v>2565</v>
      </c>
      <c r="AO14" s="307">
        <v>13.0</v>
      </c>
      <c r="AQ14" s="687" t="s">
        <v>2072</v>
      </c>
      <c r="AR14" s="307">
        <v>13.0</v>
      </c>
      <c r="AT14" s="687" t="s">
        <v>2565</v>
      </c>
      <c r="AU14" s="307">
        <v>13.0</v>
      </c>
      <c r="AW14" s="687" t="s">
        <v>2565</v>
      </c>
      <c r="AX14" s="307">
        <v>13.0</v>
      </c>
      <c r="AZ14" s="687" t="s">
        <v>2566</v>
      </c>
      <c r="BA14" s="307">
        <v>13.0</v>
      </c>
      <c r="BC14" s="691" t="s">
        <v>2562</v>
      </c>
      <c r="BD14" s="307">
        <v>13.0</v>
      </c>
      <c r="BF14" s="687" t="s">
        <v>2565</v>
      </c>
      <c r="BG14" s="145">
        <v>13.0</v>
      </c>
      <c r="BI14" s="688" t="s">
        <v>2566</v>
      </c>
      <c r="BJ14" s="145">
        <v>13.0</v>
      </c>
      <c r="BL14" s="692" t="s">
        <v>2568</v>
      </c>
      <c r="BM14" s="216">
        <v>13.0</v>
      </c>
    </row>
    <row r="15">
      <c r="A15" s="41" t="s">
        <v>2569</v>
      </c>
      <c r="B15" s="307">
        <v>14.0</v>
      </c>
      <c r="C15" s="41"/>
      <c r="D15" s="41" t="s">
        <v>2566</v>
      </c>
      <c r="E15" s="307">
        <v>14.0</v>
      </c>
      <c r="F15" s="41"/>
      <c r="G15" s="41" t="s">
        <v>2565</v>
      </c>
      <c r="H15" s="307">
        <v>14.0</v>
      </c>
      <c r="I15" s="41"/>
      <c r="J15" s="41" t="s">
        <v>288</v>
      </c>
      <c r="K15" s="307">
        <v>14.0</v>
      </c>
      <c r="L15" s="41"/>
      <c r="M15" s="41" t="s">
        <v>294</v>
      </c>
      <c r="N15" s="307">
        <v>14.0</v>
      </c>
      <c r="O15" s="41"/>
      <c r="P15" s="41" t="s">
        <v>294</v>
      </c>
      <c r="Q15" s="307">
        <v>14.0</v>
      </c>
      <c r="R15" s="41"/>
      <c r="S15" s="41" t="s">
        <v>2562</v>
      </c>
      <c r="T15" s="307">
        <v>14.0</v>
      </c>
      <c r="U15" s="41"/>
      <c r="V15" s="41" t="s">
        <v>2563</v>
      </c>
      <c r="W15" s="307">
        <v>14.0</v>
      </c>
      <c r="X15" s="41"/>
      <c r="Y15" s="682" t="s">
        <v>2562</v>
      </c>
      <c r="Z15" s="307">
        <v>14.0</v>
      </c>
      <c r="AA15" s="41"/>
      <c r="AB15" s="683" t="s">
        <v>322</v>
      </c>
      <c r="AC15" s="307">
        <v>14.0</v>
      </c>
      <c r="AD15" s="79"/>
      <c r="AE15" s="690" t="s">
        <v>322</v>
      </c>
      <c r="AF15" s="307">
        <v>14.0</v>
      </c>
      <c r="AH15" s="687" t="s">
        <v>322</v>
      </c>
      <c r="AI15" s="307">
        <v>14.0</v>
      </c>
      <c r="AK15" s="687" t="s">
        <v>2072</v>
      </c>
      <c r="AL15" s="307">
        <v>14.0</v>
      </c>
      <c r="AN15" s="687" t="s">
        <v>2072</v>
      </c>
      <c r="AO15" s="307">
        <v>14.0</v>
      </c>
      <c r="AQ15" s="687" t="s">
        <v>2140</v>
      </c>
      <c r="AR15" s="307">
        <v>14.0</v>
      </c>
      <c r="AT15" s="687" t="s">
        <v>2072</v>
      </c>
      <c r="AU15" s="307">
        <v>14.0</v>
      </c>
      <c r="AW15" s="687" t="s">
        <v>2072</v>
      </c>
      <c r="AX15" s="307">
        <v>14.0</v>
      </c>
      <c r="AZ15" s="687" t="s">
        <v>2072</v>
      </c>
      <c r="BA15" s="307">
        <v>14.0</v>
      </c>
      <c r="BC15" s="691" t="s">
        <v>2140</v>
      </c>
      <c r="BD15" s="307">
        <v>14.0</v>
      </c>
      <c r="BF15" s="687" t="s">
        <v>2140</v>
      </c>
      <c r="BG15" s="145">
        <v>14.0</v>
      </c>
      <c r="BI15" s="688" t="s">
        <v>2568</v>
      </c>
      <c r="BJ15" s="145">
        <v>14.0</v>
      </c>
      <c r="BL15" s="692" t="s">
        <v>2072</v>
      </c>
      <c r="BM15" s="216">
        <v>14.0</v>
      </c>
    </row>
    <row r="16">
      <c r="A16" s="41" t="s">
        <v>2570</v>
      </c>
      <c r="B16" s="307">
        <v>15.0</v>
      </c>
      <c r="C16" s="41"/>
      <c r="D16" s="41" t="s">
        <v>2565</v>
      </c>
      <c r="E16" s="307">
        <v>15.0</v>
      </c>
      <c r="F16" s="41"/>
      <c r="G16" s="41" t="s">
        <v>2569</v>
      </c>
      <c r="H16" s="307">
        <v>15.0</v>
      </c>
      <c r="I16" s="41"/>
      <c r="J16" s="41" t="s">
        <v>2202</v>
      </c>
      <c r="K16" s="307">
        <v>15.0</v>
      </c>
      <c r="L16" s="41"/>
      <c r="M16" s="41" t="s">
        <v>2202</v>
      </c>
      <c r="N16" s="307">
        <v>15.0</v>
      </c>
      <c r="O16" s="41"/>
      <c r="P16" s="41" t="s">
        <v>2064</v>
      </c>
      <c r="Q16" s="307">
        <v>15.0</v>
      </c>
      <c r="R16" s="41"/>
      <c r="S16" s="41" t="s">
        <v>294</v>
      </c>
      <c r="T16" s="307">
        <v>15.0</v>
      </c>
      <c r="U16" s="41"/>
      <c r="V16" s="41" t="s">
        <v>294</v>
      </c>
      <c r="W16" s="307">
        <v>15.0</v>
      </c>
      <c r="X16" s="41"/>
      <c r="Y16" s="682" t="s">
        <v>1231</v>
      </c>
      <c r="Z16" s="307">
        <v>15.0</v>
      </c>
      <c r="AA16" s="41"/>
      <c r="AB16" s="683" t="s">
        <v>2560</v>
      </c>
      <c r="AC16" s="307">
        <v>15.0</v>
      </c>
      <c r="AD16" s="79"/>
      <c r="AE16" s="690" t="s">
        <v>2560</v>
      </c>
      <c r="AF16" s="307">
        <v>15.0</v>
      </c>
      <c r="AH16" s="687" t="s">
        <v>2140</v>
      </c>
      <c r="AI16" s="307">
        <v>15.0</v>
      </c>
      <c r="AK16" s="687" t="s">
        <v>2140</v>
      </c>
      <c r="AL16" s="307">
        <v>15.0</v>
      </c>
      <c r="AN16" s="687" t="s">
        <v>2140</v>
      </c>
      <c r="AO16" s="307">
        <v>15.0</v>
      </c>
      <c r="AQ16" s="687" t="s">
        <v>2202</v>
      </c>
      <c r="AR16" s="307">
        <v>15.0</v>
      </c>
      <c r="AT16" s="687" t="s">
        <v>2299</v>
      </c>
      <c r="AU16" s="307">
        <v>15.0</v>
      </c>
      <c r="AW16" s="687" t="s">
        <v>2299</v>
      </c>
      <c r="AX16" s="307">
        <v>15.0</v>
      </c>
      <c r="AZ16" s="687" t="s">
        <v>2140</v>
      </c>
      <c r="BA16" s="307">
        <v>15.0</v>
      </c>
      <c r="BC16" s="691" t="s">
        <v>2072</v>
      </c>
      <c r="BD16" s="307">
        <v>15.0</v>
      </c>
      <c r="BF16" s="687" t="s">
        <v>2056</v>
      </c>
      <c r="BG16" s="145">
        <v>15.0</v>
      </c>
      <c r="BI16" s="688" t="s">
        <v>2140</v>
      </c>
      <c r="BJ16" s="145">
        <v>15.0</v>
      </c>
      <c r="BL16" s="692" t="s">
        <v>2140</v>
      </c>
      <c r="BM16" s="216">
        <v>15.0</v>
      </c>
    </row>
    <row r="17">
      <c r="A17" s="41" t="s">
        <v>2567</v>
      </c>
      <c r="B17" s="307">
        <v>16.0</v>
      </c>
      <c r="C17" s="41"/>
      <c r="D17" s="41" t="s">
        <v>2569</v>
      </c>
      <c r="E17" s="307">
        <v>16.0</v>
      </c>
      <c r="F17" s="41"/>
      <c r="G17" s="41" t="s">
        <v>288</v>
      </c>
      <c r="H17" s="307">
        <v>16.0</v>
      </c>
      <c r="I17" s="41"/>
      <c r="J17" s="41" t="s">
        <v>2064</v>
      </c>
      <c r="K17" s="307">
        <v>16.0</v>
      </c>
      <c r="L17" s="41"/>
      <c r="M17" s="41" t="s">
        <v>2064</v>
      </c>
      <c r="N17" s="307">
        <v>16.0</v>
      </c>
      <c r="O17" s="41"/>
      <c r="P17" s="41" t="s">
        <v>2567</v>
      </c>
      <c r="Q17" s="307">
        <v>16.0</v>
      </c>
      <c r="R17" s="41"/>
      <c r="S17" s="41" t="s">
        <v>2563</v>
      </c>
      <c r="T17" s="307">
        <v>16.0</v>
      </c>
      <c r="U17" s="41"/>
      <c r="V17" s="41" t="s">
        <v>2571</v>
      </c>
      <c r="W17" s="307">
        <v>16.0</v>
      </c>
      <c r="X17" s="41"/>
      <c r="Y17" s="682" t="s">
        <v>2571</v>
      </c>
      <c r="Z17" s="307">
        <v>16.0</v>
      </c>
      <c r="AA17" s="41"/>
      <c r="AB17" s="683" t="s">
        <v>2072</v>
      </c>
      <c r="AC17" s="307">
        <v>16.0</v>
      </c>
      <c r="AD17" s="79"/>
      <c r="AE17" s="690" t="s">
        <v>2072</v>
      </c>
      <c r="AF17" s="307">
        <v>16.0</v>
      </c>
      <c r="AH17" s="687" t="s">
        <v>2202</v>
      </c>
      <c r="AI17" s="307">
        <v>16.0</v>
      </c>
      <c r="AK17" s="687" t="s">
        <v>2560</v>
      </c>
      <c r="AL17" s="307">
        <v>16.0</v>
      </c>
      <c r="AN17" s="687" t="s">
        <v>2560</v>
      </c>
      <c r="AO17" s="307">
        <v>16.0</v>
      </c>
      <c r="AQ17" s="687" t="s">
        <v>2299</v>
      </c>
      <c r="AR17" s="307">
        <v>16.0</v>
      </c>
      <c r="AT17" s="687" t="s">
        <v>2140</v>
      </c>
      <c r="AU17" s="307">
        <v>16.0</v>
      </c>
      <c r="AW17" s="687" t="s">
        <v>2140</v>
      </c>
      <c r="AX17" s="307">
        <v>16.0</v>
      </c>
      <c r="AZ17" s="687" t="s">
        <v>2202</v>
      </c>
      <c r="BA17" s="307">
        <v>16.0</v>
      </c>
      <c r="BC17" s="691" t="s">
        <v>2056</v>
      </c>
      <c r="BD17" s="307">
        <v>16.0</v>
      </c>
      <c r="BF17" s="687" t="s">
        <v>2567</v>
      </c>
      <c r="BG17" s="145">
        <v>16.0</v>
      </c>
      <c r="BI17" s="688" t="s">
        <v>2056</v>
      </c>
      <c r="BJ17" s="145">
        <v>16.0</v>
      </c>
      <c r="BL17" s="692" t="s">
        <v>2567</v>
      </c>
      <c r="BM17" s="216">
        <v>16.0</v>
      </c>
    </row>
    <row r="18">
      <c r="A18" s="41" t="s">
        <v>2563</v>
      </c>
      <c r="B18" s="307">
        <v>17.0</v>
      </c>
      <c r="C18" s="41"/>
      <c r="D18" s="41" t="s">
        <v>288</v>
      </c>
      <c r="E18" s="307">
        <v>17.0</v>
      </c>
      <c r="F18" s="41"/>
      <c r="G18" s="41" t="s">
        <v>294</v>
      </c>
      <c r="H18" s="307">
        <v>17.0</v>
      </c>
      <c r="I18" s="41"/>
      <c r="J18" s="41" t="s">
        <v>2564</v>
      </c>
      <c r="K18" s="307">
        <v>17.0</v>
      </c>
      <c r="L18" s="41"/>
      <c r="M18" s="41" t="s">
        <v>2567</v>
      </c>
      <c r="N18" s="307">
        <v>17.0</v>
      </c>
      <c r="O18" s="41"/>
      <c r="P18" s="41" t="s">
        <v>2566</v>
      </c>
      <c r="Q18" s="307">
        <v>17.0</v>
      </c>
      <c r="R18" s="41"/>
      <c r="S18" s="41" t="s">
        <v>2567</v>
      </c>
      <c r="T18" s="307">
        <v>17.0</v>
      </c>
      <c r="U18" s="41"/>
      <c r="V18" s="41" t="s">
        <v>2567</v>
      </c>
      <c r="W18" s="307">
        <v>17.0</v>
      </c>
      <c r="X18" s="41"/>
      <c r="Y18" s="682" t="s">
        <v>2056</v>
      </c>
      <c r="Z18" s="307">
        <v>17.0</v>
      </c>
      <c r="AA18" s="41"/>
      <c r="AB18" s="683" t="s">
        <v>2140</v>
      </c>
      <c r="AC18" s="307">
        <v>17.0</v>
      </c>
      <c r="AD18" s="79"/>
      <c r="AE18" s="690" t="s">
        <v>2140</v>
      </c>
      <c r="AF18" s="307">
        <v>17.0</v>
      </c>
      <c r="AH18" s="687" t="s">
        <v>2056</v>
      </c>
      <c r="AI18" s="307">
        <v>17.0</v>
      </c>
      <c r="AK18" s="687" t="s">
        <v>2056</v>
      </c>
      <c r="AL18" s="307">
        <v>17.0</v>
      </c>
      <c r="AN18" s="687" t="s">
        <v>2056</v>
      </c>
      <c r="AO18" s="307">
        <v>17.0</v>
      </c>
      <c r="AQ18" s="687" t="s">
        <v>2560</v>
      </c>
      <c r="AR18" s="307">
        <v>17.0</v>
      </c>
      <c r="AT18" s="687" t="s">
        <v>2056</v>
      </c>
      <c r="AU18" s="307">
        <v>17.0</v>
      </c>
      <c r="AW18" s="687" t="s">
        <v>2056</v>
      </c>
      <c r="AX18" s="307">
        <v>17.0</v>
      </c>
      <c r="AZ18" s="687" t="s">
        <v>2056</v>
      </c>
      <c r="BA18" s="307">
        <v>17.0</v>
      </c>
      <c r="BC18" s="691" t="s">
        <v>2148</v>
      </c>
      <c r="BD18" s="307">
        <v>17.0</v>
      </c>
      <c r="BF18" s="687" t="s">
        <v>2124</v>
      </c>
      <c r="BG18" s="145">
        <v>17.0</v>
      </c>
      <c r="BI18" s="688" t="s">
        <v>2567</v>
      </c>
      <c r="BJ18" s="145">
        <v>17.0</v>
      </c>
      <c r="BL18" s="692" t="s">
        <v>2056</v>
      </c>
      <c r="BM18" s="216">
        <v>17.0</v>
      </c>
    </row>
    <row r="19">
      <c r="A19" s="41" t="s">
        <v>2564</v>
      </c>
      <c r="B19" s="307">
        <v>18.0</v>
      </c>
      <c r="C19" s="41"/>
      <c r="D19" s="41" t="s">
        <v>294</v>
      </c>
      <c r="E19" s="307">
        <v>18.0</v>
      </c>
      <c r="F19" s="41"/>
      <c r="G19" s="41" t="s">
        <v>2563</v>
      </c>
      <c r="H19" s="307">
        <v>18.0</v>
      </c>
      <c r="I19" s="41"/>
      <c r="J19" s="41" t="s">
        <v>294</v>
      </c>
      <c r="K19" s="307">
        <v>18.0</v>
      </c>
      <c r="L19" s="41"/>
      <c r="M19" s="41" t="s">
        <v>2564</v>
      </c>
      <c r="N19" s="307">
        <v>18.0</v>
      </c>
      <c r="O19" s="41"/>
      <c r="P19" s="41" t="s">
        <v>2564</v>
      </c>
      <c r="Q19" s="307">
        <v>18.0</v>
      </c>
      <c r="R19" s="41"/>
      <c r="S19" s="41" t="s">
        <v>2571</v>
      </c>
      <c r="T19" s="307">
        <v>18.0</v>
      </c>
      <c r="U19" s="41"/>
      <c r="V19" s="41" t="s">
        <v>2064</v>
      </c>
      <c r="W19" s="307">
        <v>18.0</v>
      </c>
      <c r="X19" s="41"/>
      <c r="Y19" s="682" t="s">
        <v>2140</v>
      </c>
      <c r="Z19" s="307">
        <v>18.0</v>
      </c>
      <c r="AA19" s="41"/>
      <c r="AB19" s="683" t="s">
        <v>2572</v>
      </c>
      <c r="AC19" s="307">
        <v>18.0</v>
      </c>
      <c r="AD19" s="79"/>
      <c r="AE19" s="690" t="s">
        <v>2572</v>
      </c>
      <c r="AF19" s="307">
        <v>18.0</v>
      </c>
      <c r="AH19" s="687" t="s">
        <v>2348</v>
      </c>
      <c r="AI19" s="307">
        <v>18.0</v>
      </c>
      <c r="AK19" s="687" t="s">
        <v>2202</v>
      </c>
      <c r="AL19" s="307">
        <v>18.0</v>
      </c>
      <c r="AN19" s="687" t="s">
        <v>2202</v>
      </c>
      <c r="AO19" s="307">
        <v>18.0</v>
      </c>
      <c r="AQ19" s="687" t="s">
        <v>2056</v>
      </c>
      <c r="AR19" s="307">
        <v>18.0</v>
      </c>
      <c r="AT19" s="687" t="s">
        <v>2148</v>
      </c>
      <c r="AU19" s="307">
        <v>18.0</v>
      </c>
      <c r="AW19" s="687" t="s">
        <v>2148</v>
      </c>
      <c r="AX19" s="307">
        <v>18.0</v>
      </c>
      <c r="AZ19" s="687" t="s">
        <v>2148</v>
      </c>
      <c r="BA19" s="307">
        <v>18.0</v>
      </c>
      <c r="BC19" s="691" t="s">
        <v>2560</v>
      </c>
      <c r="BD19" s="307">
        <v>18.0</v>
      </c>
      <c r="BF19" s="687" t="s">
        <v>2560</v>
      </c>
      <c r="BG19" s="145">
        <v>18.0</v>
      </c>
      <c r="BI19" s="688" t="s">
        <v>2076</v>
      </c>
      <c r="BJ19" s="145">
        <v>18.0</v>
      </c>
      <c r="BL19" s="692" t="s">
        <v>2076</v>
      </c>
      <c r="BM19" s="216">
        <v>18.0</v>
      </c>
    </row>
    <row r="20">
      <c r="A20" s="41" t="s">
        <v>2565</v>
      </c>
      <c r="B20" s="307">
        <v>19.0</v>
      </c>
      <c r="C20" s="41"/>
      <c r="D20" s="41" t="s">
        <v>2072</v>
      </c>
      <c r="E20" s="307">
        <v>19.0</v>
      </c>
      <c r="F20" s="41"/>
      <c r="G20" s="41" t="s">
        <v>2072</v>
      </c>
      <c r="H20" s="307">
        <v>19.0</v>
      </c>
      <c r="I20" s="41"/>
      <c r="J20" s="41" t="s">
        <v>2563</v>
      </c>
      <c r="K20" s="307">
        <v>19.0</v>
      </c>
      <c r="L20" s="41"/>
      <c r="M20" s="41" t="s">
        <v>2563</v>
      </c>
      <c r="N20" s="307">
        <v>19.0</v>
      </c>
      <c r="O20" s="41"/>
      <c r="P20" s="41" t="s">
        <v>2563</v>
      </c>
      <c r="Q20" s="307">
        <v>19.0</v>
      </c>
      <c r="R20" s="41"/>
      <c r="S20" s="41" t="s">
        <v>2056</v>
      </c>
      <c r="T20" s="307">
        <v>19.0</v>
      </c>
      <c r="U20" s="41"/>
      <c r="V20" s="41" t="s">
        <v>2056</v>
      </c>
      <c r="W20" s="307">
        <v>19.0</v>
      </c>
      <c r="X20" s="41"/>
      <c r="Y20" s="682" t="s">
        <v>2072</v>
      </c>
      <c r="Z20" s="307">
        <v>19.0</v>
      </c>
      <c r="AA20" s="41"/>
      <c r="AB20" s="683" t="s">
        <v>2124</v>
      </c>
      <c r="AC20" s="307">
        <v>19.0</v>
      </c>
      <c r="AD20" s="79"/>
      <c r="AE20" s="690" t="s">
        <v>2124</v>
      </c>
      <c r="AF20" s="307">
        <v>19.0</v>
      </c>
      <c r="AH20" s="687" t="s">
        <v>2560</v>
      </c>
      <c r="AI20" s="307">
        <v>19.0</v>
      </c>
      <c r="AK20" s="687" t="s">
        <v>2348</v>
      </c>
      <c r="AL20" s="307">
        <v>19.0</v>
      </c>
      <c r="AN20" s="687" t="s">
        <v>2348</v>
      </c>
      <c r="AO20" s="307">
        <v>19.0</v>
      </c>
      <c r="AQ20" s="687" t="s">
        <v>2348</v>
      </c>
      <c r="AR20" s="307">
        <v>19.0</v>
      </c>
      <c r="AT20" s="687" t="s">
        <v>2560</v>
      </c>
      <c r="AU20" s="307">
        <v>19.0</v>
      </c>
      <c r="AW20" s="687" t="s">
        <v>2560</v>
      </c>
      <c r="AX20" s="307">
        <v>19.0</v>
      </c>
      <c r="AZ20" s="687" t="s">
        <v>2560</v>
      </c>
      <c r="BA20" s="307">
        <v>19.0</v>
      </c>
      <c r="BC20" s="691" t="s">
        <v>2348</v>
      </c>
      <c r="BD20" s="307">
        <v>19.0</v>
      </c>
      <c r="BF20" s="687" t="s">
        <v>2076</v>
      </c>
      <c r="BG20" s="145">
        <v>19.0</v>
      </c>
      <c r="BI20" s="688" t="s">
        <v>2072</v>
      </c>
      <c r="BJ20" s="145">
        <v>19.0</v>
      </c>
      <c r="BL20" s="692" t="s">
        <v>2124</v>
      </c>
      <c r="BM20" s="216">
        <v>19.0</v>
      </c>
    </row>
    <row r="21">
      <c r="A21" s="41" t="s">
        <v>2325</v>
      </c>
      <c r="B21" s="307">
        <v>20.0</v>
      </c>
      <c r="C21" s="41"/>
      <c r="D21" s="41" t="s">
        <v>2573</v>
      </c>
      <c r="E21" s="307">
        <v>20.0</v>
      </c>
      <c r="F21" s="41"/>
      <c r="G21" s="41" t="s">
        <v>2202</v>
      </c>
      <c r="H21" s="307">
        <v>20.0</v>
      </c>
      <c r="I21" s="41"/>
      <c r="J21" s="41" t="s">
        <v>2348</v>
      </c>
      <c r="K21" s="307">
        <v>20.0</v>
      </c>
      <c r="L21" s="41"/>
      <c r="M21" s="41" t="s">
        <v>2348</v>
      </c>
      <c r="N21" s="307">
        <v>20.0</v>
      </c>
      <c r="O21" s="41"/>
      <c r="P21" s="41" t="s">
        <v>2056</v>
      </c>
      <c r="Q21" s="307">
        <v>20.0</v>
      </c>
      <c r="R21" s="41"/>
      <c r="S21" s="41" t="s">
        <v>2564</v>
      </c>
      <c r="T21" s="307">
        <v>20.0</v>
      </c>
      <c r="U21" s="41"/>
      <c r="V21" s="41" t="s">
        <v>2140</v>
      </c>
      <c r="W21" s="307">
        <v>20.0</v>
      </c>
      <c r="X21" s="41"/>
      <c r="Y21" s="682" t="s">
        <v>322</v>
      </c>
      <c r="Z21" s="307">
        <v>20.0</v>
      </c>
      <c r="AA21" s="41"/>
      <c r="AB21" s="683" t="s">
        <v>2056</v>
      </c>
      <c r="AC21" s="307">
        <v>20.0</v>
      </c>
      <c r="AD21" s="79"/>
      <c r="AE21" s="690" t="s">
        <v>2056</v>
      </c>
      <c r="AF21" s="307">
        <v>20.0</v>
      </c>
      <c r="AH21" s="687" t="s">
        <v>2124</v>
      </c>
      <c r="AI21" s="307">
        <v>20.0</v>
      </c>
      <c r="AK21" s="687" t="s">
        <v>2124</v>
      </c>
      <c r="AL21" s="307">
        <v>20.0</v>
      </c>
      <c r="AN21" s="687" t="s">
        <v>2124</v>
      </c>
      <c r="AO21" s="307">
        <v>20.0</v>
      </c>
      <c r="AQ21" s="687" t="s">
        <v>2124</v>
      </c>
      <c r="AR21" s="307">
        <v>20.0</v>
      </c>
      <c r="AT21" s="687" t="s">
        <v>2348</v>
      </c>
      <c r="AU21" s="307">
        <v>20.0</v>
      </c>
      <c r="AW21" s="687" t="s">
        <v>2348</v>
      </c>
      <c r="AX21" s="307">
        <v>20.0</v>
      </c>
      <c r="AZ21" s="687" t="s">
        <v>2348</v>
      </c>
      <c r="BA21" s="307">
        <v>20.0</v>
      </c>
      <c r="BC21" s="691" t="s">
        <v>2124</v>
      </c>
      <c r="BD21" s="307">
        <v>20.0</v>
      </c>
      <c r="BF21" s="687" t="s">
        <v>2566</v>
      </c>
      <c r="BG21" s="145">
        <v>20.0</v>
      </c>
      <c r="BI21" s="688" t="s">
        <v>2124</v>
      </c>
      <c r="BJ21" s="145">
        <v>20.0</v>
      </c>
      <c r="BL21" s="692" t="s">
        <v>2210</v>
      </c>
      <c r="BM21" s="216">
        <v>20.0</v>
      </c>
    </row>
    <row r="22">
      <c r="A22" s="41" t="s">
        <v>2566</v>
      </c>
      <c r="B22" s="307">
        <v>21.0</v>
      </c>
      <c r="C22" s="41"/>
      <c r="D22" s="41" t="s">
        <v>2563</v>
      </c>
      <c r="E22" s="307">
        <v>21.0</v>
      </c>
      <c r="F22" s="41"/>
      <c r="G22" s="41" t="s">
        <v>2571</v>
      </c>
      <c r="H22" s="307">
        <v>21.0</v>
      </c>
      <c r="I22" s="41"/>
      <c r="J22" s="41" t="s">
        <v>2571</v>
      </c>
      <c r="K22" s="307">
        <v>21.0</v>
      </c>
      <c r="L22" s="41"/>
      <c r="M22" s="41" t="s">
        <v>2571</v>
      </c>
      <c r="N22" s="307">
        <v>21.0</v>
      </c>
      <c r="O22" s="41"/>
      <c r="P22" s="41" t="s">
        <v>2348</v>
      </c>
      <c r="Q22" s="307">
        <v>21.0</v>
      </c>
      <c r="R22" s="41"/>
      <c r="S22" s="41" t="s">
        <v>2064</v>
      </c>
      <c r="T22" s="307">
        <v>21.0</v>
      </c>
      <c r="U22" s="41"/>
      <c r="V22" s="41" t="s">
        <v>2072</v>
      </c>
      <c r="W22" s="307">
        <v>21.0</v>
      </c>
      <c r="X22" s="41"/>
      <c r="Y22" s="682" t="s">
        <v>2567</v>
      </c>
      <c r="Z22" s="307">
        <v>21.0</v>
      </c>
      <c r="AA22" s="41"/>
      <c r="AB22" s="683" t="s">
        <v>2348</v>
      </c>
      <c r="AC22" s="307">
        <v>21.0</v>
      </c>
      <c r="AD22" s="79"/>
      <c r="AE22" s="690" t="s">
        <v>2348</v>
      </c>
      <c r="AF22" s="307">
        <v>21.0</v>
      </c>
      <c r="AH22" s="687" t="s">
        <v>1231</v>
      </c>
      <c r="AI22" s="307">
        <v>21.0</v>
      </c>
      <c r="AK22" s="687" t="s">
        <v>2567</v>
      </c>
      <c r="AL22" s="307">
        <v>21.0</v>
      </c>
      <c r="AN22" s="687" t="s">
        <v>2567</v>
      </c>
      <c r="AO22" s="307">
        <v>21.0</v>
      </c>
      <c r="AQ22" s="687" t="s">
        <v>2567</v>
      </c>
      <c r="AR22" s="307">
        <v>21.0</v>
      </c>
      <c r="AT22" s="687" t="s">
        <v>2124</v>
      </c>
      <c r="AU22" s="307">
        <v>21.0</v>
      </c>
      <c r="AW22" s="687" t="s">
        <v>2124</v>
      </c>
      <c r="AX22" s="307">
        <v>21.0</v>
      </c>
      <c r="AZ22" s="687" t="s">
        <v>2124</v>
      </c>
      <c r="BA22" s="307">
        <v>21.0</v>
      </c>
      <c r="BC22" s="691" t="s">
        <v>2076</v>
      </c>
      <c r="BD22" s="307">
        <v>21.0</v>
      </c>
      <c r="BF22" s="687" t="s">
        <v>2072</v>
      </c>
      <c r="BG22" s="145">
        <v>21.0</v>
      </c>
      <c r="BI22" s="688" t="s">
        <v>2210</v>
      </c>
      <c r="BJ22" s="145">
        <v>21.0</v>
      </c>
      <c r="BL22" s="692" t="s">
        <v>2148</v>
      </c>
      <c r="BM22" s="216">
        <v>21.0</v>
      </c>
    </row>
    <row r="23">
      <c r="A23" s="41" t="s">
        <v>2573</v>
      </c>
      <c r="B23" s="307">
        <v>22.0</v>
      </c>
      <c r="C23" s="41"/>
      <c r="D23" s="41" t="s">
        <v>2571</v>
      </c>
      <c r="E23" s="307">
        <v>22.0</v>
      </c>
      <c r="F23" s="41"/>
      <c r="G23" s="41" t="s">
        <v>2348</v>
      </c>
      <c r="H23" s="307">
        <v>22.0</v>
      </c>
      <c r="I23" s="41"/>
      <c r="J23" s="41" t="s">
        <v>2140</v>
      </c>
      <c r="K23" s="307">
        <v>22.0</v>
      </c>
      <c r="L23" s="41"/>
      <c r="M23" s="41" t="s">
        <v>2140</v>
      </c>
      <c r="N23" s="307">
        <v>22.0</v>
      </c>
      <c r="O23" s="41"/>
      <c r="P23" s="41" t="s">
        <v>2571</v>
      </c>
      <c r="Q23" s="307">
        <v>22.0</v>
      </c>
      <c r="R23" s="41"/>
      <c r="S23" s="41" t="s">
        <v>2140</v>
      </c>
      <c r="T23" s="307">
        <v>22.0</v>
      </c>
      <c r="U23" s="41"/>
      <c r="V23" s="41" t="s">
        <v>2574</v>
      </c>
      <c r="W23" s="307">
        <v>22.0</v>
      </c>
      <c r="X23" s="41"/>
      <c r="Y23" s="682" t="s">
        <v>2064</v>
      </c>
      <c r="Z23" s="307">
        <v>22.0</v>
      </c>
      <c r="AA23" s="41"/>
      <c r="AB23" s="683" t="s">
        <v>1231</v>
      </c>
      <c r="AC23" s="307">
        <v>22.0</v>
      </c>
      <c r="AD23" s="79"/>
      <c r="AE23" s="690" t="s">
        <v>1231</v>
      </c>
      <c r="AF23" s="307">
        <v>22.0</v>
      </c>
      <c r="AH23" s="687" t="s">
        <v>2567</v>
      </c>
      <c r="AI23" s="307">
        <v>22.0</v>
      </c>
      <c r="AK23" s="687" t="s">
        <v>2076</v>
      </c>
      <c r="AL23" s="307">
        <v>22.0</v>
      </c>
      <c r="AN23" s="687" t="s">
        <v>2076</v>
      </c>
      <c r="AO23" s="307">
        <v>22.0</v>
      </c>
      <c r="AQ23" s="687" t="s">
        <v>2076</v>
      </c>
      <c r="AR23" s="307">
        <v>22.0</v>
      </c>
      <c r="AT23" s="687" t="s">
        <v>2076</v>
      </c>
      <c r="AU23" s="307">
        <v>22.0</v>
      </c>
      <c r="AW23" s="687" t="s">
        <v>2076</v>
      </c>
      <c r="AX23" s="307">
        <v>22.0</v>
      </c>
      <c r="AZ23" s="687" t="s">
        <v>2076</v>
      </c>
      <c r="BA23" s="307">
        <v>22.0</v>
      </c>
      <c r="BC23" s="691" t="s">
        <v>2566</v>
      </c>
      <c r="BD23" s="307">
        <v>22.0</v>
      </c>
      <c r="BF23" s="687" t="s">
        <v>2568</v>
      </c>
      <c r="BG23" s="145">
        <v>22.0</v>
      </c>
      <c r="BI23" s="688" t="s">
        <v>2148</v>
      </c>
      <c r="BJ23" s="145">
        <v>22.0</v>
      </c>
      <c r="BL23" s="692" t="s">
        <v>2068</v>
      </c>
      <c r="BM23" s="216">
        <v>22.0</v>
      </c>
    </row>
    <row r="24">
      <c r="A24" s="41" t="s">
        <v>2571</v>
      </c>
      <c r="B24" s="307">
        <v>23.0</v>
      </c>
      <c r="C24" s="41"/>
      <c r="D24" s="41" t="s">
        <v>2076</v>
      </c>
      <c r="E24" s="307">
        <v>23.0</v>
      </c>
      <c r="F24" s="41"/>
      <c r="G24" s="41" t="s">
        <v>2076</v>
      </c>
      <c r="H24" s="307">
        <v>23.0</v>
      </c>
      <c r="I24" s="41"/>
      <c r="J24" s="41" t="s">
        <v>2072</v>
      </c>
      <c r="K24" s="307">
        <v>23.0</v>
      </c>
      <c r="L24" s="41"/>
      <c r="M24" s="41" t="s">
        <v>2072</v>
      </c>
      <c r="N24" s="307">
        <v>23.0</v>
      </c>
      <c r="O24" s="41"/>
      <c r="P24" s="41" t="s">
        <v>2140</v>
      </c>
      <c r="Q24" s="307">
        <v>23.0</v>
      </c>
      <c r="R24" s="41"/>
      <c r="S24" s="41" t="s">
        <v>2072</v>
      </c>
      <c r="T24" s="307">
        <v>23.0</v>
      </c>
      <c r="U24" s="41"/>
      <c r="V24" s="41" t="s">
        <v>2124</v>
      </c>
      <c r="W24" s="307">
        <v>23.0</v>
      </c>
      <c r="X24" s="41"/>
      <c r="Y24" s="682" t="s">
        <v>2124</v>
      </c>
      <c r="Z24" s="307">
        <v>23.0</v>
      </c>
      <c r="AA24" s="41"/>
      <c r="AB24" s="683" t="s">
        <v>2567</v>
      </c>
      <c r="AC24" s="307">
        <v>23.0</v>
      </c>
      <c r="AD24" s="79"/>
      <c r="AE24" s="690" t="s">
        <v>2567</v>
      </c>
      <c r="AF24" s="307">
        <v>23.0</v>
      </c>
      <c r="AH24" s="687" t="s">
        <v>2148</v>
      </c>
      <c r="AI24" s="307">
        <v>23.0</v>
      </c>
      <c r="AK24" s="687" t="s">
        <v>2148</v>
      </c>
      <c r="AL24" s="307">
        <v>23.0</v>
      </c>
      <c r="AN24" s="687" t="s">
        <v>2148</v>
      </c>
      <c r="AO24" s="307">
        <v>23.0</v>
      </c>
      <c r="AQ24" s="687" t="s">
        <v>2148</v>
      </c>
      <c r="AR24" s="307">
        <v>23.0</v>
      </c>
      <c r="AT24" s="687" t="s">
        <v>2568</v>
      </c>
      <c r="AU24" s="307">
        <v>23.0</v>
      </c>
      <c r="AW24" s="687" t="s">
        <v>2568</v>
      </c>
      <c r="AX24" s="307">
        <v>23.0</v>
      </c>
      <c r="AZ24" s="687" t="s">
        <v>2568</v>
      </c>
      <c r="BA24" s="307">
        <v>23.0</v>
      </c>
      <c r="BC24" s="691" t="s">
        <v>2568</v>
      </c>
      <c r="BD24" s="307">
        <v>23.0</v>
      </c>
      <c r="BF24" s="687" t="s">
        <v>2348</v>
      </c>
      <c r="BG24" s="145">
        <v>23.0</v>
      </c>
      <c r="BI24" s="688" t="s">
        <v>2068</v>
      </c>
      <c r="BJ24" s="145">
        <v>23.0</v>
      </c>
      <c r="BL24" s="692" t="s">
        <v>2129</v>
      </c>
      <c r="BM24" s="216">
        <v>23.0</v>
      </c>
    </row>
    <row r="25">
      <c r="A25" s="41" t="s">
        <v>2076</v>
      </c>
      <c r="B25" s="307">
        <v>24.0</v>
      </c>
      <c r="C25" s="41"/>
      <c r="D25" s="41" t="s">
        <v>2570</v>
      </c>
      <c r="E25" s="307">
        <v>24.0</v>
      </c>
      <c r="F25" s="41"/>
      <c r="G25" s="41" t="s">
        <v>2570</v>
      </c>
      <c r="H25" s="307">
        <v>24.0</v>
      </c>
      <c r="I25" s="41"/>
      <c r="J25" s="41" t="s">
        <v>2574</v>
      </c>
      <c r="K25" s="307">
        <v>24.0</v>
      </c>
      <c r="L25" s="41"/>
      <c r="M25" s="41" t="s">
        <v>2574</v>
      </c>
      <c r="N25" s="307">
        <v>24.0</v>
      </c>
      <c r="O25" s="41"/>
      <c r="P25" s="41" t="s">
        <v>2072</v>
      </c>
      <c r="Q25" s="307">
        <v>24.0</v>
      </c>
      <c r="R25" s="41"/>
      <c r="S25" s="41" t="s">
        <v>2574</v>
      </c>
      <c r="T25" s="307">
        <v>24.0</v>
      </c>
      <c r="U25" s="41"/>
      <c r="V25" s="41" t="s">
        <v>2348</v>
      </c>
      <c r="W25" s="307">
        <v>24.0</v>
      </c>
      <c r="X25" s="41"/>
      <c r="Y25" s="682" t="s">
        <v>2574</v>
      </c>
      <c r="Z25" s="307">
        <v>24.0</v>
      </c>
      <c r="AA25" s="41"/>
      <c r="AB25" s="683" t="s">
        <v>2571</v>
      </c>
      <c r="AC25" s="307">
        <v>24.0</v>
      </c>
      <c r="AD25" s="79"/>
      <c r="AE25" s="690" t="s">
        <v>2571</v>
      </c>
      <c r="AF25" s="307">
        <v>24.0</v>
      </c>
      <c r="AH25" s="687" t="s">
        <v>2129</v>
      </c>
      <c r="AI25" s="307">
        <v>24.0</v>
      </c>
      <c r="AK25" s="687" t="s">
        <v>1015</v>
      </c>
      <c r="AL25" s="307">
        <v>24.0</v>
      </c>
      <c r="AN25" s="687" t="s">
        <v>1015</v>
      </c>
      <c r="AO25" s="307">
        <v>24.0</v>
      </c>
      <c r="AQ25" s="687" t="s">
        <v>1015</v>
      </c>
      <c r="AR25" s="307">
        <v>24.0</v>
      </c>
      <c r="AT25" s="687" t="s">
        <v>2567</v>
      </c>
      <c r="AU25" s="307">
        <v>24.0</v>
      </c>
      <c r="AW25" s="687" t="s">
        <v>2567</v>
      </c>
      <c r="AX25" s="307">
        <v>24.0</v>
      </c>
      <c r="AZ25" s="687" t="s">
        <v>2567</v>
      </c>
      <c r="BA25" s="307">
        <v>24.0</v>
      </c>
      <c r="BC25" s="691" t="s">
        <v>2567</v>
      </c>
      <c r="BD25" s="307">
        <v>24.0</v>
      </c>
      <c r="BF25" s="687" t="s">
        <v>1015</v>
      </c>
      <c r="BG25" s="145">
        <v>24.0</v>
      </c>
      <c r="BI25" s="688" t="s">
        <v>2565</v>
      </c>
      <c r="BJ25" s="145">
        <v>24.0</v>
      </c>
      <c r="BL25" s="692" t="s">
        <v>298</v>
      </c>
      <c r="BM25" s="216">
        <v>24.0</v>
      </c>
    </row>
    <row r="26">
      <c r="A26" s="41" t="s">
        <v>2064</v>
      </c>
      <c r="B26" s="307">
        <v>25.0</v>
      </c>
      <c r="C26" s="41"/>
      <c r="D26" s="41" t="s">
        <v>2202</v>
      </c>
      <c r="E26" s="307">
        <v>25.0</v>
      </c>
      <c r="F26" s="41"/>
      <c r="G26" s="41" t="s">
        <v>2064</v>
      </c>
      <c r="H26" s="307">
        <v>25.0</v>
      </c>
      <c r="I26" s="41"/>
      <c r="J26" s="41" t="s">
        <v>2076</v>
      </c>
      <c r="K26" s="307">
        <v>25.0</v>
      </c>
      <c r="L26" s="41"/>
      <c r="M26" s="41" t="s">
        <v>2148</v>
      </c>
      <c r="N26" s="307">
        <v>25.0</v>
      </c>
      <c r="O26" s="41"/>
      <c r="P26" s="41" t="s">
        <v>2574</v>
      </c>
      <c r="Q26" s="307">
        <v>25.0</v>
      </c>
      <c r="R26" s="41"/>
      <c r="S26" s="41" t="s">
        <v>2348</v>
      </c>
      <c r="T26" s="307">
        <v>25.0</v>
      </c>
      <c r="U26" s="41"/>
      <c r="V26" s="41" t="s">
        <v>2129</v>
      </c>
      <c r="W26" s="307">
        <v>25.0</v>
      </c>
      <c r="X26" s="41"/>
      <c r="Y26" s="682" t="s">
        <v>2348</v>
      </c>
      <c r="Z26" s="307">
        <v>25.0</v>
      </c>
      <c r="AA26" s="41"/>
      <c r="AB26" s="683" t="s">
        <v>2148</v>
      </c>
      <c r="AC26" s="307">
        <v>25.0</v>
      </c>
      <c r="AD26" s="79"/>
      <c r="AE26" s="690" t="s">
        <v>2148</v>
      </c>
      <c r="AF26" s="307">
        <v>25.0</v>
      </c>
      <c r="AH26" s="687" t="s">
        <v>2076</v>
      </c>
      <c r="AI26" s="307">
        <v>25.0</v>
      </c>
      <c r="AK26" s="687" t="s">
        <v>2129</v>
      </c>
      <c r="AL26" s="307">
        <v>25.0</v>
      </c>
      <c r="AN26" s="687" t="s">
        <v>2129</v>
      </c>
      <c r="AO26" s="307">
        <v>25.0</v>
      </c>
      <c r="AQ26" s="687" t="s">
        <v>2129</v>
      </c>
      <c r="AR26" s="307">
        <v>25.0</v>
      </c>
      <c r="AT26" s="687" t="s">
        <v>1015</v>
      </c>
      <c r="AU26" s="307">
        <v>25.0</v>
      </c>
      <c r="AW26" s="687" t="s">
        <v>1015</v>
      </c>
      <c r="AX26" s="307">
        <v>25.0</v>
      </c>
      <c r="AZ26" s="687" t="s">
        <v>1015</v>
      </c>
      <c r="BA26" s="307">
        <v>25.0</v>
      </c>
      <c r="BC26" s="691" t="s">
        <v>1015</v>
      </c>
      <c r="BD26" s="307">
        <v>25.0</v>
      </c>
      <c r="BF26" s="687" t="s">
        <v>2148</v>
      </c>
      <c r="BG26" s="145">
        <v>25.0</v>
      </c>
      <c r="BI26" s="688" t="s">
        <v>2129</v>
      </c>
      <c r="BJ26" s="145">
        <v>25.0</v>
      </c>
      <c r="BL26" s="692" t="s">
        <v>2573</v>
      </c>
      <c r="BM26" s="216">
        <v>25.0</v>
      </c>
    </row>
    <row r="27">
      <c r="A27" s="41" t="s">
        <v>2575</v>
      </c>
      <c r="B27" s="307">
        <v>26.0</v>
      </c>
      <c r="C27" s="41"/>
      <c r="D27" s="41" t="s">
        <v>2574</v>
      </c>
      <c r="E27" s="307">
        <v>26.0</v>
      </c>
      <c r="F27" s="41"/>
      <c r="G27" s="41" t="s">
        <v>2573</v>
      </c>
      <c r="H27" s="307">
        <v>26.0</v>
      </c>
      <c r="I27" s="41"/>
      <c r="J27" s="41" t="s">
        <v>2148</v>
      </c>
      <c r="K27" s="307">
        <v>26.0</v>
      </c>
      <c r="L27" s="41"/>
      <c r="M27" s="41" t="s">
        <v>2572</v>
      </c>
      <c r="N27" s="307">
        <v>26.0</v>
      </c>
      <c r="O27" s="41"/>
      <c r="P27" s="41" t="s">
        <v>2148</v>
      </c>
      <c r="Q27" s="307">
        <v>26.0</v>
      </c>
      <c r="R27" s="41"/>
      <c r="S27" s="41" t="s">
        <v>2148</v>
      </c>
      <c r="T27" s="307">
        <v>26.0</v>
      </c>
      <c r="U27" s="41"/>
      <c r="V27" s="41" t="s">
        <v>1015</v>
      </c>
      <c r="W27" s="307">
        <v>26.0</v>
      </c>
      <c r="X27" s="41"/>
      <c r="Y27" s="682" t="s">
        <v>2129</v>
      </c>
      <c r="Z27" s="307">
        <v>26.0</v>
      </c>
      <c r="AA27" s="41"/>
      <c r="AB27" s="683" t="s">
        <v>2129</v>
      </c>
      <c r="AC27" s="307">
        <v>26.0</v>
      </c>
      <c r="AD27" s="79"/>
      <c r="AE27" s="690" t="s">
        <v>2129</v>
      </c>
      <c r="AF27" s="307">
        <v>26.0</v>
      </c>
      <c r="AH27" s="687" t="s">
        <v>1015</v>
      </c>
      <c r="AI27" s="307">
        <v>26.0</v>
      </c>
      <c r="AK27" s="687" t="s">
        <v>1231</v>
      </c>
      <c r="AL27" s="307">
        <v>26.0</v>
      </c>
      <c r="AN27" s="687" t="s">
        <v>2064</v>
      </c>
      <c r="AO27" s="307">
        <v>26.0</v>
      </c>
      <c r="AQ27" s="687" t="s">
        <v>2574</v>
      </c>
      <c r="AR27" s="307">
        <v>26.0</v>
      </c>
      <c r="AT27" s="687" t="s">
        <v>2129</v>
      </c>
      <c r="AU27" s="307">
        <v>26.0</v>
      </c>
      <c r="AW27" s="687" t="s">
        <v>2129</v>
      </c>
      <c r="AX27" s="307">
        <v>26.0</v>
      </c>
      <c r="AZ27" s="687" t="s">
        <v>2129</v>
      </c>
      <c r="BA27" s="307">
        <v>26.0</v>
      </c>
      <c r="BC27" s="691" t="s">
        <v>2129</v>
      </c>
      <c r="BD27" s="307">
        <v>26.0</v>
      </c>
      <c r="BF27" s="687" t="s">
        <v>2129</v>
      </c>
      <c r="BG27" s="145">
        <v>26.0</v>
      </c>
      <c r="BI27" s="688" t="s">
        <v>298</v>
      </c>
      <c r="BJ27" s="145">
        <v>26.0</v>
      </c>
      <c r="BL27" s="692" t="s">
        <v>2564</v>
      </c>
      <c r="BM27" s="216">
        <v>26.0</v>
      </c>
    </row>
    <row r="28">
      <c r="A28" s="41" t="s">
        <v>2129</v>
      </c>
      <c r="B28" s="307">
        <v>27.0</v>
      </c>
      <c r="C28" s="41"/>
      <c r="D28" s="41" t="s">
        <v>2064</v>
      </c>
      <c r="E28" s="307">
        <v>27.0</v>
      </c>
      <c r="F28" s="41"/>
      <c r="G28" s="41" t="s">
        <v>2140</v>
      </c>
      <c r="H28" s="307">
        <v>27.0</v>
      </c>
      <c r="I28" s="41"/>
      <c r="J28" s="41" t="s">
        <v>2572</v>
      </c>
      <c r="K28" s="307">
        <v>27.0</v>
      </c>
      <c r="L28" s="41"/>
      <c r="M28" s="41" t="s">
        <v>2076</v>
      </c>
      <c r="N28" s="307">
        <v>27.0</v>
      </c>
      <c r="O28" s="41"/>
      <c r="P28" s="41" t="s">
        <v>2572</v>
      </c>
      <c r="Q28" s="307">
        <v>27.0</v>
      </c>
      <c r="R28" s="41"/>
      <c r="S28" s="41" t="s">
        <v>2076</v>
      </c>
      <c r="T28" s="307">
        <v>27.0</v>
      </c>
      <c r="U28" s="41"/>
      <c r="V28" s="41" t="s">
        <v>2370</v>
      </c>
      <c r="W28" s="307">
        <v>27.0</v>
      </c>
      <c r="X28" s="41"/>
      <c r="Y28" s="682" t="s">
        <v>1015</v>
      </c>
      <c r="Z28" s="307">
        <v>27.0</v>
      </c>
      <c r="AA28" s="41"/>
      <c r="AB28" s="683" t="s">
        <v>2076</v>
      </c>
      <c r="AC28" s="307">
        <v>27.0</v>
      </c>
      <c r="AD28" s="79"/>
      <c r="AE28" s="690" t="s">
        <v>2076</v>
      </c>
      <c r="AF28" s="307">
        <v>27.0</v>
      </c>
      <c r="AH28" s="687" t="s">
        <v>2068</v>
      </c>
      <c r="AI28" s="307">
        <v>27.0</v>
      </c>
      <c r="AK28" s="687" t="s">
        <v>2064</v>
      </c>
      <c r="AL28" s="307">
        <v>27.0</v>
      </c>
      <c r="AN28" s="687" t="s">
        <v>2265</v>
      </c>
      <c r="AO28" s="307">
        <v>27.0</v>
      </c>
      <c r="AQ28" s="687" t="s">
        <v>2064</v>
      </c>
      <c r="AR28" s="307">
        <v>27.0</v>
      </c>
      <c r="AT28" s="687" t="s">
        <v>2574</v>
      </c>
      <c r="AU28" s="307">
        <v>27.0</v>
      </c>
      <c r="AW28" s="687" t="s">
        <v>2574</v>
      </c>
      <c r="AX28" s="307">
        <v>27.0</v>
      </c>
      <c r="AZ28" s="687" t="s">
        <v>2574</v>
      </c>
      <c r="BA28" s="307">
        <v>27.0</v>
      </c>
      <c r="BC28" s="691" t="s">
        <v>2068</v>
      </c>
      <c r="BD28" s="307">
        <v>27.0</v>
      </c>
      <c r="BF28" s="687" t="s">
        <v>2068</v>
      </c>
      <c r="BG28" s="145">
        <v>27.0</v>
      </c>
      <c r="BI28" s="688" t="s">
        <v>2564</v>
      </c>
      <c r="BJ28" s="145">
        <v>27.0</v>
      </c>
      <c r="BL28" s="692" t="s">
        <v>2563</v>
      </c>
      <c r="BM28" s="216">
        <v>27.0</v>
      </c>
    </row>
    <row r="29">
      <c r="A29" s="41" t="s">
        <v>2072</v>
      </c>
      <c r="B29" s="307">
        <v>28.0</v>
      </c>
      <c r="C29" s="41"/>
      <c r="D29" s="41" t="s">
        <v>2575</v>
      </c>
      <c r="E29" s="307">
        <v>28.0</v>
      </c>
      <c r="F29" s="41"/>
      <c r="G29" s="41" t="s">
        <v>2574</v>
      </c>
      <c r="H29" s="307">
        <v>28.0</v>
      </c>
      <c r="I29" s="41"/>
      <c r="J29" s="41" t="s">
        <v>2056</v>
      </c>
      <c r="K29" s="307">
        <v>28.0</v>
      </c>
      <c r="L29" s="41"/>
      <c r="M29" s="41" t="s">
        <v>2056</v>
      </c>
      <c r="N29" s="307">
        <v>28.0</v>
      </c>
      <c r="O29" s="41"/>
      <c r="P29" s="41" t="s">
        <v>2076</v>
      </c>
      <c r="Q29" s="307">
        <v>28.0</v>
      </c>
      <c r="R29" s="41"/>
      <c r="S29" s="41" t="s">
        <v>2210</v>
      </c>
      <c r="T29" s="307">
        <v>28.0</v>
      </c>
      <c r="U29" s="41"/>
      <c r="V29" s="41" t="s">
        <v>2148</v>
      </c>
      <c r="W29" s="307">
        <v>28.0</v>
      </c>
      <c r="X29" s="41"/>
      <c r="Y29" s="682" t="s">
        <v>2148</v>
      </c>
      <c r="Z29" s="307">
        <v>28.0</v>
      </c>
      <c r="AA29" s="41"/>
      <c r="AB29" s="683" t="s">
        <v>2564</v>
      </c>
      <c r="AC29" s="307">
        <v>28.0</v>
      </c>
      <c r="AD29" s="79"/>
      <c r="AE29" s="690" t="s">
        <v>2068</v>
      </c>
      <c r="AF29" s="307">
        <v>28.0</v>
      </c>
      <c r="AH29" s="687" t="s">
        <v>2572</v>
      </c>
      <c r="AI29" s="307">
        <v>28.0</v>
      </c>
      <c r="AK29" s="687" t="s">
        <v>2265</v>
      </c>
      <c r="AL29" s="307">
        <v>28.0</v>
      </c>
      <c r="AN29" s="687" t="s">
        <v>2068</v>
      </c>
      <c r="AO29" s="307">
        <v>28.0</v>
      </c>
      <c r="AQ29" s="687" t="s">
        <v>2265</v>
      </c>
      <c r="AR29" s="307">
        <v>28.0</v>
      </c>
      <c r="AT29" s="687" t="s">
        <v>2064</v>
      </c>
      <c r="AU29" s="307">
        <v>28.0</v>
      </c>
      <c r="AW29" s="687" t="s">
        <v>2064</v>
      </c>
      <c r="AX29" s="307">
        <v>28.0</v>
      </c>
      <c r="AZ29" s="687" t="s">
        <v>2064</v>
      </c>
      <c r="BA29" s="307">
        <v>28.0</v>
      </c>
      <c r="BC29" s="691" t="s">
        <v>2574</v>
      </c>
      <c r="BD29" s="307">
        <v>28.0</v>
      </c>
      <c r="BF29" s="687" t="s">
        <v>2564</v>
      </c>
      <c r="BG29" s="145">
        <v>28.0</v>
      </c>
      <c r="BI29" s="688" t="s">
        <v>2576</v>
      </c>
      <c r="BJ29" s="145">
        <v>28.0</v>
      </c>
      <c r="BL29" s="692" t="s">
        <v>1015</v>
      </c>
      <c r="BM29" s="216">
        <v>28.0</v>
      </c>
    </row>
    <row r="30">
      <c r="A30" s="41" t="s">
        <v>2577</v>
      </c>
      <c r="B30" s="307">
        <v>29.0</v>
      </c>
      <c r="C30" s="41"/>
      <c r="D30" s="41" t="s">
        <v>2129</v>
      </c>
      <c r="E30" s="307">
        <v>29.0</v>
      </c>
      <c r="F30" s="41"/>
      <c r="G30" s="41" t="s">
        <v>2148</v>
      </c>
      <c r="H30" s="307">
        <v>29.0</v>
      </c>
      <c r="I30" s="41"/>
      <c r="J30" s="41" t="s">
        <v>2129</v>
      </c>
      <c r="K30" s="307">
        <v>29.0</v>
      </c>
      <c r="L30" s="41"/>
      <c r="M30" s="41" t="s">
        <v>2129</v>
      </c>
      <c r="N30" s="307">
        <v>29.0</v>
      </c>
      <c r="O30" s="41"/>
      <c r="P30" s="41" t="s">
        <v>2129</v>
      </c>
      <c r="Q30" s="307">
        <v>29.0</v>
      </c>
      <c r="R30" s="41"/>
      <c r="S30" s="41" t="s">
        <v>2129</v>
      </c>
      <c r="T30" s="307">
        <v>29.0</v>
      </c>
      <c r="U30" s="41"/>
      <c r="V30" s="41" t="s">
        <v>2076</v>
      </c>
      <c r="W30" s="307">
        <v>29.0</v>
      </c>
      <c r="X30" s="41"/>
      <c r="Y30" s="682" t="s">
        <v>2076</v>
      </c>
      <c r="Z30" s="307">
        <v>29.0</v>
      </c>
      <c r="AA30" s="41"/>
      <c r="AB30" s="683" t="s">
        <v>2068</v>
      </c>
      <c r="AC30" s="307">
        <v>29.0</v>
      </c>
      <c r="AD30" s="79"/>
      <c r="AE30" s="690" t="s">
        <v>2064</v>
      </c>
      <c r="AF30" s="307">
        <v>29.0</v>
      </c>
      <c r="AH30" s="687" t="s">
        <v>2210</v>
      </c>
      <c r="AI30" s="307">
        <v>29.0</v>
      </c>
      <c r="AK30" s="687" t="s">
        <v>2068</v>
      </c>
      <c r="AL30" s="307">
        <v>29.0</v>
      </c>
      <c r="AN30" s="687" t="s">
        <v>2572</v>
      </c>
      <c r="AO30" s="307">
        <v>29.0</v>
      </c>
      <c r="AQ30" s="687" t="s">
        <v>2572</v>
      </c>
      <c r="AR30" s="307">
        <v>29.0</v>
      </c>
      <c r="AT30" s="687" t="s">
        <v>2265</v>
      </c>
      <c r="AU30" s="307">
        <v>29.0</v>
      </c>
      <c r="AW30" s="687" t="s">
        <v>2265</v>
      </c>
      <c r="AX30" s="307">
        <v>29.0</v>
      </c>
      <c r="AZ30" s="687" t="s">
        <v>2265</v>
      </c>
      <c r="BA30" s="307">
        <v>29.0</v>
      </c>
      <c r="BC30" s="691" t="s">
        <v>2564</v>
      </c>
      <c r="BD30" s="307">
        <v>29.0</v>
      </c>
      <c r="BF30" s="687" t="s">
        <v>2064</v>
      </c>
      <c r="BG30" s="145">
        <v>29.0</v>
      </c>
      <c r="BI30" s="688" t="s">
        <v>1015</v>
      </c>
      <c r="BJ30" s="145">
        <v>29.0</v>
      </c>
      <c r="BL30" s="692" t="s">
        <v>2064</v>
      </c>
      <c r="BM30" s="216">
        <v>29.0</v>
      </c>
    </row>
    <row r="31">
      <c r="A31" s="41" t="s">
        <v>2574</v>
      </c>
      <c r="B31" s="307">
        <v>30.0</v>
      </c>
      <c r="C31" s="41"/>
      <c r="D31" s="41" t="s">
        <v>312</v>
      </c>
      <c r="E31" s="307">
        <v>30.0</v>
      </c>
      <c r="F31" s="41"/>
      <c r="G31" s="41" t="s">
        <v>2129</v>
      </c>
      <c r="H31" s="307">
        <v>30.0</v>
      </c>
      <c r="I31" s="41"/>
      <c r="J31" s="41" t="s">
        <v>2210</v>
      </c>
      <c r="K31" s="307">
        <v>30.0</v>
      </c>
      <c r="L31" s="41"/>
      <c r="M31" s="41" t="s">
        <v>2210</v>
      </c>
      <c r="N31" s="307">
        <v>30.0</v>
      </c>
      <c r="O31" s="41"/>
      <c r="P31" s="41" t="s">
        <v>2210</v>
      </c>
      <c r="Q31" s="307">
        <v>30.0</v>
      </c>
      <c r="R31" s="41"/>
      <c r="S31" s="41" t="s">
        <v>2572</v>
      </c>
      <c r="T31" s="307">
        <v>30.0</v>
      </c>
      <c r="U31" s="41"/>
      <c r="V31" s="41" t="s">
        <v>2210</v>
      </c>
      <c r="W31" s="307">
        <v>30.0</v>
      </c>
      <c r="X31" s="41"/>
      <c r="Y31" s="682" t="s">
        <v>2572</v>
      </c>
      <c r="Z31" s="307">
        <v>30.0</v>
      </c>
      <c r="AA31" s="41"/>
      <c r="AB31" s="683" t="s">
        <v>2064</v>
      </c>
      <c r="AC31" s="307">
        <v>30.0</v>
      </c>
      <c r="AD31" s="79"/>
      <c r="AE31" s="690" t="s">
        <v>1015</v>
      </c>
      <c r="AF31" s="307">
        <v>30.0</v>
      </c>
      <c r="AH31" s="687" t="s">
        <v>2265</v>
      </c>
      <c r="AI31" s="307">
        <v>30.0</v>
      </c>
      <c r="AK31" s="687" t="s">
        <v>2572</v>
      </c>
      <c r="AL31" s="307">
        <v>30.0</v>
      </c>
      <c r="AN31" s="687" t="s">
        <v>2210</v>
      </c>
      <c r="AO31" s="307">
        <v>30.0</v>
      </c>
      <c r="AQ31" s="687" t="s">
        <v>2210</v>
      </c>
      <c r="AR31" s="307">
        <v>30.0</v>
      </c>
      <c r="AT31" s="687" t="s">
        <v>2572</v>
      </c>
      <c r="AU31" s="307">
        <v>30.0</v>
      </c>
      <c r="AW31" s="687" t="s">
        <v>2572</v>
      </c>
      <c r="AX31" s="307">
        <v>30.0</v>
      </c>
      <c r="AZ31" s="687" t="s">
        <v>2572</v>
      </c>
      <c r="BA31" s="307">
        <v>30.0</v>
      </c>
      <c r="BC31" s="691" t="s">
        <v>2064</v>
      </c>
      <c r="BD31" s="307">
        <v>30.0</v>
      </c>
      <c r="BF31" s="687" t="s">
        <v>312</v>
      </c>
      <c r="BG31" s="145">
        <v>30.0</v>
      </c>
      <c r="BI31" s="688" t="s">
        <v>2573</v>
      </c>
      <c r="BJ31" s="145">
        <v>30.0</v>
      </c>
      <c r="BL31" s="692" t="s">
        <v>312</v>
      </c>
      <c r="BM31" s="216">
        <v>30.0</v>
      </c>
    </row>
    <row r="32">
      <c r="A32" s="41" t="s">
        <v>2148</v>
      </c>
      <c r="B32" s="307">
        <v>31.0</v>
      </c>
      <c r="C32" s="41"/>
      <c r="D32" s="41" t="s">
        <v>2325</v>
      </c>
      <c r="E32" s="307">
        <v>31.0</v>
      </c>
      <c r="F32" s="41"/>
      <c r="G32" s="41" t="s">
        <v>2210</v>
      </c>
      <c r="H32" s="307">
        <v>31.0</v>
      </c>
      <c r="I32" s="41"/>
      <c r="J32" s="41" t="s">
        <v>2578</v>
      </c>
      <c r="K32" s="307">
        <v>31.0</v>
      </c>
      <c r="L32" s="41"/>
      <c r="M32" s="41" t="s">
        <v>2578</v>
      </c>
      <c r="N32" s="307">
        <v>31.0</v>
      </c>
      <c r="O32" s="41"/>
      <c r="P32" s="41" t="s">
        <v>2578</v>
      </c>
      <c r="Q32" s="307">
        <v>31.0</v>
      </c>
      <c r="R32" s="41"/>
      <c r="S32" s="41" t="s">
        <v>307</v>
      </c>
      <c r="T32" s="307">
        <v>31.0</v>
      </c>
      <c r="U32" s="41"/>
      <c r="V32" s="41" t="s">
        <v>2572</v>
      </c>
      <c r="W32" s="307">
        <v>31.0</v>
      </c>
      <c r="X32" s="41"/>
      <c r="Y32" s="682" t="s">
        <v>2214</v>
      </c>
      <c r="Z32" s="307">
        <v>31.0</v>
      </c>
      <c r="AA32" s="41"/>
      <c r="AB32" s="683" t="s">
        <v>1015</v>
      </c>
      <c r="AC32" s="307">
        <v>31.0</v>
      </c>
      <c r="AD32" s="79"/>
      <c r="AE32" s="690" t="s">
        <v>2210</v>
      </c>
      <c r="AF32" s="307">
        <v>31.0</v>
      </c>
      <c r="AH32" s="687" t="s">
        <v>2571</v>
      </c>
      <c r="AI32" s="307">
        <v>31.0</v>
      </c>
      <c r="AK32" s="687" t="s">
        <v>2210</v>
      </c>
      <c r="AL32" s="307">
        <v>31.0</v>
      </c>
      <c r="AN32" s="687" t="s">
        <v>2568</v>
      </c>
      <c r="AO32" s="307">
        <v>31.0</v>
      </c>
      <c r="AQ32" s="687" t="s">
        <v>2568</v>
      </c>
      <c r="AR32" s="307">
        <v>31.0</v>
      </c>
      <c r="AT32" s="687" t="s">
        <v>2210</v>
      </c>
      <c r="AU32" s="307">
        <v>31.0</v>
      </c>
      <c r="AW32" s="687" t="s">
        <v>2210</v>
      </c>
      <c r="AX32" s="307">
        <v>31.0</v>
      </c>
      <c r="AZ32" s="687" t="s">
        <v>2210</v>
      </c>
      <c r="BA32" s="307">
        <v>31.0</v>
      </c>
      <c r="BC32" s="691" t="s">
        <v>312</v>
      </c>
      <c r="BD32" s="307">
        <v>31.0</v>
      </c>
      <c r="BF32" s="687" t="s">
        <v>2265</v>
      </c>
      <c r="BG32" s="145">
        <v>31.0</v>
      </c>
      <c r="BI32" s="688" t="s">
        <v>2064</v>
      </c>
      <c r="BJ32" s="145">
        <v>31.0</v>
      </c>
      <c r="BL32" s="692" t="s">
        <v>2565</v>
      </c>
      <c r="BM32" s="216">
        <v>31.0</v>
      </c>
    </row>
    <row r="33">
      <c r="A33" s="41" t="s">
        <v>2579</v>
      </c>
      <c r="B33" s="307">
        <v>32.0</v>
      </c>
      <c r="C33" s="41"/>
      <c r="D33" s="41" t="s">
        <v>1013</v>
      </c>
      <c r="E33" s="307">
        <v>32.0</v>
      </c>
      <c r="F33" s="41"/>
      <c r="G33" s="41" t="s">
        <v>2575</v>
      </c>
      <c r="H33" s="307">
        <v>32.0</v>
      </c>
      <c r="I33" s="41"/>
      <c r="J33" s="41" t="s">
        <v>312</v>
      </c>
      <c r="K33" s="307">
        <v>32.0</v>
      </c>
      <c r="L33" s="41"/>
      <c r="M33" s="41" t="s">
        <v>2068</v>
      </c>
      <c r="N33" s="307">
        <v>32.0</v>
      </c>
      <c r="O33" s="41"/>
      <c r="P33" s="41" t="s">
        <v>2575</v>
      </c>
      <c r="Q33" s="307">
        <v>32.0</v>
      </c>
      <c r="R33" s="41"/>
      <c r="S33" s="41" t="s">
        <v>2124</v>
      </c>
      <c r="T33" s="307">
        <v>32.0</v>
      </c>
      <c r="U33" s="41"/>
      <c r="V33" s="41" t="s">
        <v>2214</v>
      </c>
      <c r="W33" s="307">
        <v>32.0</v>
      </c>
      <c r="X33" s="41"/>
      <c r="Y33" s="682" t="s">
        <v>2210</v>
      </c>
      <c r="Z33" s="307">
        <v>32.0</v>
      </c>
      <c r="AA33" s="41"/>
      <c r="AB33" s="683" t="s">
        <v>2210</v>
      </c>
      <c r="AC33" s="307">
        <v>32.0</v>
      </c>
      <c r="AD33" s="79"/>
      <c r="AE33" s="690" t="s">
        <v>307</v>
      </c>
      <c r="AF33" s="307">
        <v>32.0</v>
      </c>
      <c r="AH33" s="687" t="s">
        <v>2564</v>
      </c>
      <c r="AI33" s="307">
        <v>32.0</v>
      </c>
      <c r="AK33" s="687" t="s">
        <v>2568</v>
      </c>
      <c r="AL33" s="307">
        <v>32.0</v>
      </c>
      <c r="AN33" s="687" t="s">
        <v>2571</v>
      </c>
      <c r="AO33" s="307">
        <v>32.0</v>
      </c>
      <c r="AQ33" s="687" t="s">
        <v>2580</v>
      </c>
      <c r="AR33" s="307">
        <v>32.0</v>
      </c>
      <c r="AT33" s="687" t="s">
        <v>2580</v>
      </c>
      <c r="AU33" s="307">
        <v>32.0</v>
      </c>
      <c r="AW33" s="687" t="s">
        <v>2580</v>
      </c>
      <c r="AX33" s="307">
        <v>32.0</v>
      </c>
      <c r="AZ33" s="687" t="s">
        <v>2580</v>
      </c>
      <c r="BA33" s="307">
        <v>32.0</v>
      </c>
      <c r="BC33" s="691" t="s">
        <v>2265</v>
      </c>
      <c r="BD33" s="307">
        <v>32.0</v>
      </c>
      <c r="BF33" s="687" t="s">
        <v>2576</v>
      </c>
      <c r="BG33" s="145">
        <v>32.0</v>
      </c>
      <c r="BI33" s="688" t="s">
        <v>312</v>
      </c>
      <c r="BJ33" s="145">
        <v>32.0</v>
      </c>
      <c r="BL33" s="692" t="s">
        <v>2105</v>
      </c>
      <c r="BM33" s="216">
        <v>32.0</v>
      </c>
    </row>
    <row r="34">
      <c r="A34" s="41" t="s">
        <v>2578</v>
      </c>
      <c r="B34" s="307">
        <v>33.0</v>
      </c>
      <c r="C34" s="41"/>
      <c r="D34" s="41" t="s">
        <v>1015</v>
      </c>
      <c r="E34" s="307">
        <v>33.0</v>
      </c>
      <c r="F34" s="41"/>
      <c r="G34" s="41" t="s">
        <v>312</v>
      </c>
      <c r="H34" s="307">
        <v>33.0</v>
      </c>
      <c r="I34" s="41"/>
      <c r="J34" s="41" t="s">
        <v>2575</v>
      </c>
      <c r="K34" s="307">
        <v>33.0</v>
      </c>
      <c r="L34" s="41"/>
      <c r="M34" s="41" t="s">
        <v>312</v>
      </c>
      <c r="N34" s="307">
        <v>33.0</v>
      </c>
      <c r="O34" s="41"/>
      <c r="P34" s="41" t="s">
        <v>2068</v>
      </c>
      <c r="Q34" s="307">
        <v>33.0</v>
      </c>
      <c r="R34" s="41"/>
      <c r="S34" s="41" t="s">
        <v>2575</v>
      </c>
      <c r="T34" s="307">
        <v>33.0</v>
      </c>
      <c r="U34" s="41"/>
      <c r="V34" s="41" t="s">
        <v>322</v>
      </c>
      <c r="W34" s="307">
        <v>33.0</v>
      </c>
      <c r="X34" s="41"/>
      <c r="Y34" s="682" t="s">
        <v>2370</v>
      </c>
      <c r="Z34" s="307">
        <v>33.0</v>
      </c>
      <c r="AA34" s="41"/>
      <c r="AB34" s="683" t="s">
        <v>307</v>
      </c>
      <c r="AC34" s="307">
        <v>33.0</v>
      </c>
      <c r="AD34" s="79"/>
      <c r="AE34" s="690" t="s">
        <v>2265</v>
      </c>
      <c r="AF34" s="307">
        <v>33.0</v>
      </c>
      <c r="AH34" s="687" t="s">
        <v>2568</v>
      </c>
      <c r="AI34" s="307">
        <v>33.0</v>
      </c>
      <c r="AK34" s="687" t="s">
        <v>2571</v>
      </c>
      <c r="AL34" s="307">
        <v>33.0</v>
      </c>
      <c r="AN34" s="687" t="s">
        <v>2580</v>
      </c>
      <c r="AO34" s="307">
        <v>33.0</v>
      </c>
      <c r="AQ34" s="687" t="s">
        <v>1231</v>
      </c>
      <c r="AR34" s="307">
        <v>33.0</v>
      </c>
      <c r="AT34" s="687" t="s">
        <v>312</v>
      </c>
      <c r="AU34" s="307">
        <v>33.0</v>
      </c>
      <c r="AW34" s="687" t="s">
        <v>312</v>
      </c>
      <c r="AX34" s="307">
        <v>33.0</v>
      </c>
      <c r="AZ34" s="687" t="s">
        <v>312</v>
      </c>
      <c r="BA34" s="307">
        <v>33.0</v>
      </c>
      <c r="BC34" s="691" t="s">
        <v>2210</v>
      </c>
      <c r="BD34" s="307">
        <v>33.0</v>
      </c>
      <c r="BF34" s="687" t="s">
        <v>2574</v>
      </c>
      <c r="BG34" s="145">
        <v>33.0</v>
      </c>
      <c r="BI34" s="688" t="s">
        <v>2562</v>
      </c>
      <c r="BJ34" s="145">
        <v>33.0</v>
      </c>
      <c r="BL34" s="692" t="s">
        <v>2214</v>
      </c>
      <c r="BM34" s="216">
        <v>33.0</v>
      </c>
    </row>
    <row r="35">
      <c r="A35" s="41" t="s">
        <v>1015</v>
      </c>
      <c r="B35" s="307">
        <v>34.0</v>
      </c>
      <c r="C35" s="41"/>
      <c r="D35" s="41" t="s">
        <v>2148</v>
      </c>
      <c r="E35" s="307">
        <v>34.0</v>
      </c>
      <c r="F35" s="41"/>
      <c r="G35" s="41" t="s">
        <v>2578</v>
      </c>
      <c r="H35" s="307">
        <v>34.0</v>
      </c>
      <c r="I35" s="41"/>
      <c r="J35" s="41" t="s">
        <v>1015</v>
      </c>
      <c r="K35" s="307">
        <v>34.0</v>
      </c>
      <c r="L35" s="41"/>
      <c r="M35" s="41" t="s">
        <v>1015</v>
      </c>
      <c r="N35" s="307">
        <v>34.0</v>
      </c>
      <c r="O35" s="41"/>
      <c r="P35" s="41" t="s">
        <v>302</v>
      </c>
      <c r="Q35" s="307">
        <v>34.0</v>
      </c>
      <c r="R35" s="41"/>
      <c r="S35" s="41" t="s">
        <v>312</v>
      </c>
      <c r="T35" s="307">
        <v>34.0</v>
      </c>
      <c r="U35" s="41"/>
      <c r="V35" s="41" t="s">
        <v>307</v>
      </c>
      <c r="W35" s="307">
        <v>34.0</v>
      </c>
      <c r="X35" s="41"/>
      <c r="Y35" s="682" t="s">
        <v>307</v>
      </c>
      <c r="Z35" s="307">
        <v>34.0</v>
      </c>
      <c r="AA35" s="41"/>
      <c r="AB35" s="683" t="s">
        <v>2265</v>
      </c>
      <c r="AC35" s="307">
        <v>34.0</v>
      </c>
      <c r="AD35" s="79"/>
      <c r="AE35" s="690" t="s">
        <v>2564</v>
      </c>
      <c r="AF35" s="307">
        <v>34.0</v>
      </c>
      <c r="AH35" s="687" t="s">
        <v>307</v>
      </c>
      <c r="AI35" s="307">
        <v>34.0</v>
      </c>
      <c r="AK35" s="687" t="s">
        <v>2580</v>
      </c>
      <c r="AL35" s="307">
        <v>34.0</v>
      </c>
      <c r="AN35" s="687" t="s">
        <v>1231</v>
      </c>
      <c r="AO35" s="307">
        <v>34.0</v>
      </c>
      <c r="AQ35" s="687" t="s">
        <v>2571</v>
      </c>
      <c r="AR35" s="307">
        <v>34.0</v>
      </c>
      <c r="AT35" s="687" t="s">
        <v>1231</v>
      </c>
      <c r="AU35" s="307">
        <v>34.0</v>
      </c>
      <c r="AW35" s="687" t="s">
        <v>1231</v>
      </c>
      <c r="AX35" s="307">
        <v>34.0</v>
      </c>
      <c r="AZ35" s="687" t="s">
        <v>1231</v>
      </c>
      <c r="BA35" s="307">
        <v>34.0</v>
      </c>
      <c r="BC35" s="691" t="s">
        <v>2580</v>
      </c>
      <c r="BD35" s="307">
        <v>34.0</v>
      </c>
      <c r="BF35" s="687" t="s">
        <v>2580</v>
      </c>
      <c r="BG35" s="145">
        <v>34.0</v>
      </c>
      <c r="BI35" s="688" t="s">
        <v>2119</v>
      </c>
      <c r="BJ35" s="145">
        <v>34.0</v>
      </c>
      <c r="BL35" s="692" t="s">
        <v>2119</v>
      </c>
      <c r="BM35" s="216">
        <v>34.0</v>
      </c>
    </row>
    <row r="36">
      <c r="A36" s="41" t="s">
        <v>1013</v>
      </c>
      <c r="B36" s="307">
        <v>35.0</v>
      </c>
      <c r="C36" s="41"/>
      <c r="D36" s="41" t="s">
        <v>2140</v>
      </c>
      <c r="E36" s="307">
        <v>35.0</v>
      </c>
      <c r="F36" s="41"/>
      <c r="G36" s="41" t="s">
        <v>1015</v>
      </c>
      <c r="H36" s="307">
        <v>35.0</v>
      </c>
      <c r="I36" s="41"/>
      <c r="J36" s="41" t="s">
        <v>2370</v>
      </c>
      <c r="K36" s="307">
        <v>35.0</v>
      </c>
      <c r="L36" s="41"/>
      <c r="M36" s="41" t="s">
        <v>2370</v>
      </c>
      <c r="N36" s="307">
        <v>35.0</v>
      </c>
      <c r="O36" s="41"/>
      <c r="P36" s="41" t="s">
        <v>312</v>
      </c>
      <c r="Q36" s="307">
        <v>35.0</v>
      </c>
      <c r="R36" s="41"/>
      <c r="S36" s="41" t="s">
        <v>2068</v>
      </c>
      <c r="T36" s="307">
        <v>35.0</v>
      </c>
      <c r="U36" s="41"/>
      <c r="V36" s="41" t="s">
        <v>2564</v>
      </c>
      <c r="W36" s="307">
        <v>35.0</v>
      </c>
      <c r="X36" s="41"/>
      <c r="Y36" s="682" t="s">
        <v>2564</v>
      </c>
      <c r="Z36" s="307">
        <v>35.0</v>
      </c>
      <c r="AA36" s="41"/>
      <c r="AB36" s="683" t="s">
        <v>2370</v>
      </c>
      <c r="AC36" s="307">
        <v>35.0</v>
      </c>
      <c r="AD36" s="79"/>
      <c r="AE36" s="690" t="s">
        <v>2370</v>
      </c>
      <c r="AF36" s="307">
        <v>35.0</v>
      </c>
      <c r="AH36" s="687" t="s">
        <v>2580</v>
      </c>
      <c r="AI36" s="307">
        <v>35.0</v>
      </c>
      <c r="AK36" s="687" t="s">
        <v>2564</v>
      </c>
      <c r="AL36" s="307">
        <v>35.0</v>
      </c>
      <c r="AN36" s="687" t="s">
        <v>2564</v>
      </c>
      <c r="AO36" s="307">
        <v>35.0</v>
      </c>
      <c r="AQ36" s="687" t="s">
        <v>2564</v>
      </c>
      <c r="AR36" s="307">
        <v>35.0</v>
      </c>
      <c r="AT36" s="687" t="s">
        <v>2571</v>
      </c>
      <c r="AU36" s="307">
        <v>35.0</v>
      </c>
      <c r="AW36" s="687" t="s">
        <v>2571</v>
      </c>
      <c r="AX36" s="307">
        <v>35.0</v>
      </c>
      <c r="AZ36" s="687" t="s">
        <v>298</v>
      </c>
      <c r="BA36" s="307">
        <v>35.0</v>
      </c>
      <c r="BC36" s="691" t="s">
        <v>298</v>
      </c>
      <c r="BD36" s="307">
        <v>35.0</v>
      </c>
      <c r="BF36" s="687" t="s">
        <v>298</v>
      </c>
      <c r="BG36" s="145">
        <v>35.0</v>
      </c>
      <c r="BI36" s="688" t="s">
        <v>1013</v>
      </c>
      <c r="BJ36" s="145">
        <v>35.0</v>
      </c>
      <c r="BL36" s="692" t="s">
        <v>2562</v>
      </c>
      <c r="BM36" s="216">
        <v>35.0</v>
      </c>
    </row>
    <row r="37">
      <c r="A37" s="41" t="s">
        <v>2581</v>
      </c>
      <c r="B37" s="307">
        <v>36.0</v>
      </c>
      <c r="C37" s="41"/>
      <c r="D37" s="41" t="s">
        <v>2579</v>
      </c>
      <c r="E37" s="307">
        <v>36.0</v>
      </c>
      <c r="F37" s="41"/>
      <c r="G37" s="41" t="s">
        <v>2124</v>
      </c>
      <c r="H37" s="307">
        <v>36.0</v>
      </c>
      <c r="I37" s="41"/>
      <c r="J37" s="41" t="s">
        <v>2233</v>
      </c>
      <c r="K37" s="307">
        <v>36.0</v>
      </c>
      <c r="L37" s="41"/>
      <c r="M37" s="41" t="s">
        <v>2233</v>
      </c>
      <c r="N37" s="307">
        <v>36.0</v>
      </c>
      <c r="O37" s="41"/>
      <c r="P37" s="41" t="s">
        <v>298</v>
      </c>
      <c r="Q37" s="307">
        <v>36.0</v>
      </c>
      <c r="R37" s="41"/>
      <c r="S37" s="41" t="s">
        <v>2370</v>
      </c>
      <c r="T37" s="307">
        <v>36.0</v>
      </c>
      <c r="U37" s="41"/>
      <c r="V37" s="41" t="s">
        <v>312</v>
      </c>
      <c r="W37" s="307">
        <v>36.0</v>
      </c>
      <c r="X37" s="41"/>
      <c r="Y37" s="682" t="s">
        <v>2580</v>
      </c>
      <c r="Z37" s="307">
        <v>36.0</v>
      </c>
      <c r="AA37" s="41"/>
      <c r="AB37" s="683" t="s">
        <v>2568</v>
      </c>
      <c r="AC37" s="307">
        <v>36.0</v>
      </c>
      <c r="AD37" s="79"/>
      <c r="AE37" s="690" t="s">
        <v>2568</v>
      </c>
      <c r="AF37" s="307">
        <v>36.0</v>
      </c>
      <c r="AH37" s="687" t="s">
        <v>2370</v>
      </c>
      <c r="AI37" s="307">
        <v>36.0</v>
      </c>
      <c r="AK37" s="687" t="s">
        <v>2144</v>
      </c>
      <c r="AL37" s="307">
        <v>36.0</v>
      </c>
      <c r="AN37" s="687" t="s">
        <v>2144</v>
      </c>
      <c r="AO37" s="307">
        <v>36.0</v>
      </c>
      <c r="AQ37" s="687" t="s">
        <v>2144</v>
      </c>
      <c r="AR37" s="307">
        <v>36.0</v>
      </c>
      <c r="AT37" s="687" t="s">
        <v>298</v>
      </c>
      <c r="AU37" s="307">
        <v>36.0</v>
      </c>
      <c r="AW37" s="687" t="s">
        <v>298</v>
      </c>
      <c r="AX37" s="307">
        <v>36.0</v>
      </c>
      <c r="AZ37" s="687" t="s">
        <v>2068</v>
      </c>
      <c r="BA37" s="307">
        <v>36.0</v>
      </c>
      <c r="BC37" s="691" t="s">
        <v>302</v>
      </c>
      <c r="BD37" s="307">
        <v>36.0</v>
      </c>
      <c r="BF37" s="687" t="s">
        <v>302</v>
      </c>
      <c r="BG37" s="145">
        <v>36.0</v>
      </c>
      <c r="BI37" s="688" t="s">
        <v>2572</v>
      </c>
      <c r="BJ37" s="145">
        <v>36.0</v>
      </c>
      <c r="BL37" s="692" t="s">
        <v>2572</v>
      </c>
      <c r="BM37" s="216">
        <v>36.0</v>
      </c>
    </row>
    <row r="38">
      <c r="A38" s="41" t="s">
        <v>2582</v>
      </c>
      <c r="B38" s="307">
        <v>37.0</v>
      </c>
      <c r="C38" s="41"/>
      <c r="D38" s="41" t="s">
        <v>2578</v>
      </c>
      <c r="E38" s="307">
        <v>37.0</v>
      </c>
      <c r="F38" s="41"/>
      <c r="G38" s="41" t="s">
        <v>2579</v>
      </c>
      <c r="H38" s="307">
        <v>37.0</v>
      </c>
      <c r="I38" s="41"/>
      <c r="J38" s="41" t="s">
        <v>2573</v>
      </c>
      <c r="K38" s="307">
        <v>37.0</v>
      </c>
      <c r="L38" s="41"/>
      <c r="M38" s="41" t="s">
        <v>2144</v>
      </c>
      <c r="N38" s="307">
        <v>37.0</v>
      </c>
      <c r="O38" s="41"/>
      <c r="P38" s="41" t="s">
        <v>1015</v>
      </c>
      <c r="Q38" s="307">
        <v>37.0</v>
      </c>
      <c r="R38" s="41"/>
      <c r="S38" s="41" t="s">
        <v>302</v>
      </c>
      <c r="T38" s="307">
        <v>37.0</v>
      </c>
      <c r="U38" s="41"/>
      <c r="V38" s="41" t="s">
        <v>302</v>
      </c>
      <c r="W38" s="307">
        <v>37.0</v>
      </c>
      <c r="X38" s="41"/>
      <c r="Y38" s="698" t="s">
        <v>312</v>
      </c>
      <c r="Z38" s="307">
        <v>37.0</v>
      </c>
      <c r="AA38" s="41"/>
      <c r="AB38" s="683" t="s">
        <v>2574</v>
      </c>
      <c r="AC38" s="307">
        <v>37.0</v>
      </c>
      <c r="AD38" s="79"/>
      <c r="AE38" s="690" t="s">
        <v>2574</v>
      </c>
      <c r="AF38" s="307">
        <v>37.0</v>
      </c>
      <c r="AH38" s="687" t="s">
        <v>2144</v>
      </c>
      <c r="AI38" s="307">
        <v>37.0</v>
      </c>
      <c r="AK38" s="687" t="s">
        <v>2370</v>
      </c>
      <c r="AL38" s="307">
        <v>37.0</v>
      </c>
      <c r="AN38" s="687" t="s">
        <v>2370</v>
      </c>
      <c r="AO38" s="307">
        <v>37.0</v>
      </c>
      <c r="AQ38" s="687" t="s">
        <v>2119</v>
      </c>
      <c r="AR38" s="307">
        <v>37.0</v>
      </c>
      <c r="AT38" s="687" t="s">
        <v>302</v>
      </c>
      <c r="AU38" s="307">
        <v>37.0</v>
      </c>
      <c r="AW38" s="687" t="s">
        <v>302</v>
      </c>
      <c r="AX38" s="307">
        <v>37.0</v>
      </c>
      <c r="AZ38" s="687" t="s">
        <v>1013</v>
      </c>
      <c r="BA38" s="307">
        <v>37.0</v>
      </c>
      <c r="BC38" s="691" t="s">
        <v>2119</v>
      </c>
      <c r="BD38" s="307">
        <v>37.0</v>
      </c>
      <c r="BF38" s="687" t="s">
        <v>2210</v>
      </c>
      <c r="BG38" s="145">
        <v>37.0</v>
      </c>
      <c r="BI38" s="688" t="s">
        <v>2580</v>
      </c>
      <c r="BJ38" s="145">
        <v>37.0</v>
      </c>
      <c r="BL38" s="692" t="s">
        <v>2580</v>
      </c>
      <c r="BM38" s="216">
        <v>37.0</v>
      </c>
    </row>
    <row r="39">
      <c r="A39" s="41" t="s">
        <v>2144</v>
      </c>
      <c r="B39" s="307">
        <v>38.0</v>
      </c>
      <c r="C39" s="41"/>
      <c r="D39" s="41" t="s">
        <v>2370</v>
      </c>
      <c r="E39" s="307">
        <v>38.0</v>
      </c>
      <c r="F39" s="41"/>
      <c r="G39" s="41" t="s">
        <v>2370</v>
      </c>
      <c r="H39" s="307">
        <v>38.0</v>
      </c>
      <c r="I39" s="41"/>
      <c r="J39" s="41" t="s">
        <v>2124</v>
      </c>
      <c r="K39" s="307">
        <v>38.0</v>
      </c>
      <c r="L39" s="41"/>
      <c r="M39" s="41" t="s">
        <v>2575</v>
      </c>
      <c r="N39" s="307">
        <v>38.0</v>
      </c>
      <c r="O39" s="41"/>
      <c r="P39" s="41" t="s">
        <v>2370</v>
      </c>
      <c r="Q39" s="307">
        <v>38.0</v>
      </c>
      <c r="R39" s="41"/>
      <c r="S39" s="41" t="s">
        <v>298</v>
      </c>
      <c r="T39" s="307">
        <v>38.0</v>
      </c>
      <c r="U39" s="41"/>
      <c r="V39" s="41" t="s">
        <v>2080</v>
      </c>
      <c r="W39" s="307">
        <v>38.0</v>
      </c>
      <c r="X39" s="41"/>
      <c r="Y39" s="682" t="s">
        <v>2144</v>
      </c>
      <c r="Z39" s="307">
        <v>38.0</v>
      </c>
      <c r="AA39" s="41"/>
      <c r="AB39" s="699" t="s">
        <v>2214</v>
      </c>
      <c r="AC39" s="307">
        <v>38.0</v>
      </c>
      <c r="AD39" s="79"/>
      <c r="AE39" s="690" t="s">
        <v>2214</v>
      </c>
      <c r="AF39" s="307">
        <v>38.0</v>
      </c>
      <c r="AH39" s="687" t="s">
        <v>2574</v>
      </c>
      <c r="AI39" s="307">
        <v>38.0</v>
      </c>
      <c r="AK39" s="687" t="s">
        <v>302</v>
      </c>
      <c r="AL39" s="307">
        <v>38.0</v>
      </c>
      <c r="AN39" s="687" t="s">
        <v>302</v>
      </c>
      <c r="AO39" s="307">
        <v>38.0</v>
      </c>
      <c r="AQ39" s="687" t="s">
        <v>2097</v>
      </c>
      <c r="AR39" s="307">
        <v>38.0</v>
      </c>
      <c r="AT39" s="687" t="s">
        <v>2564</v>
      </c>
      <c r="AU39" s="307">
        <v>38.0</v>
      </c>
      <c r="AW39" s="687" t="s">
        <v>2564</v>
      </c>
      <c r="AX39" s="307">
        <v>38.0</v>
      </c>
      <c r="AZ39" s="687" t="s">
        <v>302</v>
      </c>
      <c r="BA39" s="307">
        <v>38.0</v>
      </c>
      <c r="BC39" s="691" t="s">
        <v>2583</v>
      </c>
      <c r="BD39" s="307">
        <v>38.0</v>
      </c>
      <c r="BF39" s="687" t="s">
        <v>2119</v>
      </c>
      <c r="BG39" s="145">
        <v>38.0</v>
      </c>
      <c r="BI39" s="688" t="s">
        <v>2097</v>
      </c>
      <c r="BJ39" s="145">
        <v>38.0</v>
      </c>
      <c r="BL39" s="692" t="s">
        <v>2307</v>
      </c>
      <c r="BM39" s="216">
        <v>38.0</v>
      </c>
    </row>
    <row r="40">
      <c r="A40" s="41" t="s">
        <v>2056</v>
      </c>
      <c r="B40" s="307">
        <v>39.0</v>
      </c>
      <c r="C40" s="41"/>
      <c r="D40" s="41" t="s">
        <v>2584</v>
      </c>
      <c r="E40" s="307">
        <v>39.0</v>
      </c>
      <c r="F40" s="41"/>
      <c r="G40" s="41" t="s">
        <v>2056</v>
      </c>
      <c r="H40" s="307">
        <v>39.0</v>
      </c>
      <c r="I40" s="41"/>
      <c r="J40" s="41" t="s">
        <v>2330</v>
      </c>
      <c r="K40" s="307">
        <v>39.0</v>
      </c>
      <c r="L40" s="41"/>
      <c r="M40" s="41" t="s">
        <v>2573</v>
      </c>
      <c r="N40" s="307">
        <v>39.0</v>
      </c>
      <c r="O40" s="41"/>
      <c r="P40" s="41" t="s">
        <v>2233</v>
      </c>
      <c r="Q40" s="307">
        <v>39.0</v>
      </c>
      <c r="R40" s="41"/>
      <c r="S40" s="41" t="s">
        <v>1015</v>
      </c>
      <c r="T40" s="307">
        <v>39.0</v>
      </c>
      <c r="U40" s="41"/>
      <c r="V40" s="41" t="s">
        <v>298</v>
      </c>
      <c r="W40" s="307">
        <v>39.0</v>
      </c>
      <c r="X40" s="41"/>
      <c r="Y40" s="682" t="s">
        <v>2080</v>
      </c>
      <c r="Z40" s="307">
        <v>39.0</v>
      </c>
      <c r="AA40" s="41"/>
      <c r="AB40" s="683" t="s">
        <v>2573</v>
      </c>
      <c r="AC40" s="307">
        <v>39.0</v>
      </c>
      <c r="AD40" s="79"/>
      <c r="AE40" s="690" t="s">
        <v>2573</v>
      </c>
      <c r="AF40" s="307">
        <v>39.0</v>
      </c>
      <c r="AH40" s="687" t="s">
        <v>2064</v>
      </c>
      <c r="AI40" s="307">
        <v>39.0</v>
      </c>
      <c r="AK40" s="687" t="s">
        <v>2119</v>
      </c>
      <c r="AL40" s="307">
        <v>39.0</v>
      </c>
      <c r="AN40" s="687" t="s">
        <v>2119</v>
      </c>
      <c r="AO40" s="307">
        <v>39.0</v>
      </c>
      <c r="AQ40" s="687" t="s">
        <v>312</v>
      </c>
      <c r="AR40" s="307">
        <v>39.0</v>
      </c>
      <c r="AT40" s="687" t="s">
        <v>2144</v>
      </c>
      <c r="AU40" s="307">
        <v>39.0</v>
      </c>
      <c r="AW40" s="687" t="s">
        <v>2144</v>
      </c>
      <c r="AX40" s="307">
        <v>39.0</v>
      </c>
      <c r="AZ40" s="687" t="s">
        <v>2564</v>
      </c>
      <c r="BA40" s="307">
        <v>39.0</v>
      </c>
      <c r="BC40" s="691" t="s">
        <v>2097</v>
      </c>
      <c r="BD40" s="307">
        <v>39.0</v>
      </c>
      <c r="BF40" s="687" t="s">
        <v>1013</v>
      </c>
      <c r="BG40" s="145">
        <v>39.0</v>
      </c>
      <c r="BI40" s="688" t="s">
        <v>2265</v>
      </c>
      <c r="BJ40" s="145">
        <v>39.0</v>
      </c>
      <c r="BL40" s="692" t="s">
        <v>2097</v>
      </c>
      <c r="BM40" s="216">
        <v>39.0</v>
      </c>
    </row>
    <row r="41">
      <c r="A41" s="41" t="s">
        <v>2370</v>
      </c>
      <c r="B41" s="307">
        <v>40.0</v>
      </c>
      <c r="C41" s="41"/>
      <c r="D41" s="41" t="s">
        <v>2056</v>
      </c>
      <c r="E41" s="307">
        <v>40.0</v>
      </c>
      <c r="F41" s="41"/>
      <c r="G41" s="41" t="s">
        <v>2572</v>
      </c>
      <c r="H41" s="307">
        <v>40.0</v>
      </c>
      <c r="I41" s="41"/>
      <c r="J41" s="41" t="s">
        <v>1228</v>
      </c>
      <c r="K41" s="307">
        <v>40.0</v>
      </c>
      <c r="L41" s="41"/>
      <c r="M41" s="41" t="s">
        <v>2124</v>
      </c>
      <c r="N41" s="307">
        <v>40.0</v>
      </c>
      <c r="O41" s="41"/>
      <c r="P41" s="41" t="s">
        <v>2144</v>
      </c>
      <c r="Q41" s="307">
        <v>40.0</v>
      </c>
      <c r="R41" s="41"/>
      <c r="S41" s="41" t="s">
        <v>2233</v>
      </c>
      <c r="T41" s="307">
        <v>40.0</v>
      </c>
      <c r="U41" s="41"/>
      <c r="V41" s="41" t="s">
        <v>2097</v>
      </c>
      <c r="W41" s="307">
        <v>40.0</v>
      </c>
      <c r="X41" s="41"/>
      <c r="Y41" s="682" t="s">
        <v>2265</v>
      </c>
      <c r="Z41" s="307">
        <v>40.0</v>
      </c>
      <c r="AA41" s="41"/>
      <c r="AB41" s="683" t="s">
        <v>2580</v>
      </c>
      <c r="AC41" s="307">
        <v>40.0</v>
      </c>
      <c r="AD41" s="79"/>
      <c r="AE41" s="690" t="s">
        <v>2580</v>
      </c>
      <c r="AF41" s="307">
        <v>40.0</v>
      </c>
      <c r="AH41" s="687" t="s">
        <v>302</v>
      </c>
      <c r="AI41" s="307">
        <v>40.0</v>
      </c>
      <c r="AK41" s="687" t="s">
        <v>2097</v>
      </c>
      <c r="AL41" s="307">
        <v>40.0</v>
      </c>
      <c r="AN41" s="687" t="s">
        <v>2097</v>
      </c>
      <c r="AO41" s="307">
        <v>40.0</v>
      </c>
      <c r="AQ41" s="687" t="s">
        <v>2370</v>
      </c>
      <c r="AR41" s="307">
        <v>40.0</v>
      </c>
      <c r="AT41" s="687" t="s">
        <v>2119</v>
      </c>
      <c r="AU41" s="307">
        <v>40.0</v>
      </c>
      <c r="AW41" s="687" t="s">
        <v>2119</v>
      </c>
      <c r="AX41" s="307">
        <v>40.0</v>
      </c>
      <c r="AZ41" s="687" t="s">
        <v>2119</v>
      </c>
      <c r="BA41" s="307">
        <v>40.0</v>
      </c>
      <c r="BC41" s="691" t="s">
        <v>2576</v>
      </c>
      <c r="BD41" s="307">
        <v>40.0</v>
      </c>
      <c r="BF41" s="687" t="s">
        <v>2583</v>
      </c>
      <c r="BG41" s="145">
        <v>40.0</v>
      </c>
      <c r="BI41" s="688" t="s">
        <v>2348</v>
      </c>
      <c r="BJ41" s="145">
        <v>40.0</v>
      </c>
      <c r="BL41" s="692" t="s">
        <v>2265</v>
      </c>
      <c r="BM41" s="216">
        <v>40.0</v>
      </c>
    </row>
    <row r="42">
      <c r="A42" s="41" t="s">
        <v>2584</v>
      </c>
      <c r="B42" s="307">
        <v>41.0</v>
      </c>
      <c r="C42" s="41"/>
      <c r="D42" s="41" t="s">
        <v>2577</v>
      </c>
      <c r="E42" s="307">
        <v>41.0</v>
      </c>
      <c r="F42" s="41"/>
      <c r="G42" s="41" t="s">
        <v>2325</v>
      </c>
      <c r="H42" s="307">
        <v>41.0</v>
      </c>
      <c r="I42" s="41"/>
      <c r="J42" s="41" t="s">
        <v>2144</v>
      </c>
      <c r="K42" s="307">
        <v>41.0</v>
      </c>
      <c r="L42" s="41"/>
      <c r="M42" s="41" t="s">
        <v>2330</v>
      </c>
      <c r="N42" s="307">
        <v>41.0</v>
      </c>
      <c r="O42" s="41"/>
      <c r="P42" s="41" t="s">
        <v>2124</v>
      </c>
      <c r="Q42" s="307">
        <v>41.0</v>
      </c>
      <c r="R42" s="41"/>
      <c r="S42" s="41" t="s">
        <v>2578</v>
      </c>
      <c r="T42" s="307">
        <v>41.0</v>
      </c>
      <c r="U42" s="41"/>
      <c r="V42" s="41" t="s">
        <v>2068</v>
      </c>
      <c r="W42" s="307">
        <v>41.0</v>
      </c>
      <c r="X42" s="41"/>
      <c r="Y42" s="682" t="s">
        <v>2097</v>
      </c>
      <c r="Z42" s="307">
        <v>41.0</v>
      </c>
      <c r="AA42" s="41"/>
      <c r="AB42" s="683" t="s">
        <v>2144</v>
      </c>
      <c r="AC42" s="307">
        <v>41.0</v>
      </c>
      <c r="AD42" s="79"/>
      <c r="AE42" s="690" t="s">
        <v>2144</v>
      </c>
      <c r="AF42" s="307">
        <v>41.0</v>
      </c>
      <c r="AH42" s="687" t="s">
        <v>2214</v>
      </c>
      <c r="AI42" s="307">
        <v>41.0</v>
      </c>
      <c r="AK42" s="687" t="s">
        <v>312</v>
      </c>
      <c r="AL42" s="307">
        <v>41.0</v>
      </c>
      <c r="AN42" s="687" t="s">
        <v>312</v>
      </c>
      <c r="AO42" s="307">
        <v>41.0</v>
      </c>
      <c r="AQ42" s="687" t="s">
        <v>298</v>
      </c>
      <c r="AR42" s="307">
        <v>41.0</v>
      </c>
      <c r="AT42" s="687" t="s">
        <v>2097</v>
      </c>
      <c r="AU42" s="307">
        <v>41.0</v>
      </c>
      <c r="AW42" s="687" t="s">
        <v>2097</v>
      </c>
      <c r="AX42" s="307">
        <v>41.0</v>
      </c>
      <c r="AZ42" s="687" t="s">
        <v>2097</v>
      </c>
      <c r="BA42" s="307">
        <v>41.0</v>
      </c>
      <c r="BC42" s="691" t="s">
        <v>307</v>
      </c>
      <c r="BD42" s="307">
        <v>41.0</v>
      </c>
      <c r="BF42" s="687" t="s">
        <v>2097</v>
      </c>
      <c r="BG42" s="145">
        <v>41.0</v>
      </c>
      <c r="BI42" s="688" t="s">
        <v>2574</v>
      </c>
      <c r="BJ42" s="145">
        <v>41.0</v>
      </c>
      <c r="BL42" s="692" t="s">
        <v>2305</v>
      </c>
      <c r="BM42" s="216">
        <v>41.0</v>
      </c>
    </row>
    <row r="43">
      <c r="A43" s="41" t="s">
        <v>2585</v>
      </c>
      <c r="B43" s="307">
        <v>42.0</v>
      </c>
      <c r="C43" s="41"/>
      <c r="D43" s="41" t="s">
        <v>2210</v>
      </c>
      <c r="E43" s="307">
        <v>42.0</v>
      </c>
      <c r="F43" s="41"/>
      <c r="G43" s="41" t="s">
        <v>2233</v>
      </c>
      <c r="H43" s="307">
        <v>42.0</v>
      </c>
      <c r="I43" s="41"/>
      <c r="J43" s="41" t="s">
        <v>2068</v>
      </c>
      <c r="K43" s="307">
        <v>42.0</v>
      </c>
      <c r="L43" s="41"/>
      <c r="M43" s="41" t="s">
        <v>1228</v>
      </c>
      <c r="N43" s="307">
        <v>42.0</v>
      </c>
      <c r="O43" s="41"/>
      <c r="P43" s="41" t="s">
        <v>2214</v>
      </c>
      <c r="Q43" s="307">
        <v>42.0</v>
      </c>
      <c r="R43" s="41"/>
      <c r="S43" s="41" t="s">
        <v>1087</v>
      </c>
      <c r="T43" s="307">
        <v>42.0</v>
      </c>
      <c r="U43" s="41"/>
      <c r="V43" s="41" t="s">
        <v>1087</v>
      </c>
      <c r="W43" s="307">
        <v>42.0</v>
      </c>
      <c r="X43" s="41"/>
      <c r="Y43" s="682" t="s">
        <v>302</v>
      </c>
      <c r="Z43" s="307">
        <v>42.0</v>
      </c>
      <c r="AA43" s="41"/>
      <c r="AB43" s="683" t="s">
        <v>2097</v>
      </c>
      <c r="AC43" s="307">
        <v>42.0</v>
      </c>
      <c r="AD43" s="79"/>
      <c r="AE43" s="690" t="s">
        <v>2097</v>
      </c>
      <c r="AF43" s="307">
        <v>42.0</v>
      </c>
      <c r="AH43" s="687" t="s">
        <v>2586</v>
      </c>
      <c r="AI43" s="307">
        <v>42.0</v>
      </c>
      <c r="AK43" s="687" t="s">
        <v>2574</v>
      </c>
      <c r="AL43" s="307">
        <v>42.0</v>
      </c>
      <c r="AN43" s="687" t="s">
        <v>2574</v>
      </c>
      <c r="AO43" s="307">
        <v>42.0</v>
      </c>
      <c r="AQ43" s="687" t="s">
        <v>2068</v>
      </c>
      <c r="AR43" s="307">
        <v>42.0</v>
      </c>
      <c r="AT43" s="687" t="s">
        <v>1013</v>
      </c>
      <c r="AU43" s="307">
        <v>42.0</v>
      </c>
      <c r="AW43" s="687" t="s">
        <v>1013</v>
      </c>
      <c r="AX43" s="307">
        <v>42.0</v>
      </c>
      <c r="AZ43" s="687" t="s">
        <v>2305</v>
      </c>
      <c r="BA43" s="307">
        <v>42.0</v>
      </c>
      <c r="BC43" s="691" t="s">
        <v>2572</v>
      </c>
      <c r="BD43" s="307">
        <v>42.0</v>
      </c>
      <c r="BF43" s="687" t="s">
        <v>307</v>
      </c>
      <c r="BG43" s="145">
        <v>42.0</v>
      </c>
      <c r="BI43" s="688" t="s">
        <v>2583</v>
      </c>
      <c r="BJ43" s="145">
        <v>42.0</v>
      </c>
      <c r="BL43" s="692" t="s">
        <v>2348</v>
      </c>
      <c r="BM43" s="216">
        <v>42.0</v>
      </c>
    </row>
    <row r="44">
      <c r="A44" s="41" t="s">
        <v>312</v>
      </c>
      <c r="B44" s="307">
        <v>43.0</v>
      </c>
      <c r="C44" s="41"/>
      <c r="D44" s="41" t="s">
        <v>2572</v>
      </c>
      <c r="E44" s="307">
        <v>43.0</v>
      </c>
      <c r="F44" s="41"/>
      <c r="G44" s="41" t="s">
        <v>2330</v>
      </c>
      <c r="H44" s="307">
        <v>43.0</v>
      </c>
      <c r="I44" s="41"/>
      <c r="J44" s="41" t="s">
        <v>2214</v>
      </c>
      <c r="K44" s="307">
        <v>43.0</v>
      </c>
      <c r="L44" s="41"/>
      <c r="M44" s="41" t="s">
        <v>2214</v>
      </c>
      <c r="N44" s="307">
        <v>43.0</v>
      </c>
      <c r="O44" s="41"/>
      <c r="P44" s="41" t="s">
        <v>2580</v>
      </c>
      <c r="Q44" s="307">
        <v>43.0</v>
      </c>
      <c r="R44" s="41"/>
      <c r="S44" s="41" t="s">
        <v>2214</v>
      </c>
      <c r="T44" s="307">
        <v>43.0</v>
      </c>
      <c r="U44" s="41"/>
      <c r="V44" s="41" t="s">
        <v>1011</v>
      </c>
      <c r="W44" s="307">
        <v>43.0</v>
      </c>
      <c r="X44" s="41"/>
      <c r="Y44" s="682" t="s">
        <v>298</v>
      </c>
      <c r="Z44" s="307">
        <v>43.0</v>
      </c>
      <c r="AA44" s="41"/>
      <c r="AB44" s="683" t="s">
        <v>2080</v>
      </c>
      <c r="AC44" s="307">
        <v>43.0</v>
      </c>
      <c r="AD44" s="79"/>
      <c r="AE44" s="690" t="s">
        <v>2080</v>
      </c>
      <c r="AF44" s="307">
        <v>43.0</v>
      </c>
      <c r="AH44" s="687" t="s">
        <v>2119</v>
      </c>
      <c r="AI44" s="307">
        <v>43.0</v>
      </c>
      <c r="AK44" s="687" t="s">
        <v>298</v>
      </c>
      <c r="AL44" s="307">
        <v>43.0</v>
      </c>
      <c r="AN44" s="687" t="s">
        <v>298</v>
      </c>
      <c r="AO44" s="307">
        <v>43.0</v>
      </c>
      <c r="AQ44" s="687" t="s">
        <v>302</v>
      </c>
      <c r="AR44" s="307">
        <v>43.0</v>
      </c>
      <c r="AT44" s="687" t="s">
        <v>2370</v>
      </c>
      <c r="AU44" s="307">
        <v>43.0</v>
      </c>
      <c r="AW44" s="687" t="s">
        <v>2068</v>
      </c>
      <c r="AX44" s="307">
        <v>43.0</v>
      </c>
      <c r="AZ44" s="687" t="s">
        <v>307</v>
      </c>
      <c r="BA44" s="307">
        <v>43.0</v>
      </c>
      <c r="BC44" s="691" t="s">
        <v>2571</v>
      </c>
      <c r="BD44" s="307">
        <v>43.0</v>
      </c>
      <c r="BF44" s="687" t="s">
        <v>2572</v>
      </c>
      <c r="BG44" s="145">
        <v>43.0</v>
      </c>
      <c r="BI44" s="688" t="s">
        <v>302</v>
      </c>
      <c r="BJ44" s="145">
        <v>43.0</v>
      </c>
      <c r="BL44" s="692" t="s">
        <v>2144</v>
      </c>
      <c r="BM44" s="216">
        <v>43.0</v>
      </c>
    </row>
    <row r="45">
      <c r="A45" s="41" t="s">
        <v>2202</v>
      </c>
      <c r="B45" s="307">
        <v>44.0</v>
      </c>
      <c r="C45" s="41"/>
      <c r="D45" s="41" t="s">
        <v>2585</v>
      </c>
      <c r="E45" s="307">
        <v>44.0</v>
      </c>
      <c r="F45" s="41"/>
      <c r="G45" s="41" t="s">
        <v>1228</v>
      </c>
      <c r="H45" s="307">
        <v>44.0</v>
      </c>
      <c r="I45" s="41"/>
      <c r="J45" s="41" t="s">
        <v>2325</v>
      </c>
      <c r="K45" s="307">
        <v>44.0</v>
      </c>
      <c r="L45" s="41"/>
      <c r="M45" s="41" t="s">
        <v>2580</v>
      </c>
      <c r="N45" s="307">
        <v>44.0</v>
      </c>
      <c r="O45" s="41"/>
      <c r="P45" s="41" t="s">
        <v>2568</v>
      </c>
      <c r="Q45" s="307">
        <v>44.0</v>
      </c>
      <c r="R45" s="41"/>
      <c r="S45" s="41" t="s">
        <v>322</v>
      </c>
      <c r="T45" s="307">
        <v>44.0</v>
      </c>
      <c r="U45" s="41"/>
      <c r="V45" s="41" t="s">
        <v>2265</v>
      </c>
      <c r="W45" s="307">
        <v>44.0</v>
      </c>
      <c r="X45" s="41"/>
      <c r="Y45" s="682" t="s">
        <v>2587</v>
      </c>
      <c r="Z45" s="307">
        <v>44.0</v>
      </c>
      <c r="AA45" s="41"/>
      <c r="AB45" s="683" t="s">
        <v>302</v>
      </c>
      <c r="AC45" s="307">
        <v>44.0</v>
      </c>
      <c r="AD45" s="79"/>
      <c r="AE45" s="690" t="s">
        <v>302</v>
      </c>
      <c r="AF45" s="307">
        <v>44.0</v>
      </c>
      <c r="AH45" s="687" t="s">
        <v>2097</v>
      </c>
      <c r="AI45" s="307">
        <v>44.0</v>
      </c>
      <c r="AK45" s="687" t="s">
        <v>2305</v>
      </c>
      <c r="AL45" s="307">
        <v>44.0</v>
      </c>
      <c r="AN45" s="687" t="s">
        <v>2305</v>
      </c>
      <c r="AO45" s="307">
        <v>44.0</v>
      </c>
      <c r="AQ45" s="687" t="s">
        <v>2305</v>
      </c>
      <c r="AR45" s="307">
        <v>44.0</v>
      </c>
      <c r="AT45" s="687" t="s">
        <v>2068</v>
      </c>
      <c r="AU45" s="307">
        <v>44.0</v>
      </c>
      <c r="AW45" s="687" t="s">
        <v>2305</v>
      </c>
      <c r="AX45" s="307">
        <v>44.0</v>
      </c>
      <c r="AZ45" s="687" t="s">
        <v>2571</v>
      </c>
      <c r="BA45" s="307">
        <v>44.0</v>
      </c>
      <c r="BC45" s="691" t="s">
        <v>1013</v>
      </c>
      <c r="BD45" s="307">
        <v>44.0</v>
      </c>
      <c r="BF45" s="687" t="s">
        <v>2105</v>
      </c>
      <c r="BG45" s="145">
        <v>44.0</v>
      </c>
      <c r="BI45" s="688" t="s">
        <v>2305</v>
      </c>
      <c r="BJ45" s="145">
        <v>44.0</v>
      </c>
      <c r="BL45" s="692" t="s">
        <v>2576</v>
      </c>
      <c r="BM45" s="216">
        <v>44.0</v>
      </c>
    </row>
    <row r="46">
      <c r="A46" s="41" t="s">
        <v>2140</v>
      </c>
      <c r="B46" s="307">
        <v>45.0</v>
      </c>
      <c r="C46" s="41"/>
      <c r="D46" s="41" t="s">
        <v>2124</v>
      </c>
      <c r="E46" s="307">
        <v>45.0</v>
      </c>
      <c r="F46" s="41"/>
      <c r="G46" s="41" t="s">
        <v>2576</v>
      </c>
      <c r="H46" s="307">
        <v>45.0</v>
      </c>
      <c r="I46" s="41"/>
      <c r="J46" s="41" t="s">
        <v>2105</v>
      </c>
      <c r="K46" s="307">
        <v>45.0</v>
      </c>
      <c r="L46" s="41"/>
      <c r="M46" s="41" t="s">
        <v>2325</v>
      </c>
      <c r="N46" s="307">
        <v>45.0</v>
      </c>
      <c r="O46" s="41"/>
      <c r="P46" s="41" t="s">
        <v>2105</v>
      </c>
      <c r="Q46" s="307">
        <v>45.0</v>
      </c>
      <c r="R46" s="41"/>
      <c r="S46" s="41" t="s">
        <v>1011</v>
      </c>
      <c r="T46" s="307">
        <v>45.0</v>
      </c>
      <c r="U46" s="41"/>
      <c r="V46" s="41" t="s">
        <v>2144</v>
      </c>
      <c r="W46" s="307">
        <v>45.0</v>
      </c>
      <c r="X46" s="41"/>
      <c r="Y46" s="682" t="s">
        <v>2068</v>
      </c>
      <c r="Z46" s="307">
        <v>45.0</v>
      </c>
      <c r="AA46" s="41"/>
      <c r="AB46" s="683" t="s">
        <v>298</v>
      </c>
      <c r="AC46" s="307">
        <v>45.0</v>
      </c>
      <c r="AD46" s="79"/>
      <c r="AE46" s="690" t="s">
        <v>298</v>
      </c>
      <c r="AF46" s="307">
        <v>45.0</v>
      </c>
      <c r="AH46" s="687" t="s">
        <v>298</v>
      </c>
      <c r="AI46" s="307">
        <v>45.0</v>
      </c>
      <c r="AK46" s="687" t="s">
        <v>2214</v>
      </c>
      <c r="AL46" s="307">
        <v>45.0</v>
      </c>
      <c r="AN46" s="687" t="s">
        <v>2105</v>
      </c>
      <c r="AO46" s="307">
        <v>45.0</v>
      </c>
      <c r="AQ46" s="687" t="s">
        <v>2588</v>
      </c>
      <c r="AR46" s="307">
        <v>45.0</v>
      </c>
      <c r="AT46" s="687" t="s">
        <v>2305</v>
      </c>
      <c r="AU46" s="307">
        <v>45.0</v>
      </c>
      <c r="AW46" s="687" t="s">
        <v>2583</v>
      </c>
      <c r="AX46" s="307">
        <v>45.0</v>
      </c>
      <c r="AZ46" s="687" t="s">
        <v>2583</v>
      </c>
      <c r="BA46" s="307">
        <v>45.0</v>
      </c>
      <c r="BC46" s="691" t="s">
        <v>2307</v>
      </c>
      <c r="BD46" s="307">
        <v>45.0</v>
      </c>
      <c r="BF46" s="687" t="s">
        <v>2571</v>
      </c>
      <c r="BG46" s="145">
        <v>45.0</v>
      </c>
      <c r="BI46" s="688" t="s">
        <v>307</v>
      </c>
      <c r="BJ46" s="145">
        <v>45.0</v>
      </c>
      <c r="BL46" s="692" t="s">
        <v>302</v>
      </c>
      <c r="BM46" s="216">
        <v>45.0</v>
      </c>
    </row>
    <row r="47">
      <c r="A47" s="41" t="s">
        <v>2572</v>
      </c>
      <c r="B47" s="307">
        <v>46.0</v>
      </c>
      <c r="C47" s="41"/>
      <c r="D47" s="41" t="s">
        <v>2144</v>
      </c>
      <c r="E47" s="307">
        <v>46.0</v>
      </c>
      <c r="F47" s="41"/>
      <c r="G47" s="41" t="s">
        <v>2144</v>
      </c>
      <c r="H47" s="307">
        <v>46.0</v>
      </c>
      <c r="I47" s="41"/>
      <c r="J47" s="41" t="s">
        <v>2580</v>
      </c>
      <c r="K47" s="307">
        <v>46.0</v>
      </c>
      <c r="L47" s="41"/>
      <c r="M47" s="41" t="s">
        <v>2105</v>
      </c>
      <c r="N47" s="307">
        <v>46.0</v>
      </c>
      <c r="O47" s="41"/>
      <c r="P47" s="41" t="s">
        <v>2330</v>
      </c>
      <c r="Q47" s="307">
        <v>46.0</v>
      </c>
      <c r="R47" s="41"/>
      <c r="S47" s="41" t="s">
        <v>2265</v>
      </c>
      <c r="T47" s="307">
        <v>46.0</v>
      </c>
      <c r="U47" s="41"/>
      <c r="V47" s="41" t="s">
        <v>2587</v>
      </c>
      <c r="W47" s="307">
        <v>46.0</v>
      </c>
      <c r="X47" s="41"/>
      <c r="Y47" s="682" t="s">
        <v>1011</v>
      </c>
      <c r="Z47" s="307">
        <v>46.0</v>
      </c>
      <c r="AA47" s="41"/>
      <c r="AB47" s="683" t="s">
        <v>2587</v>
      </c>
      <c r="AC47" s="307">
        <v>46.0</v>
      </c>
      <c r="AD47" s="79"/>
      <c r="AE47" s="690" t="s">
        <v>2587</v>
      </c>
      <c r="AF47" s="307">
        <v>46.0</v>
      </c>
      <c r="AH47" s="687" t="s">
        <v>2080</v>
      </c>
      <c r="AI47" s="307">
        <v>46.0</v>
      </c>
      <c r="AK47" s="687" t="s">
        <v>2105</v>
      </c>
      <c r="AL47" s="307">
        <v>46.0</v>
      </c>
      <c r="AN47" s="687" t="s">
        <v>307</v>
      </c>
      <c r="AO47" s="307">
        <v>46.0</v>
      </c>
      <c r="AQ47" s="687" t="s">
        <v>2105</v>
      </c>
      <c r="AR47" s="307">
        <v>46.0</v>
      </c>
      <c r="AT47" s="687" t="s">
        <v>2583</v>
      </c>
      <c r="AU47" s="307">
        <v>46.0</v>
      </c>
      <c r="AW47" s="687" t="s">
        <v>2588</v>
      </c>
      <c r="AX47" s="307">
        <v>46.0</v>
      </c>
      <c r="AZ47" s="687" t="s">
        <v>2588</v>
      </c>
      <c r="BA47" s="307">
        <v>46.0</v>
      </c>
      <c r="BC47" s="691" t="s">
        <v>1231</v>
      </c>
      <c r="BD47" s="307">
        <v>46.0</v>
      </c>
      <c r="BF47" s="687" t="s">
        <v>2307</v>
      </c>
      <c r="BG47" s="145">
        <v>46.0</v>
      </c>
      <c r="BI47" s="688" t="s">
        <v>2571</v>
      </c>
      <c r="BJ47" s="145">
        <v>46.0</v>
      </c>
      <c r="BL47" s="692" t="s">
        <v>307</v>
      </c>
      <c r="BM47" s="216">
        <v>46.0</v>
      </c>
    </row>
    <row r="48">
      <c r="A48" s="41" t="s">
        <v>2265</v>
      </c>
      <c r="B48" s="307">
        <v>47.0</v>
      </c>
      <c r="C48" s="41"/>
      <c r="D48" s="41" t="s">
        <v>2576</v>
      </c>
      <c r="E48" s="307">
        <v>47.0</v>
      </c>
      <c r="F48" s="41"/>
      <c r="G48" s="41" t="s">
        <v>2068</v>
      </c>
      <c r="H48" s="307">
        <v>47.0</v>
      </c>
      <c r="I48" s="41"/>
      <c r="J48" s="41" t="s">
        <v>2568</v>
      </c>
      <c r="K48" s="307">
        <v>47.0</v>
      </c>
      <c r="L48" s="41"/>
      <c r="M48" s="41" t="s">
        <v>1241</v>
      </c>
      <c r="N48" s="307">
        <v>47.0</v>
      </c>
      <c r="O48" s="41"/>
      <c r="P48" s="41" t="s">
        <v>2119</v>
      </c>
      <c r="Q48" s="307">
        <v>47.0</v>
      </c>
      <c r="R48" s="41"/>
      <c r="S48" s="41" t="s">
        <v>2580</v>
      </c>
      <c r="T48" s="307">
        <v>47.0</v>
      </c>
      <c r="U48" s="41"/>
      <c r="V48" s="41" t="s">
        <v>2233</v>
      </c>
      <c r="W48" s="307">
        <v>47.0</v>
      </c>
      <c r="X48" s="41"/>
      <c r="Y48" s="682" t="s">
        <v>2568</v>
      </c>
      <c r="Z48" s="307">
        <v>47.0</v>
      </c>
      <c r="AA48" s="41"/>
      <c r="AB48" s="683" t="s">
        <v>2589</v>
      </c>
      <c r="AC48" s="307">
        <v>47.0</v>
      </c>
      <c r="AD48" s="79"/>
      <c r="AE48" s="690" t="s">
        <v>2589</v>
      </c>
      <c r="AF48" s="307">
        <v>47.0</v>
      </c>
      <c r="AH48" s="687" t="s">
        <v>2115</v>
      </c>
      <c r="AI48" s="307">
        <v>47.0</v>
      </c>
      <c r="AK48" s="687" t="s">
        <v>307</v>
      </c>
      <c r="AL48" s="307">
        <v>47.0</v>
      </c>
      <c r="AN48" s="687" t="s">
        <v>2214</v>
      </c>
      <c r="AO48" s="307">
        <v>47.0</v>
      </c>
      <c r="AQ48" s="687" t="s">
        <v>307</v>
      </c>
      <c r="AR48" s="307">
        <v>47.0</v>
      </c>
      <c r="AT48" s="687" t="s">
        <v>2588</v>
      </c>
      <c r="AU48" s="307">
        <v>47.0</v>
      </c>
      <c r="AW48" s="687" t="s">
        <v>2105</v>
      </c>
      <c r="AX48" s="307">
        <v>47.0</v>
      </c>
      <c r="AZ48" s="687" t="s">
        <v>2576</v>
      </c>
      <c r="BA48" s="307">
        <v>47.0</v>
      </c>
      <c r="BC48" s="691" t="s">
        <v>2144</v>
      </c>
      <c r="BD48" s="307">
        <v>47.0</v>
      </c>
      <c r="BF48" s="687" t="s">
        <v>1231</v>
      </c>
      <c r="BG48" s="145">
        <v>47.0</v>
      </c>
      <c r="BI48" s="688" t="s">
        <v>2307</v>
      </c>
      <c r="BJ48" s="145">
        <v>47.0</v>
      </c>
      <c r="BL48" s="692" t="s">
        <v>2574</v>
      </c>
      <c r="BM48" s="216">
        <v>47.0</v>
      </c>
    </row>
    <row r="49">
      <c r="A49" s="41" t="s">
        <v>327</v>
      </c>
      <c r="B49" s="307">
        <v>48.0</v>
      </c>
      <c r="C49" s="41"/>
      <c r="D49" s="41" t="s">
        <v>2214</v>
      </c>
      <c r="E49" s="307">
        <v>48.0</v>
      </c>
      <c r="F49" s="41"/>
      <c r="G49" s="41" t="s">
        <v>2214</v>
      </c>
      <c r="H49" s="307">
        <v>48.0</v>
      </c>
      <c r="I49" s="41"/>
      <c r="J49" s="41" t="s">
        <v>2577</v>
      </c>
      <c r="K49" s="307">
        <v>48.0</v>
      </c>
      <c r="L49" s="41"/>
      <c r="M49" s="41" t="s">
        <v>2568</v>
      </c>
      <c r="N49" s="307">
        <v>48.0</v>
      </c>
      <c r="O49" s="41"/>
      <c r="P49" s="41" t="s">
        <v>2587</v>
      </c>
      <c r="Q49" s="307">
        <v>48.0</v>
      </c>
      <c r="R49" s="41"/>
      <c r="S49" s="41" t="s">
        <v>2144</v>
      </c>
      <c r="T49" s="307">
        <v>48.0</v>
      </c>
      <c r="U49" s="41"/>
      <c r="V49" s="41" t="s">
        <v>2568</v>
      </c>
      <c r="W49" s="307">
        <v>48.0</v>
      </c>
      <c r="X49" s="41"/>
      <c r="Y49" s="682" t="s">
        <v>2105</v>
      </c>
      <c r="Z49" s="307">
        <v>48.0</v>
      </c>
      <c r="AA49" s="41"/>
      <c r="AB49" s="683" t="s">
        <v>312</v>
      </c>
      <c r="AC49" s="307">
        <v>48.0</v>
      </c>
      <c r="AD49" s="79"/>
      <c r="AE49" s="690" t="s">
        <v>312</v>
      </c>
      <c r="AF49" s="307">
        <v>48.0</v>
      </c>
      <c r="AH49" s="687" t="s">
        <v>2573</v>
      </c>
      <c r="AI49" s="307">
        <v>48.0</v>
      </c>
      <c r="AK49" s="687" t="s">
        <v>2590</v>
      </c>
      <c r="AL49" s="307">
        <v>48.0</v>
      </c>
      <c r="AN49" s="687" t="s">
        <v>2588</v>
      </c>
      <c r="AO49" s="307">
        <v>48.0</v>
      </c>
      <c r="AQ49" s="687" t="s">
        <v>2214</v>
      </c>
      <c r="AR49" s="307">
        <v>48.0</v>
      </c>
      <c r="AT49" s="687" t="s">
        <v>2105</v>
      </c>
      <c r="AU49" s="307">
        <v>48.0</v>
      </c>
      <c r="AW49" s="687" t="s">
        <v>307</v>
      </c>
      <c r="AX49" s="307">
        <v>48.0</v>
      </c>
      <c r="AZ49" s="687" t="s">
        <v>2144</v>
      </c>
      <c r="BA49" s="307">
        <v>48.0</v>
      </c>
      <c r="BC49" s="691" t="s">
        <v>2590</v>
      </c>
      <c r="BD49" s="307">
        <v>48.0</v>
      </c>
      <c r="BF49" s="687" t="s">
        <v>2144</v>
      </c>
      <c r="BG49" s="145">
        <v>48.0</v>
      </c>
      <c r="BI49" s="688" t="s">
        <v>2214</v>
      </c>
      <c r="BJ49" s="145">
        <v>48.0</v>
      </c>
      <c r="BL49" s="692" t="s">
        <v>2571</v>
      </c>
      <c r="BM49" s="216">
        <v>48.0</v>
      </c>
    </row>
    <row r="50">
      <c r="A50" s="41" t="s">
        <v>2214</v>
      </c>
      <c r="B50" s="307">
        <v>49.0</v>
      </c>
      <c r="C50" s="41"/>
      <c r="D50" s="41" t="s">
        <v>1228</v>
      </c>
      <c r="E50" s="307">
        <v>49.0</v>
      </c>
      <c r="F50" s="41"/>
      <c r="G50" s="41" t="s">
        <v>2568</v>
      </c>
      <c r="H50" s="307">
        <v>49.0</v>
      </c>
      <c r="I50" s="41"/>
      <c r="J50" s="41" t="s">
        <v>2265</v>
      </c>
      <c r="K50" s="307">
        <v>49.0</v>
      </c>
      <c r="L50" s="41"/>
      <c r="M50" s="41" t="s">
        <v>2577</v>
      </c>
      <c r="N50" s="307">
        <v>49.0</v>
      </c>
      <c r="O50" s="41"/>
      <c r="P50" s="41" t="s">
        <v>1228</v>
      </c>
      <c r="Q50" s="307">
        <v>49.0</v>
      </c>
      <c r="R50" s="41"/>
      <c r="S50" s="41" t="s">
        <v>2568</v>
      </c>
      <c r="T50" s="307">
        <v>49.0</v>
      </c>
      <c r="U50" s="41"/>
      <c r="V50" s="41" t="s">
        <v>2580</v>
      </c>
      <c r="W50" s="307">
        <v>49.0</v>
      </c>
      <c r="X50" s="41"/>
      <c r="Y50" s="682" t="s">
        <v>2305</v>
      </c>
      <c r="Z50" s="307">
        <v>49.0</v>
      </c>
      <c r="AA50" s="41"/>
      <c r="AB50" s="683" t="s">
        <v>2586</v>
      </c>
      <c r="AC50" s="307">
        <v>49.0</v>
      </c>
      <c r="AD50" s="79"/>
      <c r="AE50" s="690" t="s">
        <v>2586</v>
      </c>
      <c r="AF50" s="307">
        <v>49.0</v>
      </c>
      <c r="AH50" s="687" t="s">
        <v>312</v>
      </c>
      <c r="AI50" s="307">
        <v>49.0</v>
      </c>
      <c r="AK50" s="687" t="s">
        <v>2080</v>
      </c>
      <c r="AL50" s="307">
        <v>49.0</v>
      </c>
      <c r="AN50" s="687" t="s">
        <v>1013</v>
      </c>
      <c r="AO50" s="307">
        <v>49.0</v>
      </c>
      <c r="AQ50" s="687" t="s">
        <v>1013</v>
      </c>
      <c r="AR50" s="307">
        <v>49.0</v>
      </c>
      <c r="AT50" s="687" t="s">
        <v>307</v>
      </c>
      <c r="AU50" s="307">
        <v>49.0</v>
      </c>
      <c r="AW50" s="687" t="s">
        <v>2214</v>
      </c>
      <c r="AX50" s="307">
        <v>49.0</v>
      </c>
      <c r="AZ50" s="687" t="s">
        <v>2590</v>
      </c>
      <c r="BA50" s="307">
        <v>49.0</v>
      </c>
      <c r="BC50" s="691" t="s">
        <v>2214</v>
      </c>
      <c r="BD50" s="307">
        <v>49.0</v>
      </c>
      <c r="BF50" s="687" t="s">
        <v>2573</v>
      </c>
      <c r="BG50" s="145">
        <v>49.0</v>
      </c>
      <c r="BI50" s="688" t="s">
        <v>1231</v>
      </c>
      <c r="BJ50" s="145">
        <v>49.0</v>
      </c>
      <c r="BL50" s="692" t="s">
        <v>2591</v>
      </c>
      <c r="BM50" s="216">
        <v>49.0</v>
      </c>
    </row>
    <row r="51">
      <c r="A51" s="41" t="s">
        <v>2592</v>
      </c>
      <c r="B51" s="307">
        <v>50.0</v>
      </c>
      <c r="C51" s="41"/>
      <c r="D51" s="41" t="s">
        <v>2330</v>
      </c>
      <c r="E51" s="307">
        <v>50.0</v>
      </c>
      <c r="F51" s="41"/>
      <c r="G51" s="41" t="s">
        <v>2080</v>
      </c>
      <c r="H51" s="307">
        <v>50.0</v>
      </c>
      <c r="I51" s="41"/>
      <c r="J51" s="41" t="s">
        <v>2080</v>
      </c>
      <c r="K51" s="307">
        <v>50.0</v>
      </c>
      <c r="L51" s="41"/>
      <c r="M51" s="41" t="s">
        <v>2265</v>
      </c>
      <c r="N51" s="307">
        <v>50.0</v>
      </c>
      <c r="O51" s="41"/>
      <c r="P51" s="41" t="s">
        <v>1821</v>
      </c>
      <c r="Q51" s="307">
        <v>50.0</v>
      </c>
      <c r="R51" s="41"/>
      <c r="S51" s="41" t="s">
        <v>2105</v>
      </c>
      <c r="T51" s="307">
        <v>50.0</v>
      </c>
      <c r="U51" s="41"/>
      <c r="V51" s="41" t="s">
        <v>2105</v>
      </c>
      <c r="W51" s="307">
        <v>50.0</v>
      </c>
      <c r="X51" s="41"/>
      <c r="Y51" s="682" t="s">
        <v>1087</v>
      </c>
      <c r="Z51" s="307">
        <v>50.0</v>
      </c>
      <c r="AA51" s="41"/>
      <c r="AB51" s="683" t="s">
        <v>1011</v>
      </c>
      <c r="AC51" s="307">
        <v>50.0</v>
      </c>
      <c r="AD51" s="79"/>
      <c r="AE51" s="690" t="s">
        <v>1011</v>
      </c>
      <c r="AF51" s="307">
        <v>50.0</v>
      </c>
      <c r="AH51" s="687" t="s">
        <v>1013</v>
      </c>
      <c r="AI51" s="307">
        <v>50.0</v>
      </c>
      <c r="AK51" s="687" t="s">
        <v>2586</v>
      </c>
      <c r="AL51" s="307">
        <v>50.0</v>
      </c>
      <c r="AN51" s="687" t="s">
        <v>2590</v>
      </c>
      <c r="AO51" s="307">
        <v>50.0</v>
      </c>
      <c r="AQ51" s="687" t="s">
        <v>2590</v>
      </c>
      <c r="AR51" s="307">
        <v>50.0</v>
      </c>
      <c r="AT51" s="687" t="s">
        <v>2214</v>
      </c>
      <c r="AU51" s="307">
        <v>50.0</v>
      </c>
      <c r="AW51" s="687" t="s">
        <v>2590</v>
      </c>
      <c r="AX51" s="307">
        <v>50.0</v>
      </c>
      <c r="AZ51" s="687" t="s">
        <v>2214</v>
      </c>
      <c r="BA51" s="307">
        <v>50.0</v>
      </c>
      <c r="BC51" s="691" t="s">
        <v>2305</v>
      </c>
      <c r="BD51" s="307">
        <v>50.0</v>
      </c>
      <c r="BF51" s="687" t="s">
        <v>2214</v>
      </c>
      <c r="BG51" s="145">
        <v>50.0</v>
      </c>
      <c r="BI51" s="688" t="s">
        <v>2144</v>
      </c>
      <c r="BJ51" s="145">
        <v>50.0</v>
      </c>
      <c r="BL51" s="692" t="s">
        <v>2593</v>
      </c>
      <c r="BM51" s="216">
        <v>50.0</v>
      </c>
    </row>
    <row r="52">
      <c r="A52" s="41" t="s">
        <v>2594</v>
      </c>
      <c r="B52" s="307">
        <v>51.0</v>
      </c>
      <c r="C52" s="41"/>
      <c r="D52" s="41" t="s">
        <v>2265</v>
      </c>
      <c r="E52" s="307">
        <v>51.0</v>
      </c>
      <c r="F52" s="41"/>
      <c r="G52" s="41" t="s">
        <v>1013</v>
      </c>
      <c r="H52" s="307">
        <v>51.0</v>
      </c>
      <c r="I52" s="41"/>
      <c r="J52" s="41" t="s">
        <v>2119</v>
      </c>
      <c r="K52" s="307">
        <v>51.0</v>
      </c>
      <c r="L52" s="41"/>
      <c r="M52" s="41" t="s">
        <v>2080</v>
      </c>
      <c r="N52" s="307">
        <v>51.0</v>
      </c>
      <c r="O52" s="41"/>
      <c r="P52" s="41" t="s">
        <v>2265</v>
      </c>
      <c r="Q52" s="307">
        <v>51.0</v>
      </c>
      <c r="R52" s="41"/>
      <c r="S52" s="41" t="s">
        <v>1019</v>
      </c>
      <c r="T52" s="307">
        <v>51.0</v>
      </c>
      <c r="U52" s="41"/>
      <c r="V52" s="41" t="s">
        <v>2267</v>
      </c>
      <c r="W52" s="307">
        <v>51.0</v>
      </c>
      <c r="X52" s="41"/>
      <c r="Y52" s="682" t="s">
        <v>1007</v>
      </c>
      <c r="Z52" s="307">
        <v>51.0</v>
      </c>
      <c r="AA52" s="41"/>
      <c r="AB52" s="683" t="s">
        <v>1013</v>
      </c>
      <c r="AC52" s="307">
        <v>51.0</v>
      </c>
      <c r="AD52" s="79"/>
      <c r="AE52" s="690" t="s">
        <v>1013</v>
      </c>
      <c r="AF52" s="307">
        <v>51.0</v>
      </c>
      <c r="AH52" s="687" t="s">
        <v>2589</v>
      </c>
      <c r="AI52" s="307">
        <v>51.0</v>
      </c>
      <c r="AK52" s="687" t="s">
        <v>2321</v>
      </c>
      <c r="AL52" s="307">
        <v>51.0</v>
      </c>
      <c r="AN52" s="687" t="s">
        <v>2595</v>
      </c>
      <c r="AO52" s="307">
        <v>51.0</v>
      </c>
      <c r="AQ52" s="687" t="s">
        <v>2080</v>
      </c>
      <c r="AR52" s="307">
        <v>51.0</v>
      </c>
      <c r="AT52" s="687" t="s">
        <v>2590</v>
      </c>
      <c r="AU52" s="307">
        <v>51.0</v>
      </c>
      <c r="AW52" s="687" t="s">
        <v>2591</v>
      </c>
      <c r="AX52" s="307">
        <v>51.0</v>
      </c>
      <c r="AZ52" s="687" t="s">
        <v>2591</v>
      </c>
      <c r="BA52" s="307">
        <v>51.0</v>
      </c>
      <c r="BC52" s="691" t="s">
        <v>2591</v>
      </c>
      <c r="BD52" s="307">
        <v>51.0</v>
      </c>
      <c r="BF52" s="687" t="s">
        <v>2305</v>
      </c>
      <c r="BG52" s="145">
        <v>51.0</v>
      </c>
      <c r="BI52" s="688" t="s">
        <v>2591</v>
      </c>
      <c r="BJ52" s="145">
        <v>51.0</v>
      </c>
      <c r="BL52" s="692" t="s">
        <v>2115</v>
      </c>
      <c r="BM52" s="216">
        <v>51.0</v>
      </c>
    </row>
    <row r="53">
      <c r="A53" s="41" t="s">
        <v>1228</v>
      </c>
      <c r="B53" s="307">
        <v>52.0</v>
      </c>
      <c r="C53" s="41"/>
      <c r="D53" s="41" t="s">
        <v>2080</v>
      </c>
      <c r="E53" s="307">
        <v>52.0</v>
      </c>
      <c r="F53" s="41"/>
      <c r="G53" s="41" t="s">
        <v>2596</v>
      </c>
      <c r="H53" s="307">
        <v>52.0</v>
      </c>
      <c r="I53" s="41"/>
      <c r="J53" s="41" t="s">
        <v>275</v>
      </c>
      <c r="K53" s="307">
        <v>52.0</v>
      </c>
      <c r="L53" s="41"/>
      <c r="M53" s="41" t="s">
        <v>2591</v>
      </c>
      <c r="N53" s="307">
        <v>52.0</v>
      </c>
      <c r="O53" s="41"/>
      <c r="P53" s="41" t="s">
        <v>2584</v>
      </c>
      <c r="Q53" s="307">
        <v>52.0</v>
      </c>
      <c r="R53" s="41"/>
      <c r="S53" s="41" t="s">
        <v>2080</v>
      </c>
      <c r="T53" s="307">
        <v>52.0</v>
      </c>
      <c r="U53" s="41"/>
      <c r="V53" s="41" t="s">
        <v>2591</v>
      </c>
      <c r="W53" s="307">
        <v>52.0</v>
      </c>
      <c r="X53" s="41"/>
      <c r="Y53" s="682" t="s">
        <v>2278</v>
      </c>
      <c r="Z53" s="307">
        <v>52.0</v>
      </c>
      <c r="AA53" s="41"/>
      <c r="AB53" s="683" t="s">
        <v>2119</v>
      </c>
      <c r="AC53" s="307">
        <v>52.0</v>
      </c>
      <c r="AD53" s="79"/>
      <c r="AE53" s="690" t="s">
        <v>2115</v>
      </c>
      <c r="AF53" s="307">
        <v>52.0</v>
      </c>
      <c r="AH53" s="687" t="s">
        <v>2590</v>
      </c>
      <c r="AI53" s="307">
        <v>52.0</v>
      </c>
      <c r="AK53" s="687" t="s">
        <v>2576</v>
      </c>
      <c r="AL53" s="307">
        <v>52.0</v>
      </c>
      <c r="AN53" s="687" t="s">
        <v>2080</v>
      </c>
      <c r="AO53" s="307">
        <v>52.0</v>
      </c>
      <c r="AQ53" s="687" t="s">
        <v>2586</v>
      </c>
      <c r="AR53" s="307">
        <v>52.0</v>
      </c>
      <c r="AT53" s="687" t="s">
        <v>2591</v>
      </c>
      <c r="AU53" s="307">
        <v>52.0</v>
      </c>
      <c r="AW53" s="687" t="s">
        <v>2370</v>
      </c>
      <c r="AX53" s="307">
        <v>52.0</v>
      </c>
      <c r="AZ53" s="687" t="s">
        <v>2586</v>
      </c>
      <c r="BA53" s="307">
        <v>52.0</v>
      </c>
      <c r="BC53" s="691" t="s">
        <v>2115</v>
      </c>
      <c r="BD53" s="307">
        <v>52.0</v>
      </c>
      <c r="BF53" s="687" t="s">
        <v>2591</v>
      </c>
      <c r="BG53" s="145">
        <v>52.0</v>
      </c>
      <c r="BI53" s="688" t="s">
        <v>2105</v>
      </c>
      <c r="BJ53" s="145">
        <v>52.0</v>
      </c>
      <c r="BL53" s="692" t="s">
        <v>1228</v>
      </c>
      <c r="BM53" s="216">
        <v>52.0</v>
      </c>
    </row>
    <row r="54">
      <c r="A54" s="41" t="s">
        <v>2330</v>
      </c>
      <c r="B54" s="307">
        <v>53.0</v>
      </c>
      <c r="C54" s="41"/>
      <c r="D54" s="41" t="s">
        <v>2068</v>
      </c>
      <c r="E54" s="307">
        <v>53.0</v>
      </c>
      <c r="F54" s="41"/>
      <c r="G54" s="41" t="s">
        <v>2119</v>
      </c>
      <c r="H54" s="307">
        <v>53.0</v>
      </c>
      <c r="I54" s="41"/>
      <c r="J54" s="41" t="s">
        <v>2596</v>
      </c>
      <c r="K54" s="307">
        <v>53.0</v>
      </c>
      <c r="L54" s="41"/>
      <c r="M54" s="41" t="s">
        <v>2119</v>
      </c>
      <c r="N54" s="307">
        <v>53.0</v>
      </c>
      <c r="O54" s="41"/>
      <c r="P54" s="41" t="s">
        <v>2080</v>
      </c>
      <c r="Q54" s="307">
        <v>53.0</v>
      </c>
      <c r="R54" s="41"/>
      <c r="S54" s="41" t="s">
        <v>2267</v>
      </c>
      <c r="T54" s="307">
        <v>53.0</v>
      </c>
      <c r="U54" s="41"/>
      <c r="V54" s="41" t="s">
        <v>2119</v>
      </c>
      <c r="W54" s="307">
        <v>53.0</v>
      </c>
      <c r="X54" s="41"/>
      <c r="Y54" s="682" t="s">
        <v>2233</v>
      </c>
      <c r="Z54" s="307">
        <v>53.0</v>
      </c>
      <c r="AA54" s="41"/>
      <c r="AB54" s="683" t="s">
        <v>2105</v>
      </c>
      <c r="AC54" s="307">
        <v>53.0</v>
      </c>
      <c r="AD54" s="79"/>
      <c r="AE54" s="690" t="s">
        <v>2119</v>
      </c>
      <c r="AF54" s="307">
        <v>53.0</v>
      </c>
      <c r="AH54" s="687" t="s">
        <v>2321</v>
      </c>
      <c r="AI54" s="307">
        <v>53.0</v>
      </c>
      <c r="AK54" s="687" t="s">
        <v>2115</v>
      </c>
      <c r="AL54" s="307">
        <v>53.0</v>
      </c>
      <c r="AN54" s="687" t="s">
        <v>2586</v>
      </c>
      <c r="AO54" s="307">
        <v>53.0</v>
      </c>
      <c r="AQ54" s="687" t="s">
        <v>2321</v>
      </c>
      <c r="AR54" s="307">
        <v>53.0</v>
      </c>
      <c r="AT54" s="687" t="s">
        <v>2080</v>
      </c>
      <c r="AU54" s="307">
        <v>53.0</v>
      </c>
      <c r="AW54" s="687" t="s">
        <v>2080</v>
      </c>
      <c r="AX54" s="307">
        <v>53.0</v>
      </c>
      <c r="AZ54" s="687" t="s">
        <v>2115</v>
      </c>
      <c r="BA54" s="307">
        <v>53.0</v>
      </c>
      <c r="BC54" s="691" t="s">
        <v>1821</v>
      </c>
      <c r="BD54" s="307">
        <v>53.0</v>
      </c>
      <c r="BF54" s="687" t="s">
        <v>2115</v>
      </c>
      <c r="BG54" s="145">
        <v>53.0</v>
      </c>
      <c r="BI54" s="688" t="s">
        <v>2115</v>
      </c>
      <c r="BJ54" s="145">
        <v>53.0</v>
      </c>
      <c r="BL54" s="692" t="s">
        <v>1821</v>
      </c>
      <c r="BM54" s="216">
        <v>53.0</v>
      </c>
    </row>
    <row r="55">
      <c r="A55" s="41" t="s">
        <v>266</v>
      </c>
      <c r="B55" s="307">
        <v>54.0</v>
      </c>
      <c r="C55" s="41"/>
      <c r="D55" s="41" t="s">
        <v>2233</v>
      </c>
      <c r="E55" s="307">
        <v>54.0</v>
      </c>
      <c r="F55" s="41"/>
      <c r="G55" s="41" t="s">
        <v>2265</v>
      </c>
      <c r="H55" s="307">
        <v>54.0</v>
      </c>
      <c r="I55" s="41"/>
      <c r="J55" s="41" t="s">
        <v>1011</v>
      </c>
      <c r="K55" s="307">
        <v>54.0</v>
      </c>
      <c r="L55" s="41"/>
      <c r="M55" s="41" t="s">
        <v>2587</v>
      </c>
      <c r="N55" s="307">
        <v>54.0</v>
      </c>
      <c r="O55" s="41"/>
      <c r="P55" s="41" t="s">
        <v>2577</v>
      </c>
      <c r="Q55" s="307">
        <v>54.0</v>
      </c>
      <c r="R55" s="41"/>
      <c r="S55" s="41" t="s">
        <v>2591</v>
      </c>
      <c r="T55" s="307">
        <v>54.0</v>
      </c>
      <c r="U55" s="41"/>
      <c r="V55" s="41" t="s">
        <v>1007</v>
      </c>
      <c r="W55" s="307">
        <v>54.0</v>
      </c>
      <c r="X55" s="41"/>
      <c r="Y55" s="682" t="s">
        <v>1821</v>
      </c>
      <c r="Z55" s="307">
        <v>54.0</v>
      </c>
      <c r="AA55" s="41"/>
      <c r="AB55" s="683" t="s">
        <v>2321</v>
      </c>
      <c r="AC55" s="307">
        <v>54.0</v>
      </c>
      <c r="AD55" s="79"/>
      <c r="AE55" s="690" t="s">
        <v>2105</v>
      </c>
      <c r="AF55" s="307">
        <v>54.0</v>
      </c>
      <c r="AH55" s="687" t="s">
        <v>2583</v>
      </c>
      <c r="AI55" s="307">
        <v>54.0</v>
      </c>
      <c r="AK55" s="687" t="s">
        <v>1013</v>
      </c>
      <c r="AL55" s="307">
        <v>54.0</v>
      </c>
      <c r="AN55" s="687" t="s">
        <v>2321</v>
      </c>
      <c r="AO55" s="307">
        <v>54.0</v>
      </c>
      <c r="AQ55" s="687" t="s">
        <v>2576</v>
      </c>
      <c r="AR55" s="307">
        <v>54.0</v>
      </c>
      <c r="AT55" s="687" t="s">
        <v>2589</v>
      </c>
      <c r="AU55" s="307">
        <v>54.0</v>
      </c>
      <c r="AW55" s="687" t="s">
        <v>2586</v>
      </c>
      <c r="AX55" s="307">
        <v>54.0</v>
      </c>
      <c r="AZ55" s="687" t="s">
        <v>1821</v>
      </c>
      <c r="BA55" s="307">
        <v>54.0</v>
      </c>
      <c r="BC55" s="691" t="s">
        <v>2105</v>
      </c>
      <c r="BD55" s="307">
        <v>54.0</v>
      </c>
      <c r="BF55" s="687" t="s">
        <v>1821</v>
      </c>
      <c r="BG55" s="145">
        <v>54.0</v>
      </c>
      <c r="BI55" s="688" t="s">
        <v>1821</v>
      </c>
      <c r="BJ55" s="145">
        <v>54.0</v>
      </c>
      <c r="BL55" s="692" t="s">
        <v>2381</v>
      </c>
      <c r="BM55" s="216">
        <v>54.0</v>
      </c>
    </row>
    <row r="56">
      <c r="A56" s="41" t="s">
        <v>2597</v>
      </c>
      <c r="B56" s="307">
        <v>55.0</v>
      </c>
      <c r="C56" s="41"/>
      <c r="D56" s="41" t="s">
        <v>2119</v>
      </c>
      <c r="E56" s="307">
        <v>55.0</v>
      </c>
      <c r="F56" s="41"/>
      <c r="G56" s="41" t="s">
        <v>2577</v>
      </c>
      <c r="H56" s="307">
        <v>55.0</v>
      </c>
      <c r="I56" s="41"/>
      <c r="J56" s="41" t="s">
        <v>2587</v>
      </c>
      <c r="K56" s="307">
        <v>55.0</v>
      </c>
      <c r="L56" s="41"/>
      <c r="M56" s="41" t="s">
        <v>1087</v>
      </c>
      <c r="N56" s="307">
        <v>55.0</v>
      </c>
      <c r="O56" s="41"/>
      <c r="P56" s="41" t="s">
        <v>1019</v>
      </c>
      <c r="Q56" s="307">
        <v>55.0</v>
      </c>
      <c r="R56" s="41"/>
      <c r="S56" s="41" t="s">
        <v>2119</v>
      </c>
      <c r="T56" s="307">
        <v>55.0</v>
      </c>
      <c r="U56" s="41"/>
      <c r="V56" s="41" t="s">
        <v>2586</v>
      </c>
      <c r="W56" s="307">
        <v>55.0</v>
      </c>
      <c r="X56" s="41"/>
      <c r="Y56" s="682" t="s">
        <v>2321</v>
      </c>
      <c r="Z56" s="307">
        <v>55.0</v>
      </c>
      <c r="AA56" s="41"/>
      <c r="AB56" s="683" t="s">
        <v>2189</v>
      </c>
      <c r="AC56" s="307">
        <v>55.0</v>
      </c>
      <c r="AD56" s="79"/>
      <c r="AE56" s="690" t="s">
        <v>2590</v>
      </c>
      <c r="AF56" s="307">
        <v>55.0</v>
      </c>
      <c r="AH56" s="687" t="s">
        <v>2576</v>
      </c>
      <c r="AI56" s="307">
        <v>55.0</v>
      </c>
      <c r="AK56" s="687" t="s">
        <v>2573</v>
      </c>
      <c r="AL56" s="307">
        <v>55.0</v>
      </c>
      <c r="AN56" s="687" t="s">
        <v>2576</v>
      </c>
      <c r="AO56" s="307">
        <v>55.0</v>
      </c>
      <c r="AQ56" s="687" t="s">
        <v>2115</v>
      </c>
      <c r="AR56" s="307">
        <v>55.0</v>
      </c>
      <c r="AT56" s="687" t="s">
        <v>2586</v>
      </c>
      <c r="AU56" s="307">
        <v>55.0</v>
      </c>
      <c r="AW56" s="687" t="s">
        <v>2115</v>
      </c>
      <c r="AX56" s="307">
        <v>55.0</v>
      </c>
      <c r="AZ56" s="687" t="s">
        <v>1007</v>
      </c>
      <c r="BA56" s="307">
        <v>55.0</v>
      </c>
      <c r="BC56" s="691" t="s">
        <v>1007</v>
      </c>
      <c r="BD56" s="307">
        <v>55.0</v>
      </c>
      <c r="BF56" s="687" t="s">
        <v>1007</v>
      </c>
      <c r="BG56" s="145">
        <v>55.0</v>
      </c>
      <c r="BI56" s="688" t="s">
        <v>2101</v>
      </c>
      <c r="BJ56" s="145">
        <v>55.0</v>
      </c>
      <c r="BL56" s="692" t="s">
        <v>2101</v>
      </c>
      <c r="BM56" s="216">
        <v>55.0</v>
      </c>
    </row>
    <row r="57">
      <c r="A57" s="41" t="s">
        <v>854</v>
      </c>
      <c r="B57" s="307">
        <v>56.0</v>
      </c>
      <c r="C57" s="41"/>
      <c r="D57" s="41" t="s">
        <v>824</v>
      </c>
      <c r="E57" s="307">
        <v>56.0</v>
      </c>
      <c r="F57" s="41"/>
      <c r="G57" s="41" t="s">
        <v>275</v>
      </c>
      <c r="H57" s="307">
        <v>56.0</v>
      </c>
      <c r="I57" s="41"/>
      <c r="J57" s="41" t="s">
        <v>1013</v>
      </c>
      <c r="K57" s="307">
        <v>56.0</v>
      </c>
      <c r="L57" s="41"/>
      <c r="M57" s="41" t="s">
        <v>275</v>
      </c>
      <c r="N57" s="307">
        <v>56.0</v>
      </c>
      <c r="O57" s="41"/>
      <c r="P57" s="41" t="s">
        <v>2591</v>
      </c>
      <c r="Q57" s="307">
        <v>56.0</v>
      </c>
      <c r="R57" s="41"/>
      <c r="S57" s="41" t="s">
        <v>2577</v>
      </c>
      <c r="T57" s="307">
        <v>56.0</v>
      </c>
      <c r="U57" s="41"/>
      <c r="V57" s="41" t="s">
        <v>269</v>
      </c>
      <c r="W57" s="307">
        <v>56.0</v>
      </c>
      <c r="X57" s="41"/>
      <c r="Y57" s="682" t="s">
        <v>2586</v>
      </c>
      <c r="Z57" s="307">
        <v>56.0</v>
      </c>
      <c r="AA57" s="41"/>
      <c r="AB57" s="683" t="s">
        <v>2590</v>
      </c>
      <c r="AC57" s="307">
        <v>56.0</v>
      </c>
      <c r="AD57" s="79"/>
      <c r="AE57" s="690" t="s">
        <v>2321</v>
      </c>
      <c r="AF57" s="307">
        <v>56.0</v>
      </c>
      <c r="AH57" s="687" t="s">
        <v>1011</v>
      </c>
      <c r="AI57" s="307">
        <v>56.0</v>
      </c>
      <c r="AK57" s="687" t="s">
        <v>2589</v>
      </c>
      <c r="AL57" s="307">
        <v>56.0</v>
      </c>
      <c r="AN57" s="687" t="s">
        <v>2115</v>
      </c>
      <c r="AO57" s="307">
        <v>56.0</v>
      </c>
      <c r="AQ57" s="687" t="s">
        <v>1821</v>
      </c>
      <c r="AR57" s="307">
        <v>56.0</v>
      </c>
      <c r="AT57" s="687" t="s">
        <v>2115</v>
      </c>
      <c r="AU57" s="307">
        <v>56.0</v>
      </c>
      <c r="AW57" s="687" t="s">
        <v>1821</v>
      </c>
      <c r="AX57" s="307">
        <v>56.0</v>
      </c>
      <c r="AZ57" s="687" t="s">
        <v>1019</v>
      </c>
      <c r="BA57" s="307">
        <v>56.0</v>
      </c>
      <c r="BC57" s="691" t="s">
        <v>1019</v>
      </c>
      <c r="BD57" s="307">
        <v>56.0</v>
      </c>
      <c r="BF57" s="687" t="s">
        <v>2101</v>
      </c>
      <c r="BG57" s="145">
        <v>56.0</v>
      </c>
      <c r="BI57" s="688" t="s">
        <v>2586</v>
      </c>
      <c r="BJ57" s="145">
        <v>56.0</v>
      </c>
      <c r="BL57" s="692" t="s">
        <v>2160</v>
      </c>
      <c r="BM57" s="216">
        <v>56.0</v>
      </c>
    </row>
    <row r="58">
      <c r="A58" s="41" t="s">
        <v>1241</v>
      </c>
      <c r="B58" s="307">
        <v>57.0</v>
      </c>
      <c r="C58" s="41"/>
      <c r="D58" s="41" t="s">
        <v>302</v>
      </c>
      <c r="E58" s="307">
        <v>57.0</v>
      </c>
      <c r="F58" s="41"/>
      <c r="G58" s="41" t="s">
        <v>269</v>
      </c>
      <c r="H58" s="307">
        <v>57.0</v>
      </c>
      <c r="I58" s="41"/>
      <c r="J58" s="41" t="s">
        <v>824</v>
      </c>
      <c r="K58" s="307">
        <v>57.0</v>
      </c>
      <c r="L58" s="41"/>
      <c r="M58" s="41" t="s">
        <v>2596</v>
      </c>
      <c r="N58" s="307">
        <v>57.0</v>
      </c>
      <c r="O58" s="41"/>
      <c r="P58" s="41" t="s">
        <v>1011</v>
      </c>
      <c r="Q58" s="307">
        <v>57.0</v>
      </c>
      <c r="R58" s="41"/>
      <c r="S58" s="41" t="s">
        <v>2598</v>
      </c>
      <c r="T58" s="307">
        <v>57.0</v>
      </c>
      <c r="U58" s="41"/>
      <c r="V58" s="41" t="s">
        <v>1821</v>
      </c>
      <c r="W58" s="307">
        <v>57.0</v>
      </c>
      <c r="X58" s="41"/>
      <c r="Y58" s="682" t="s">
        <v>2189</v>
      </c>
      <c r="Z58" s="307">
        <v>57.0</v>
      </c>
      <c r="AA58" s="41"/>
      <c r="AB58" s="683" t="s">
        <v>2305</v>
      </c>
      <c r="AC58" s="307">
        <v>57.0</v>
      </c>
      <c r="AD58" s="79"/>
      <c r="AE58" s="690" t="s">
        <v>2189</v>
      </c>
      <c r="AF58" s="307">
        <v>57.0</v>
      </c>
      <c r="AH58" s="687" t="s">
        <v>2105</v>
      </c>
      <c r="AI58" s="307">
        <v>57.0</v>
      </c>
      <c r="AK58" s="687" t="s">
        <v>1007</v>
      </c>
      <c r="AL58" s="307">
        <v>57.0</v>
      </c>
      <c r="AN58" s="687" t="s">
        <v>2589</v>
      </c>
      <c r="AO58" s="307">
        <v>57.0</v>
      </c>
      <c r="AQ58" s="687" t="s">
        <v>2589</v>
      </c>
      <c r="AR58" s="307">
        <v>57.0</v>
      </c>
      <c r="AT58" s="687" t="s">
        <v>1821</v>
      </c>
      <c r="AU58" s="307">
        <v>57.0</v>
      </c>
      <c r="AW58" s="687" t="s">
        <v>1007</v>
      </c>
      <c r="AX58" s="307">
        <v>57.0</v>
      </c>
      <c r="AZ58" s="687" t="s">
        <v>2233</v>
      </c>
      <c r="BA58" s="307">
        <v>57.0</v>
      </c>
      <c r="BC58" s="691" t="s">
        <v>2233</v>
      </c>
      <c r="BD58" s="307">
        <v>57.0</v>
      </c>
      <c r="BF58" s="687" t="s">
        <v>1019</v>
      </c>
      <c r="BG58" s="145">
        <v>57.0</v>
      </c>
      <c r="BI58" s="688" t="s">
        <v>2160</v>
      </c>
      <c r="BJ58" s="145">
        <v>57.0</v>
      </c>
      <c r="BL58" s="692" t="s">
        <v>2586</v>
      </c>
      <c r="BM58" s="216">
        <v>57.0</v>
      </c>
    </row>
    <row r="59">
      <c r="A59" s="41" t="s">
        <v>2080</v>
      </c>
      <c r="B59" s="307">
        <v>58.0</v>
      </c>
      <c r="C59" s="41"/>
      <c r="D59" s="41" t="s">
        <v>1241</v>
      </c>
      <c r="E59" s="307">
        <v>58.0</v>
      </c>
      <c r="F59" s="41"/>
      <c r="G59" s="41" t="s">
        <v>824</v>
      </c>
      <c r="H59" s="307">
        <v>58.0</v>
      </c>
      <c r="I59" s="41"/>
      <c r="J59" s="41" t="s">
        <v>1821</v>
      </c>
      <c r="K59" s="307">
        <v>58.0</v>
      </c>
      <c r="L59" s="41"/>
      <c r="M59" s="41" t="s">
        <v>1011</v>
      </c>
      <c r="N59" s="307">
        <v>58.0</v>
      </c>
      <c r="O59" s="41"/>
      <c r="P59" s="41" t="s">
        <v>2160</v>
      </c>
      <c r="Q59" s="307">
        <v>58.0</v>
      </c>
      <c r="R59" s="41"/>
      <c r="S59" s="41" t="s">
        <v>2097</v>
      </c>
      <c r="T59" s="307">
        <v>58.0</v>
      </c>
      <c r="U59" s="41"/>
      <c r="V59" s="41" t="s">
        <v>2189</v>
      </c>
      <c r="W59" s="307">
        <v>58.0</v>
      </c>
      <c r="X59" s="41"/>
      <c r="Y59" s="682" t="s">
        <v>2577</v>
      </c>
      <c r="Z59" s="307">
        <v>58.0</v>
      </c>
      <c r="AA59" s="41"/>
      <c r="AB59" s="683" t="s">
        <v>1007</v>
      </c>
      <c r="AC59" s="307">
        <v>58.0</v>
      </c>
      <c r="AD59" s="79"/>
      <c r="AE59" s="690" t="s">
        <v>2305</v>
      </c>
      <c r="AF59" s="307">
        <v>58.0</v>
      </c>
      <c r="AH59" s="687" t="s">
        <v>2305</v>
      </c>
      <c r="AI59" s="307">
        <v>58.0</v>
      </c>
      <c r="AK59" s="687" t="s">
        <v>2583</v>
      </c>
      <c r="AL59" s="307">
        <v>58.0</v>
      </c>
      <c r="AN59" s="687" t="s">
        <v>1007</v>
      </c>
      <c r="AO59" s="307">
        <v>58.0</v>
      </c>
      <c r="AQ59" s="687" t="s">
        <v>1007</v>
      </c>
      <c r="AR59" s="307">
        <v>58.0</v>
      </c>
      <c r="AT59" s="687" t="s">
        <v>1007</v>
      </c>
      <c r="AU59" s="307">
        <v>58.0</v>
      </c>
      <c r="AW59" s="687" t="s">
        <v>1019</v>
      </c>
      <c r="AX59" s="307">
        <v>58.0</v>
      </c>
      <c r="AZ59" s="687" t="s">
        <v>2105</v>
      </c>
      <c r="BA59" s="307">
        <v>58.0</v>
      </c>
      <c r="BC59" s="691" t="s">
        <v>2586</v>
      </c>
      <c r="BD59" s="307">
        <v>58.0</v>
      </c>
      <c r="BF59" s="687" t="s">
        <v>2586</v>
      </c>
      <c r="BG59" s="145">
        <v>58.0</v>
      </c>
      <c r="BI59" s="688" t="s">
        <v>2080</v>
      </c>
      <c r="BJ59" s="145">
        <v>58.0</v>
      </c>
      <c r="BL59" s="692" t="s">
        <v>2080</v>
      </c>
      <c r="BM59" s="216">
        <v>58.0</v>
      </c>
    </row>
    <row r="60">
      <c r="A60" s="41" t="s">
        <v>275</v>
      </c>
      <c r="B60" s="307">
        <v>59.0</v>
      </c>
      <c r="C60" s="41"/>
      <c r="D60" s="41" t="s">
        <v>2097</v>
      </c>
      <c r="E60" s="307">
        <v>59.0</v>
      </c>
      <c r="F60" s="41"/>
      <c r="G60" s="41" t="s">
        <v>2587</v>
      </c>
      <c r="H60" s="307">
        <v>59.0</v>
      </c>
      <c r="I60" s="41"/>
      <c r="J60" s="41" t="s">
        <v>269</v>
      </c>
      <c r="K60" s="307">
        <v>59.0</v>
      </c>
      <c r="L60" s="41"/>
      <c r="M60" s="41" t="s">
        <v>1013</v>
      </c>
      <c r="N60" s="307">
        <v>59.0</v>
      </c>
      <c r="O60" s="41"/>
      <c r="P60" s="41" t="s">
        <v>1087</v>
      </c>
      <c r="Q60" s="307">
        <v>59.0</v>
      </c>
      <c r="R60" s="41"/>
      <c r="S60" s="41" t="s">
        <v>2587</v>
      </c>
      <c r="T60" s="307">
        <v>59.0</v>
      </c>
      <c r="U60" s="41"/>
      <c r="V60" s="41" t="s">
        <v>2596</v>
      </c>
      <c r="W60" s="307">
        <v>59.0</v>
      </c>
      <c r="X60" s="41"/>
      <c r="Y60" s="682" t="s">
        <v>2115</v>
      </c>
      <c r="Z60" s="307">
        <v>59.0</v>
      </c>
      <c r="AA60" s="41"/>
      <c r="AB60" s="699" t="s">
        <v>2278</v>
      </c>
      <c r="AC60" s="307">
        <v>59.0</v>
      </c>
      <c r="AD60" s="79"/>
      <c r="AE60" s="690" t="s">
        <v>1007</v>
      </c>
      <c r="AF60" s="307">
        <v>59.0</v>
      </c>
      <c r="AH60" s="687" t="s">
        <v>2587</v>
      </c>
      <c r="AI60" s="307">
        <v>59.0</v>
      </c>
      <c r="AK60" s="687" t="s">
        <v>2591</v>
      </c>
      <c r="AL60" s="307">
        <v>59.0</v>
      </c>
      <c r="AN60" s="687" t="s">
        <v>2583</v>
      </c>
      <c r="AO60" s="307">
        <v>59.0</v>
      </c>
      <c r="AQ60" s="687" t="s">
        <v>2583</v>
      </c>
      <c r="AR60" s="307">
        <v>59.0</v>
      </c>
      <c r="AT60" s="687" t="s">
        <v>1019</v>
      </c>
      <c r="AU60" s="307">
        <v>59.0</v>
      </c>
      <c r="AW60" s="687" t="s">
        <v>2576</v>
      </c>
      <c r="AX60" s="307">
        <v>59.0</v>
      </c>
      <c r="AZ60" s="687" t="s">
        <v>2080</v>
      </c>
      <c r="BA60" s="307">
        <v>59.0</v>
      </c>
      <c r="BC60" s="691" t="s">
        <v>2080</v>
      </c>
      <c r="BD60" s="307">
        <v>59.0</v>
      </c>
      <c r="BF60" s="687" t="s">
        <v>2160</v>
      </c>
      <c r="BG60" s="145">
        <v>59.0</v>
      </c>
      <c r="BI60" s="688" t="s">
        <v>1007</v>
      </c>
      <c r="BJ60" s="145">
        <v>59.0</v>
      </c>
      <c r="BL60" s="692" t="s">
        <v>1007</v>
      </c>
      <c r="BM60" s="216">
        <v>59.0</v>
      </c>
    </row>
    <row r="61">
      <c r="A61" s="41" t="s">
        <v>2210</v>
      </c>
      <c r="B61" s="307">
        <v>60.0</v>
      </c>
      <c r="C61" s="41"/>
      <c r="D61" s="41" t="s">
        <v>2597</v>
      </c>
      <c r="E61" s="307">
        <v>60.0</v>
      </c>
      <c r="F61" s="41"/>
      <c r="G61" s="41" t="s">
        <v>302</v>
      </c>
      <c r="H61" s="307">
        <v>60.0</v>
      </c>
      <c r="I61" s="41"/>
      <c r="J61" s="41" t="s">
        <v>302</v>
      </c>
      <c r="K61" s="307">
        <v>60.0</v>
      </c>
      <c r="L61" s="41"/>
      <c r="M61" s="41" t="s">
        <v>2584</v>
      </c>
      <c r="N61" s="307">
        <v>60.0</v>
      </c>
      <c r="O61" s="41"/>
      <c r="P61" s="41" t="s">
        <v>824</v>
      </c>
      <c r="Q61" s="307">
        <v>60.0</v>
      </c>
      <c r="R61" s="41"/>
      <c r="S61" s="41" t="s">
        <v>2586</v>
      </c>
      <c r="T61" s="307">
        <v>60.0</v>
      </c>
      <c r="U61" s="41"/>
      <c r="V61" s="41" t="s">
        <v>2578</v>
      </c>
      <c r="W61" s="307">
        <v>60.0</v>
      </c>
      <c r="X61" s="41"/>
      <c r="Y61" s="682" t="s">
        <v>2267</v>
      </c>
      <c r="Z61" s="307">
        <v>60.0</v>
      </c>
      <c r="AA61" s="41"/>
      <c r="AB61" s="683" t="s">
        <v>2381</v>
      </c>
      <c r="AC61" s="307">
        <v>60.0</v>
      </c>
      <c r="AD61" s="79"/>
      <c r="AE61" s="690" t="s">
        <v>2583</v>
      </c>
      <c r="AF61" s="307">
        <v>60.0</v>
      </c>
      <c r="AH61" s="687" t="s">
        <v>2233</v>
      </c>
      <c r="AI61" s="307">
        <v>60.0</v>
      </c>
      <c r="AK61" s="687" t="s">
        <v>1821</v>
      </c>
      <c r="AL61" s="307">
        <v>60.0</v>
      </c>
      <c r="AN61" s="687" t="s">
        <v>2591</v>
      </c>
      <c r="AO61" s="307">
        <v>60.0</v>
      </c>
      <c r="AQ61" s="687" t="s">
        <v>1019</v>
      </c>
      <c r="AR61" s="307">
        <v>60.0</v>
      </c>
      <c r="AT61" s="687" t="s">
        <v>2576</v>
      </c>
      <c r="AU61" s="307">
        <v>60.0</v>
      </c>
      <c r="AW61" s="687" t="s">
        <v>2307</v>
      </c>
      <c r="AX61" s="307">
        <v>60.0</v>
      </c>
      <c r="AZ61" s="687" t="s">
        <v>2307</v>
      </c>
      <c r="BA61" s="307">
        <v>60.0</v>
      </c>
      <c r="BC61" s="691" t="s">
        <v>2189</v>
      </c>
      <c r="BD61" s="307">
        <v>60.0</v>
      </c>
      <c r="BF61" s="687" t="s">
        <v>2080</v>
      </c>
      <c r="BG61" s="145">
        <v>60.0</v>
      </c>
      <c r="BI61" s="688" t="s">
        <v>2189</v>
      </c>
      <c r="BJ61" s="145">
        <v>60.0</v>
      </c>
      <c r="BL61" s="692" t="s">
        <v>2189</v>
      </c>
      <c r="BM61" s="216">
        <v>60.0</v>
      </c>
    </row>
    <row r="62">
      <c r="A62" s="41" t="s">
        <v>2576</v>
      </c>
      <c r="B62" s="307">
        <v>61.0</v>
      </c>
      <c r="C62" s="41"/>
      <c r="D62" s="41" t="s">
        <v>2105</v>
      </c>
      <c r="E62" s="307">
        <v>61.0</v>
      </c>
      <c r="F62" s="41"/>
      <c r="G62" s="41" t="s">
        <v>2584</v>
      </c>
      <c r="H62" s="307">
        <v>61.0</v>
      </c>
      <c r="I62" s="41"/>
      <c r="J62" s="41" t="s">
        <v>2599</v>
      </c>
      <c r="K62" s="307">
        <v>61.0</v>
      </c>
      <c r="L62" s="41"/>
      <c r="M62" s="41" t="s">
        <v>824</v>
      </c>
      <c r="N62" s="307">
        <v>61.0</v>
      </c>
      <c r="O62" s="41"/>
      <c r="P62" s="41" t="s">
        <v>307</v>
      </c>
      <c r="Q62" s="307">
        <v>61.0</v>
      </c>
      <c r="R62" s="41"/>
      <c r="S62" s="41" t="s">
        <v>2330</v>
      </c>
      <c r="T62" s="307">
        <v>61.0</v>
      </c>
      <c r="U62" s="41"/>
      <c r="V62" s="41" t="s">
        <v>2321</v>
      </c>
      <c r="W62" s="307">
        <v>61.0</v>
      </c>
      <c r="X62" s="41"/>
      <c r="Y62" s="682" t="s">
        <v>2591</v>
      </c>
      <c r="Z62" s="307">
        <v>61.0</v>
      </c>
      <c r="AA62" s="41"/>
      <c r="AB62" s="683" t="s">
        <v>2233</v>
      </c>
      <c r="AC62" s="307">
        <v>61.0</v>
      </c>
      <c r="AD62" s="79"/>
      <c r="AE62" s="690" t="s">
        <v>2278</v>
      </c>
      <c r="AF62" s="307">
        <v>61.0</v>
      </c>
      <c r="AH62" s="687" t="s">
        <v>2278</v>
      </c>
      <c r="AI62" s="307">
        <v>61.0</v>
      </c>
      <c r="AK62" s="687" t="s">
        <v>2125</v>
      </c>
      <c r="AL62" s="307">
        <v>61.0</v>
      </c>
      <c r="AN62" s="687" t="s">
        <v>1821</v>
      </c>
      <c r="AO62" s="307">
        <v>61.0</v>
      </c>
      <c r="AQ62" s="687" t="s">
        <v>2591</v>
      </c>
      <c r="AR62" s="307">
        <v>61.0</v>
      </c>
      <c r="AT62" s="687" t="s">
        <v>2307</v>
      </c>
      <c r="AU62" s="307">
        <v>61.0</v>
      </c>
      <c r="AW62" s="687" t="s">
        <v>2600</v>
      </c>
      <c r="AX62" s="307">
        <v>61.0</v>
      </c>
      <c r="AZ62" s="687" t="s">
        <v>2600</v>
      </c>
      <c r="BA62" s="307">
        <v>61.0</v>
      </c>
      <c r="BC62" s="691" t="s">
        <v>2101</v>
      </c>
      <c r="BD62" s="307">
        <v>61.0</v>
      </c>
      <c r="BF62" s="687" t="s">
        <v>2189</v>
      </c>
      <c r="BG62" s="145">
        <v>61.0</v>
      </c>
      <c r="BI62" s="688" t="s">
        <v>317</v>
      </c>
      <c r="BJ62" s="145">
        <v>61.0</v>
      </c>
      <c r="BL62" s="692" t="s">
        <v>2601</v>
      </c>
      <c r="BM62" s="216">
        <v>61.0</v>
      </c>
    </row>
    <row r="63">
      <c r="A63" s="41" t="s">
        <v>2233</v>
      </c>
      <c r="B63" s="307">
        <v>62.0</v>
      </c>
      <c r="C63" s="41"/>
      <c r="D63" s="41" t="s">
        <v>269</v>
      </c>
      <c r="E63" s="307">
        <v>62.0</v>
      </c>
      <c r="F63" s="41"/>
      <c r="G63" s="41" t="s">
        <v>1241</v>
      </c>
      <c r="H63" s="307">
        <v>62.0</v>
      </c>
      <c r="I63" s="41"/>
      <c r="J63" s="41" t="s">
        <v>2576</v>
      </c>
      <c r="K63" s="307">
        <v>62.0</v>
      </c>
      <c r="L63" s="41"/>
      <c r="M63" s="41" t="s">
        <v>1821</v>
      </c>
      <c r="N63" s="307">
        <v>62.0</v>
      </c>
      <c r="O63" s="41"/>
      <c r="P63" s="41" t="s">
        <v>2596</v>
      </c>
      <c r="Q63" s="307">
        <v>62.0</v>
      </c>
      <c r="R63" s="41"/>
      <c r="S63" s="41" t="s">
        <v>1821</v>
      </c>
      <c r="T63" s="307">
        <v>62.0</v>
      </c>
      <c r="U63" s="41"/>
      <c r="V63" s="41" t="s">
        <v>2330</v>
      </c>
      <c r="W63" s="307">
        <v>62.0</v>
      </c>
      <c r="X63" s="41"/>
      <c r="Y63" s="698" t="s">
        <v>2119</v>
      </c>
      <c r="Z63" s="307">
        <v>62.0</v>
      </c>
      <c r="AA63" s="41"/>
      <c r="AB63" s="699" t="s">
        <v>1087</v>
      </c>
      <c r="AC63" s="307">
        <v>62.0</v>
      </c>
      <c r="AD63" s="79"/>
      <c r="AE63" s="690" t="s">
        <v>2381</v>
      </c>
      <c r="AF63" s="307">
        <v>62.0</v>
      </c>
      <c r="AH63" s="687" t="s">
        <v>1821</v>
      </c>
      <c r="AI63" s="307">
        <v>62.0</v>
      </c>
      <c r="AK63" s="687" t="s">
        <v>2189</v>
      </c>
      <c r="AL63" s="307">
        <v>62.0</v>
      </c>
      <c r="AN63" s="687" t="s">
        <v>2125</v>
      </c>
      <c r="AO63" s="307">
        <v>62.0</v>
      </c>
      <c r="AQ63" s="687" t="s">
        <v>2278</v>
      </c>
      <c r="AR63" s="307">
        <v>62.0</v>
      </c>
      <c r="AT63" s="687" t="s">
        <v>2600</v>
      </c>
      <c r="AU63" s="307">
        <v>62.0</v>
      </c>
      <c r="AW63" s="687" t="s">
        <v>2125</v>
      </c>
      <c r="AX63" s="307">
        <v>62.0</v>
      </c>
      <c r="AZ63" s="687" t="s">
        <v>2189</v>
      </c>
      <c r="BA63" s="307">
        <v>62.0</v>
      </c>
      <c r="BC63" s="691" t="s">
        <v>2340</v>
      </c>
      <c r="BD63" s="307">
        <v>62.0</v>
      </c>
      <c r="BF63" s="687" t="s">
        <v>2233</v>
      </c>
      <c r="BG63" s="145">
        <v>62.0</v>
      </c>
      <c r="BI63" s="688" t="s">
        <v>2590</v>
      </c>
      <c r="BJ63" s="145">
        <v>62.0</v>
      </c>
      <c r="BL63" s="692" t="s">
        <v>317</v>
      </c>
      <c r="BM63" s="216">
        <v>62.0</v>
      </c>
    </row>
    <row r="64">
      <c r="A64" s="41" t="s">
        <v>2124</v>
      </c>
      <c r="B64" s="307">
        <v>63.0</v>
      </c>
      <c r="C64" s="41"/>
      <c r="D64" s="41" t="s">
        <v>307</v>
      </c>
      <c r="E64" s="307">
        <v>63.0</v>
      </c>
      <c r="F64" s="41"/>
      <c r="G64" s="41" t="s">
        <v>2097</v>
      </c>
      <c r="H64" s="307">
        <v>63.0</v>
      </c>
      <c r="I64" s="41"/>
      <c r="J64" s="41" t="s">
        <v>1241</v>
      </c>
      <c r="K64" s="307">
        <v>63.0</v>
      </c>
      <c r="L64" s="41"/>
      <c r="M64" s="41" t="s">
        <v>1019</v>
      </c>
      <c r="N64" s="307">
        <v>63.0</v>
      </c>
      <c r="O64" s="41"/>
      <c r="P64" s="41" t="s">
        <v>2097</v>
      </c>
      <c r="Q64" s="307">
        <v>63.0</v>
      </c>
      <c r="R64" s="41"/>
      <c r="S64" s="41" t="s">
        <v>2596</v>
      </c>
      <c r="T64" s="307">
        <v>63.0</v>
      </c>
      <c r="U64" s="41"/>
      <c r="V64" s="41" t="s">
        <v>266</v>
      </c>
      <c r="W64" s="307">
        <v>63.0</v>
      </c>
      <c r="X64" s="41"/>
      <c r="Y64" s="682" t="s">
        <v>2583</v>
      </c>
      <c r="Z64" s="307">
        <v>63.0</v>
      </c>
      <c r="AA64" s="41"/>
      <c r="AB64" s="683" t="s">
        <v>1821</v>
      </c>
      <c r="AC64" s="307">
        <v>63.0</v>
      </c>
      <c r="AD64" s="79"/>
      <c r="AE64" s="690" t="s">
        <v>2233</v>
      </c>
      <c r="AF64" s="307">
        <v>63.0</v>
      </c>
      <c r="AH64" s="687" t="s">
        <v>2189</v>
      </c>
      <c r="AI64" s="307">
        <v>63.0</v>
      </c>
      <c r="AK64" s="687" t="s">
        <v>2233</v>
      </c>
      <c r="AL64" s="307">
        <v>63.0</v>
      </c>
      <c r="AN64" s="687" t="s">
        <v>2602</v>
      </c>
      <c r="AO64" s="307">
        <v>63.0</v>
      </c>
      <c r="AQ64" s="687" t="s">
        <v>2125</v>
      </c>
      <c r="AR64" s="307">
        <v>63.0</v>
      </c>
      <c r="AT64" s="687" t="s">
        <v>2278</v>
      </c>
      <c r="AU64" s="307">
        <v>63.0</v>
      </c>
      <c r="AW64" s="687" t="s">
        <v>2189</v>
      </c>
      <c r="AX64" s="307">
        <v>63.0</v>
      </c>
      <c r="AZ64" s="687" t="s">
        <v>2370</v>
      </c>
      <c r="BA64" s="307">
        <v>63.0</v>
      </c>
      <c r="BC64" s="691" t="s">
        <v>317</v>
      </c>
      <c r="BD64" s="307">
        <v>63.0</v>
      </c>
      <c r="BF64" s="687" t="s">
        <v>2340</v>
      </c>
      <c r="BG64" s="145">
        <v>63.0</v>
      </c>
      <c r="BI64" s="688" t="s">
        <v>2370</v>
      </c>
      <c r="BJ64" s="145">
        <v>63.0</v>
      </c>
      <c r="BL64" s="692" t="s">
        <v>2590</v>
      </c>
      <c r="BM64" s="216">
        <v>63.0</v>
      </c>
    </row>
    <row r="65">
      <c r="A65" s="41" t="s">
        <v>2068</v>
      </c>
      <c r="B65" s="307">
        <v>64.0</v>
      </c>
      <c r="C65" s="41"/>
      <c r="D65" s="41" t="s">
        <v>2594</v>
      </c>
      <c r="E65" s="307">
        <v>64.0</v>
      </c>
      <c r="F65" s="41"/>
      <c r="G65" s="41" t="s">
        <v>2105</v>
      </c>
      <c r="H65" s="307">
        <v>64.0</v>
      </c>
      <c r="I65" s="41"/>
      <c r="J65" s="41" t="s">
        <v>2097</v>
      </c>
      <c r="K65" s="307">
        <v>64.0</v>
      </c>
      <c r="L65" s="41"/>
      <c r="M65" s="41" t="s">
        <v>302</v>
      </c>
      <c r="N65" s="307">
        <v>64.0</v>
      </c>
      <c r="O65" s="41"/>
      <c r="P65" s="41" t="s">
        <v>275</v>
      </c>
      <c r="Q65" s="307">
        <v>64.0</v>
      </c>
      <c r="R65" s="41"/>
      <c r="S65" s="41" t="s">
        <v>2321</v>
      </c>
      <c r="T65" s="307">
        <v>64.0</v>
      </c>
      <c r="U65" s="41"/>
      <c r="V65" s="41" t="s">
        <v>2603</v>
      </c>
      <c r="W65" s="307">
        <v>64.0</v>
      </c>
      <c r="X65" s="41"/>
      <c r="Y65" s="682" t="s">
        <v>266</v>
      </c>
      <c r="Z65" s="307">
        <v>64.0</v>
      </c>
      <c r="AA65" s="41"/>
      <c r="AB65" s="683" t="s">
        <v>2115</v>
      </c>
      <c r="AC65" s="307">
        <v>64.0</v>
      </c>
      <c r="AD65" s="79"/>
      <c r="AE65" s="690" t="s">
        <v>2576</v>
      </c>
      <c r="AF65" s="307">
        <v>64.0</v>
      </c>
      <c r="AH65" s="687" t="s">
        <v>1007</v>
      </c>
      <c r="AI65" s="307">
        <v>64.0</v>
      </c>
      <c r="AK65" s="687" t="s">
        <v>2600</v>
      </c>
      <c r="AL65" s="307">
        <v>64.0</v>
      </c>
      <c r="AN65" s="687" t="s">
        <v>2189</v>
      </c>
      <c r="AO65" s="307">
        <v>64.0</v>
      </c>
      <c r="AQ65" s="687" t="s">
        <v>2189</v>
      </c>
      <c r="AR65" s="307">
        <v>64.0</v>
      </c>
      <c r="AT65" s="687" t="s">
        <v>2125</v>
      </c>
      <c r="AU65" s="307">
        <v>64.0</v>
      </c>
      <c r="AW65" s="687" t="s">
        <v>2233</v>
      </c>
      <c r="AX65" s="307">
        <v>64.0</v>
      </c>
      <c r="AZ65" s="687" t="s">
        <v>2321</v>
      </c>
      <c r="BA65" s="307">
        <v>64.0</v>
      </c>
      <c r="BC65" s="691" t="s">
        <v>2370</v>
      </c>
      <c r="BD65" s="307">
        <v>64.0</v>
      </c>
      <c r="BF65" s="687" t="s">
        <v>317</v>
      </c>
      <c r="BG65" s="145">
        <v>64.0</v>
      </c>
      <c r="BI65" s="688" t="s">
        <v>2593</v>
      </c>
      <c r="BJ65" s="145">
        <v>64.0</v>
      </c>
      <c r="BL65" s="692" t="s">
        <v>2370</v>
      </c>
      <c r="BM65" s="216">
        <v>64.0</v>
      </c>
    </row>
    <row r="66">
      <c r="A66" s="41" t="s">
        <v>302</v>
      </c>
      <c r="B66" s="307">
        <v>65.0</v>
      </c>
      <c r="C66" s="41"/>
      <c r="D66" s="41" t="s">
        <v>2580</v>
      </c>
      <c r="E66" s="307">
        <v>65.0</v>
      </c>
      <c r="F66" s="41"/>
      <c r="G66" s="41" t="s">
        <v>2580</v>
      </c>
      <c r="H66" s="307">
        <v>65.0</v>
      </c>
      <c r="I66" s="41"/>
      <c r="J66" s="41" t="s">
        <v>1087</v>
      </c>
      <c r="K66" s="307">
        <v>65.0</v>
      </c>
      <c r="L66" s="41"/>
      <c r="M66" s="41" t="s">
        <v>2576</v>
      </c>
      <c r="N66" s="307">
        <v>65.0</v>
      </c>
      <c r="O66" s="41"/>
      <c r="P66" s="41" t="s">
        <v>269</v>
      </c>
      <c r="Q66" s="307">
        <v>65.0</v>
      </c>
      <c r="R66" s="41"/>
      <c r="S66" s="41" t="s">
        <v>269</v>
      </c>
      <c r="T66" s="307">
        <v>65.0</v>
      </c>
      <c r="U66" s="41"/>
      <c r="V66" s="41" t="s">
        <v>2577</v>
      </c>
      <c r="W66" s="307">
        <v>65.0</v>
      </c>
      <c r="X66" s="41"/>
      <c r="Y66" s="682" t="s">
        <v>269</v>
      </c>
      <c r="Z66" s="307">
        <v>65.0</v>
      </c>
      <c r="AA66" s="41"/>
      <c r="AB66" s="683" t="s">
        <v>2591</v>
      </c>
      <c r="AC66" s="307">
        <v>65.0</v>
      </c>
      <c r="AD66" s="79"/>
      <c r="AE66" s="690" t="s">
        <v>1087</v>
      </c>
      <c r="AF66" s="307">
        <v>65.0</v>
      </c>
      <c r="AH66" s="687" t="s">
        <v>2381</v>
      </c>
      <c r="AI66" s="307">
        <v>65.0</v>
      </c>
      <c r="AK66" s="687" t="s">
        <v>2278</v>
      </c>
      <c r="AL66" s="307">
        <v>65.0</v>
      </c>
      <c r="AN66" s="687" t="s">
        <v>2233</v>
      </c>
      <c r="AO66" s="307">
        <v>65.0</v>
      </c>
      <c r="AQ66" s="687" t="s">
        <v>2307</v>
      </c>
      <c r="AR66" s="307">
        <v>65.0</v>
      </c>
      <c r="AT66" s="687" t="s">
        <v>2189</v>
      </c>
      <c r="AU66" s="307">
        <v>65.0</v>
      </c>
      <c r="AW66" s="687" t="s">
        <v>2587</v>
      </c>
      <c r="AX66" s="307">
        <v>65.0</v>
      </c>
      <c r="AZ66" s="687" t="s">
        <v>317</v>
      </c>
      <c r="BA66" s="307">
        <v>65.0</v>
      </c>
      <c r="BC66" s="691" t="s">
        <v>2160</v>
      </c>
      <c r="BD66" s="307">
        <v>65.0</v>
      </c>
      <c r="BF66" s="687" t="s">
        <v>2590</v>
      </c>
      <c r="BG66" s="145">
        <v>65.0</v>
      </c>
      <c r="BI66" s="688" t="s">
        <v>2233</v>
      </c>
      <c r="BJ66" s="145">
        <v>65.0</v>
      </c>
      <c r="BL66" s="692" t="s">
        <v>2171</v>
      </c>
      <c r="BM66" s="216">
        <v>65.0</v>
      </c>
    </row>
    <row r="67">
      <c r="A67" s="41" t="s">
        <v>2119</v>
      </c>
      <c r="B67" s="307">
        <v>66.0</v>
      </c>
      <c r="C67" s="41"/>
      <c r="D67" s="41" t="s">
        <v>2596</v>
      </c>
      <c r="E67" s="307">
        <v>66.0</v>
      </c>
      <c r="F67" s="41"/>
      <c r="G67" s="41" t="s">
        <v>2599</v>
      </c>
      <c r="H67" s="307">
        <v>66.0</v>
      </c>
      <c r="I67" s="41"/>
      <c r="J67" s="41" t="s">
        <v>2160</v>
      </c>
      <c r="K67" s="307">
        <v>66.0</v>
      </c>
      <c r="L67" s="41"/>
      <c r="M67" s="41" t="s">
        <v>2097</v>
      </c>
      <c r="N67" s="307">
        <v>66.0</v>
      </c>
      <c r="O67" s="41"/>
      <c r="P67" s="41" t="s">
        <v>2189</v>
      </c>
      <c r="Q67" s="307">
        <v>66.0</v>
      </c>
      <c r="R67" s="41"/>
      <c r="S67" s="41" t="s">
        <v>2603</v>
      </c>
      <c r="T67" s="307">
        <v>66.0</v>
      </c>
      <c r="U67" s="41"/>
      <c r="V67" s="41" t="s">
        <v>1019</v>
      </c>
      <c r="W67" s="307">
        <v>66.0</v>
      </c>
      <c r="X67" s="41"/>
      <c r="Y67" s="682" t="s">
        <v>2381</v>
      </c>
      <c r="Z67" s="307">
        <v>66.0</v>
      </c>
      <c r="AA67" s="41"/>
      <c r="AB67" s="683" t="s">
        <v>266</v>
      </c>
      <c r="AC67" s="307">
        <v>66.0</v>
      </c>
      <c r="AD67" s="79"/>
      <c r="AE67" s="690" t="s">
        <v>1821</v>
      </c>
      <c r="AF67" s="307">
        <v>66.0</v>
      </c>
      <c r="AH67" s="687" t="s">
        <v>2591</v>
      </c>
      <c r="AI67" s="307">
        <v>66.0</v>
      </c>
      <c r="AK67" s="687" t="s">
        <v>1087</v>
      </c>
      <c r="AL67" s="307">
        <v>66.0</v>
      </c>
      <c r="AN67" s="687" t="s">
        <v>2600</v>
      </c>
      <c r="AO67" s="307">
        <v>66.0</v>
      </c>
      <c r="AQ67" s="687" t="s">
        <v>2233</v>
      </c>
      <c r="AR67" s="307">
        <v>66.0</v>
      </c>
      <c r="AT67" s="687" t="s">
        <v>2233</v>
      </c>
      <c r="AU67" s="307">
        <v>66.0</v>
      </c>
      <c r="AW67" s="687" t="s">
        <v>2321</v>
      </c>
      <c r="AX67" s="307">
        <v>66.0</v>
      </c>
      <c r="AZ67" s="687" t="s">
        <v>2604</v>
      </c>
      <c r="BA67" s="307">
        <v>66.0</v>
      </c>
      <c r="BC67" s="691" t="s">
        <v>2596</v>
      </c>
      <c r="BD67" s="307">
        <v>66.0</v>
      </c>
      <c r="BF67" s="687" t="s">
        <v>2370</v>
      </c>
      <c r="BG67" s="145">
        <v>66.0</v>
      </c>
      <c r="BI67" s="688" t="s">
        <v>2171</v>
      </c>
      <c r="BJ67" s="145">
        <v>66.0</v>
      </c>
      <c r="BL67" s="692" t="s">
        <v>2321</v>
      </c>
      <c r="BM67" s="216">
        <v>66.0</v>
      </c>
    </row>
    <row r="68">
      <c r="A68" s="41" t="s">
        <v>269</v>
      </c>
      <c r="B68" s="307">
        <v>67.0</v>
      </c>
      <c r="C68" s="41"/>
      <c r="D68" s="41" t="s">
        <v>2568</v>
      </c>
      <c r="E68" s="307">
        <v>67.0</v>
      </c>
      <c r="F68" s="41"/>
      <c r="G68" s="41" t="s">
        <v>307</v>
      </c>
      <c r="H68" s="307">
        <v>67.0</v>
      </c>
      <c r="I68" s="41"/>
      <c r="J68" s="41" t="s">
        <v>2584</v>
      </c>
      <c r="K68" s="307">
        <v>67.0</v>
      </c>
      <c r="L68" s="41"/>
      <c r="M68" s="41" t="s">
        <v>2160</v>
      </c>
      <c r="N68" s="307">
        <v>67.0</v>
      </c>
      <c r="O68" s="41"/>
      <c r="P68" s="41" t="s">
        <v>1241</v>
      </c>
      <c r="Q68" s="307">
        <v>67.0</v>
      </c>
      <c r="R68" s="41"/>
      <c r="S68" s="41" t="s">
        <v>1228</v>
      </c>
      <c r="T68" s="307">
        <v>67.0</v>
      </c>
      <c r="U68" s="41"/>
      <c r="V68" s="41" t="s">
        <v>1228</v>
      </c>
      <c r="W68" s="307">
        <v>67.0</v>
      </c>
      <c r="X68" s="41"/>
      <c r="Y68" s="682" t="s">
        <v>2596</v>
      </c>
      <c r="Z68" s="307">
        <v>67.0</v>
      </c>
      <c r="AA68" s="41"/>
      <c r="AB68" s="683" t="s">
        <v>2583</v>
      </c>
      <c r="AC68" s="307">
        <v>67.0</v>
      </c>
      <c r="AD68" s="79"/>
      <c r="AE68" s="690" t="s">
        <v>2591</v>
      </c>
      <c r="AF68" s="307">
        <v>67.0</v>
      </c>
      <c r="AH68" s="687" t="s">
        <v>2125</v>
      </c>
      <c r="AI68" s="307">
        <v>67.0</v>
      </c>
      <c r="AK68" s="687" t="s">
        <v>2381</v>
      </c>
      <c r="AL68" s="307">
        <v>67.0</v>
      </c>
      <c r="AN68" s="687" t="s">
        <v>2278</v>
      </c>
      <c r="AO68" s="307">
        <v>67.0</v>
      </c>
      <c r="AQ68" s="687" t="s">
        <v>2587</v>
      </c>
      <c r="AR68" s="307">
        <v>67.0</v>
      </c>
      <c r="AT68" s="687" t="s">
        <v>2587</v>
      </c>
      <c r="AU68" s="307">
        <v>67.0</v>
      </c>
      <c r="AW68" s="687" t="s">
        <v>2605</v>
      </c>
      <c r="AX68" s="307">
        <v>67.0</v>
      </c>
      <c r="AZ68" s="687" t="s">
        <v>2573</v>
      </c>
      <c r="BA68" s="307">
        <v>67.0</v>
      </c>
      <c r="BC68" s="691" t="s">
        <v>1228</v>
      </c>
      <c r="BD68" s="307">
        <v>67.0</v>
      </c>
      <c r="BF68" s="687" t="s">
        <v>2321</v>
      </c>
      <c r="BG68" s="145">
        <v>67.0</v>
      </c>
      <c r="BI68" s="688" t="s">
        <v>2321</v>
      </c>
      <c r="BJ68" s="145">
        <v>67.0</v>
      </c>
      <c r="BL68" s="692" t="s">
        <v>2340</v>
      </c>
      <c r="BM68" s="216">
        <v>67.0</v>
      </c>
    </row>
    <row r="69">
      <c r="A69" s="41" t="s">
        <v>1087</v>
      </c>
      <c r="B69" s="307">
        <v>68.0</v>
      </c>
      <c r="C69" s="41"/>
      <c r="D69" s="41" t="s">
        <v>2587</v>
      </c>
      <c r="E69" s="307">
        <v>68.0</v>
      </c>
      <c r="F69" s="41"/>
      <c r="G69" s="41" t="s">
        <v>2594</v>
      </c>
      <c r="H69" s="307">
        <v>68.0</v>
      </c>
      <c r="I69" s="41"/>
      <c r="J69" s="41" t="s">
        <v>307</v>
      </c>
      <c r="K69" s="307">
        <v>68.0</v>
      </c>
      <c r="L69" s="41"/>
      <c r="M69" s="41" t="s">
        <v>307</v>
      </c>
      <c r="N69" s="307">
        <v>68.0</v>
      </c>
      <c r="O69" s="41"/>
      <c r="P69" s="41" t="s">
        <v>2599</v>
      </c>
      <c r="Q69" s="307">
        <v>68.0</v>
      </c>
      <c r="R69" s="41"/>
      <c r="S69" s="41" t="s">
        <v>2606</v>
      </c>
      <c r="T69" s="307">
        <v>68.0</v>
      </c>
      <c r="U69" s="41"/>
      <c r="V69" s="41" t="s">
        <v>2278</v>
      </c>
      <c r="W69" s="307">
        <v>68.0</v>
      </c>
      <c r="X69" s="41"/>
      <c r="Y69" s="682" t="s">
        <v>2578</v>
      </c>
      <c r="Z69" s="307">
        <v>68.0</v>
      </c>
      <c r="AA69" s="41"/>
      <c r="AB69" s="683" t="s">
        <v>1019</v>
      </c>
      <c r="AC69" s="307">
        <v>68.0</v>
      </c>
      <c r="AD69" s="79"/>
      <c r="AE69" s="690" t="s">
        <v>2125</v>
      </c>
      <c r="AF69" s="307">
        <v>68.0</v>
      </c>
      <c r="AH69" s="687" t="s">
        <v>1087</v>
      </c>
      <c r="AI69" s="307">
        <v>68.0</v>
      </c>
      <c r="AK69" s="687" t="s">
        <v>2587</v>
      </c>
      <c r="AL69" s="307">
        <v>68.0</v>
      </c>
      <c r="AN69" s="687" t="s">
        <v>2381</v>
      </c>
      <c r="AO69" s="307">
        <v>68.0</v>
      </c>
      <c r="AQ69" s="687" t="s">
        <v>2605</v>
      </c>
      <c r="AR69" s="307">
        <v>68.0</v>
      </c>
      <c r="AT69" s="687" t="s">
        <v>2321</v>
      </c>
      <c r="AU69" s="307">
        <v>68.0</v>
      </c>
      <c r="AW69" s="687" t="s">
        <v>317</v>
      </c>
      <c r="AX69" s="307">
        <v>68.0</v>
      </c>
      <c r="AZ69" s="687" t="s">
        <v>2587</v>
      </c>
      <c r="BA69" s="307">
        <v>68.0</v>
      </c>
      <c r="BC69" s="691" t="s">
        <v>2587</v>
      </c>
      <c r="BD69" s="307">
        <v>68.0</v>
      </c>
      <c r="BF69" s="687" t="s">
        <v>1228</v>
      </c>
      <c r="BG69" s="145">
        <v>68.0</v>
      </c>
      <c r="BI69" s="688" t="s">
        <v>1228</v>
      </c>
      <c r="BJ69" s="145">
        <v>68.0</v>
      </c>
      <c r="BL69" s="692" t="s">
        <v>2233</v>
      </c>
      <c r="BM69" s="216">
        <v>68.0</v>
      </c>
    </row>
    <row r="70">
      <c r="A70" s="41" t="s">
        <v>2580</v>
      </c>
      <c r="B70" s="307">
        <v>69.0</v>
      </c>
      <c r="C70" s="41"/>
      <c r="D70" s="41" t="s">
        <v>2305</v>
      </c>
      <c r="E70" s="307">
        <v>69.0</v>
      </c>
      <c r="F70" s="41"/>
      <c r="G70" s="41" t="s">
        <v>2381</v>
      </c>
      <c r="H70" s="307">
        <v>69.0</v>
      </c>
      <c r="I70" s="41"/>
      <c r="J70" s="41" t="s">
        <v>2585</v>
      </c>
      <c r="K70" s="307">
        <v>69.0</v>
      </c>
      <c r="L70" s="41"/>
      <c r="M70" s="41" t="s">
        <v>269</v>
      </c>
      <c r="N70" s="307">
        <v>69.0</v>
      </c>
      <c r="O70" s="41"/>
      <c r="P70" s="41" t="s">
        <v>2603</v>
      </c>
      <c r="Q70" s="307">
        <v>69.0</v>
      </c>
      <c r="R70" s="41"/>
      <c r="S70" s="41" t="s">
        <v>2160</v>
      </c>
      <c r="T70" s="307">
        <v>69.0</v>
      </c>
      <c r="U70" s="41"/>
      <c r="V70" s="41" t="s">
        <v>2606</v>
      </c>
      <c r="W70" s="307">
        <v>69.0</v>
      </c>
      <c r="X70" s="41"/>
      <c r="Y70" s="682" t="s">
        <v>2576</v>
      </c>
      <c r="Z70" s="307">
        <v>69.0</v>
      </c>
      <c r="AA70" s="41"/>
      <c r="AB70" s="683" t="s">
        <v>2596</v>
      </c>
      <c r="AC70" s="307">
        <v>69.0</v>
      </c>
      <c r="AD70" s="79"/>
      <c r="AE70" s="690" t="s">
        <v>266</v>
      </c>
      <c r="AF70" s="307">
        <v>68.0</v>
      </c>
      <c r="AH70" s="687" t="s">
        <v>269</v>
      </c>
      <c r="AI70" s="307">
        <v>68.0</v>
      </c>
      <c r="AK70" s="687" t="s">
        <v>1011</v>
      </c>
      <c r="AL70" s="307">
        <v>68.0</v>
      </c>
      <c r="AN70" s="687" t="s">
        <v>2587</v>
      </c>
      <c r="AO70" s="307">
        <v>68.0</v>
      </c>
      <c r="AQ70" s="687" t="s">
        <v>1228</v>
      </c>
      <c r="AR70" s="307">
        <v>68.0</v>
      </c>
      <c r="AT70" s="687" t="s">
        <v>2605</v>
      </c>
      <c r="AU70" s="307">
        <v>68.0</v>
      </c>
      <c r="AW70" s="687" t="s">
        <v>2178</v>
      </c>
      <c r="AX70" s="307">
        <v>68.0</v>
      </c>
      <c r="AZ70" s="687" t="s">
        <v>2605</v>
      </c>
      <c r="BA70" s="307">
        <v>68.0</v>
      </c>
      <c r="BC70" s="691" t="s">
        <v>2125</v>
      </c>
      <c r="BD70" s="307">
        <v>68.0</v>
      </c>
      <c r="BF70" s="687" t="s">
        <v>2125</v>
      </c>
      <c r="BG70" s="145">
        <v>69.0</v>
      </c>
      <c r="BI70" s="688" t="s">
        <v>2125</v>
      </c>
      <c r="BJ70" s="145">
        <v>69.0</v>
      </c>
      <c r="BL70" s="692" t="s">
        <v>2125</v>
      </c>
      <c r="BM70" s="216">
        <v>69.0</v>
      </c>
    </row>
    <row r="71">
      <c r="A71" s="41" t="s">
        <v>2097</v>
      </c>
      <c r="B71" s="307">
        <v>70.0</v>
      </c>
      <c r="C71" s="41"/>
      <c r="D71" s="41" t="s">
        <v>2599</v>
      </c>
      <c r="E71" s="307">
        <v>70.0</v>
      </c>
      <c r="F71" s="41"/>
      <c r="G71" s="41" t="s">
        <v>1087</v>
      </c>
      <c r="H71" s="307">
        <v>70.0</v>
      </c>
      <c r="I71" s="41"/>
      <c r="J71" s="41" t="s">
        <v>2603</v>
      </c>
      <c r="K71" s="307">
        <v>70.0</v>
      </c>
      <c r="L71" s="41"/>
      <c r="M71" s="41" t="s">
        <v>2607</v>
      </c>
      <c r="N71" s="307">
        <v>70.0</v>
      </c>
      <c r="O71" s="41"/>
      <c r="P71" s="41" t="s">
        <v>2586</v>
      </c>
      <c r="Q71" s="307">
        <v>70.0</v>
      </c>
      <c r="R71" s="41"/>
      <c r="S71" s="41" t="s">
        <v>275</v>
      </c>
      <c r="T71" s="307">
        <v>70.0</v>
      </c>
      <c r="U71" s="41"/>
      <c r="V71" s="41" t="s">
        <v>2608</v>
      </c>
      <c r="W71" s="307">
        <v>70.0</v>
      </c>
      <c r="X71" s="41"/>
      <c r="Y71" s="682" t="s">
        <v>2330</v>
      </c>
      <c r="Z71" s="307">
        <v>70.0</v>
      </c>
      <c r="AA71" s="41"/>
      <c r="AB71" s="699" t="s">
        <v>854</v>
      </c>
      <c r="AC71" s="307">
        <v>70.0</v>
      </c>
      <c r="AD71" s="79"/>
      <c r="AE71" s="690" t="s">
        <v>1019</v>
      </c>
      <c r="AF71" s="307">
        <v>69.0</v>
      </c>
      <c r="AH71" s="687" t="s">
        <v>1019</v>
      </c>
      <c r="AI71" s="307">
        <v>69.0</v>
      </c>
      <c r="AK71" s="687" t="s">
        <v>317</v>
      </c>
      <c r="AL71" s="307">
        <v>69.0</v>
      </c>
      <c r="AN71" s="687" t="s">
        <v>1011</v>
      </c>
      <c r="AO71" s="307">
        <v>69.0</v>
      </c>
      <c r="AQ71" s="687" t="s">
        <v>2601</v>
      </c>
      <c r="AR71" s="307">
        <v>69.0</v>
      </c>
      <c r="AT71" s="687" t="s">
        <v>1228</v>
      </c>
      <c r="AU71" s="307">
        <v>69.0</v>
      </c>
      <c r="AW71" s="687" t="s">
        <v>2278</v>
      </c>
      <c r="AX71" s="307">
        <v>69.0</v>
      </c>
      <c r="AZ71" s="687" t="s">
        <v>2596</v>
      </c>
      <c r="BA71" s="307">
        <v>69.0</v>
      </c>
      <c r="BC71" s="691" t="s">
        <v>2600</v>
      </c>
      <c r="BD71" s="307">
        <v>69.0</v>
      </c>
      <c r="BF71" s="687" t="s">
        <v>2600</v>
      </c>
      <c r="BG71" s="145">
        <v>70.0</v>
      </c>
      <c r="BI71" s="688" t="s">
        <v>2601</v>
      </c>
      <c r="BJ71" s="145">
        <v>70.0</v>
      </c>
      <c r="BL71" s="692" t="s">
        <v>1011</v>
      </c>
      <c r="BM71" s="216">
        <v>70.0</v>
      </c>
    </row>
    <row r="72">
      <c r="A72" s="41" t="s">
        <v>307</v>
      </c>
      <c r="B72" s="307">
        <v>71.0</v>
      </c>
      <c r="C72" s="41"/>
      <c r="D72" s="41" t="s">
        <v>1087</v>
      </c>
      <c r="E72" s="307">
        <v>71.0</v>
      </c>
      <c r="F72" s="41"/>
      <c r="G72" s="41" t="s">
        <v>2603</v>
      </c>
      <c r="H72" s="307">
        <v>71.0</v>
      </c>
      <c r="I72" s="41"/>
      <c r="J72" s="41" t="s">
        <v>2267</v>
      </c>
      <c r="K72" s="307">
        <v>71.0</v>
      </c>
      <c r="L72" s="41"/>
      <c r="M72" s="41" t="s">
        <v>2603</v>
      </c>
      <c r="N72" s="307">
        <v>71.0</v>
      </c>
      <c r="O72" s="41"/>
      <c r="P72" s="41" t="s">
        <v>2267</v>
      </c>
      <c r="Q72" s="307">
        <v>71.0</v>
      </c>
      <c r="R72" s="41"/>
      <c r="S72" s="41" t="s">
        <v>824</v>
      </c>
      <c r="T72" s="307">
        <v>71.0</v>
      </c>
      <c r="U72" s="41"/>
      <c r="V72" s="41" t="s">
        <v>2160</v>
      </c>
      <c r="W72" s="307">
        <v>71.0</v>
      </c>
      <c r="X72" s="41"/>
      <c r="Y72" s="698" t="s">
        <v>1013</v>
      </c>
      <c r="Z72" s="307">
        <v>71.0</v>
      </c>
      <c r="AA72" s="41"/>
      <c r="AB72" s="683" t="s">
        <v>269</v>
      </c>
      <c r="AC72" s="307">
        <v>71.0</v>
      </c>
      <c r="AD72" s="79"/>
      <c r="AE72" s="690" t="s">
        <v>2596</v>
      </c>
      <c r="AF72" s="307">
        <v>70.0</v>
      </c>
      <c r="AH72" s="687" t="s">
        <v>2585</v>
      </c>
      <c r="AI72" s="307">
        <v>70.0</v>
      </c>
      <c r="AK72" s="687" t="s">
        <v>2307</v>
      </c>
      <c r="AL72" s="307">
        <v>70.0</v>
      </c>
      <c r="AN72" s="687" t="s">
        <v>317</v>
      </c>
      <c r="AO72" s="307">
        <v>70.0</v>
      </c>
      <c r="AQ72" s="687" t="s">
        <v>317</v>
      </c>
      <c r="AR72" s="307">
        <v>70.0</v>
      </c>
      <c r="AT72" s="687" t="s">
        <v>2601</v>
      </c>
      <c r="AU72" s="307">
        <v>70.0</v>
      </c>
      <c r="AW72" s="687" t="s">
        <v>2609</v>
      </c>
      <c r="AX72" s="307">
        <v>70.0</v>
      </c>
      <c r="AZ72" s="687" t="s">
        <v>1228</v>
      </c>
      <c r="BA72" s="307">
        <v>70.0</v>
      </c>
      <c r="BC72" s="691" t="s">
        <v>2610</v>
      </c>
      <c r="BD72" s="307">
        <v>70.0</v>
      </c>
      <c r="BF72" s="687" t="s">
        <v>2601</v>
      </c>
      <c r="BG72" s="145">
        <v>71.0</v>
      </c>
      <c r="BI72" s="688" t="s">
        <v>1011</v>
      </c>
      <c r="BJ72" s="145">
        <v>71.0</v>
      </c>
      <c r="BL72" s="692" t="s">
        <v>2583</v>
      </c>
      <c r="BM72" s="216">
        <v>71.0</v>
      </c>
    </row>
    <row r="73">
      <c r="A73" s="41" t="s">
        <v>824</v>
      </c>
      <c r="B73" s="307">
        <v>72.0</v>
      </c>
      <c r="C73" s="41"/>
      <c r="D73" s="41" t="s">
        <v>275</v>
      </c>
      <c r="E73" s="307">
        <v>72.0</v>
      </c>
      <c r="F73" s="41"/>
      <c r="G73" s="41" t="s">
        <v>1007</v>
      </c>
      <c r="H73" s="307">
        <v>72.0</v>
      </c>
      <c r="I73" s="41"/>
      <c r="J73" s="41" t="s">
        <v>1007</v>
      </c>
      <c r="K73" s="307">
        <v>72.0</v>
      </c>
      <c r="L73" s="41"/>
      <c r="M73" s="41" t="s">
        <v>2267</v>
      </c>
      <c r="N73" s="307">
        <v>72.0</v>
      </c>
      <c r="O73" s="41"/>
      <c r="P73" s="41" t="s">
        <v>1007</v>
      </c>
      <c r="Q73" s="307">
        <v>72.0</v>
      </c>
      <c r="R73" s="41"/>
      <c r="S73" s="41" t="s">
        <v>2189</v>
      </c>
      <c r="T73" s="307">
        <v>72.0</v>
      </c>
      <c r="U73" s="41"/>
      <c r="V73" s="41" t="s">
        <v>317</v>
      </c>
      <c r="W73" s="307">
        <v>72.0</v>
      </c>
      <c r="X73" s="41"/>
      <c r="Y73" s="682" t="s">
        <v>2178</v>
      </c>
      <c r="Z73" s="307">
        <v>72.0</v>
      </c>
      <c r="AA73" s="41"/>
      <c r="AB73" s="683" t="s">
        <v>2578</v>
      </c>
      <c r="AC73" s="307">
        <v>72.0</v>
      </c>
      <c r="AD73" s="79"/>
      <c r="AE73" s="690" t="s">
        <v>269</v>
      </c>
      <c r="AF73" s="307">
        <v>71.0</v>
      </c>
      <c r="AH73" s="687" t="s">
        <v>2178</v>
      </c>
      <c r="AI73" s="307">
        <v>71.0</v>
      </c>
      <c r="AK73" s="687" t="s">
        <v>269</v>
      </c>
      <c r="AL73" s="307">
        <v>71.0</v>
      </c>
      <c r="AN73" s="687" t="s">
        <v>2307</v>
      </c>
      <c r="AO73" s="307">
        <v>71.0</v>
      </c>
      <c r="AQ73" s="687" t="s">
        <v>2178</v>
      </c>
      <c r="AR73" s="307">
        <v>71.0</v>
      </c>
      <c r="AT73" s="687" t="s">
        <v>317</v>
      </c>
      <c r="AU73" s="307">
        <v>71.0</v>
      </c>
      <c r="AW73" s="687" t="s">
        <v>2573</v>
      </c>
      <c r="AX73" s="307">
        <v>71.0</v>
      </c>
      <c r="AZ73" s="687" t="s">
        <v>2125</v>
      </c>
      <c r="BA73" s="307">
        <v>71.0</v>
      </c>
      <c r="BC73" s="691" t="s">
        <v>2321</v>
      </c>
      <c r="BD73" s="307">
        <v>71.0</v>
      </c>
      <c r="BF73" s="687" t="s">
        <v>2171</v>
      </c>
      <c r="BG73" s="145">
        <v>72.0</v>
      </c>
      <c r="BI73" s="688" t="s">
        <v>1019</v>
      </c>
      <c r="BJ73" s="145">
        <v>72.0</v>
      </c>
      <c r="BL73" s="692" t="s">
        <v>2090</v>
      </c>
      <c r="BM73" s="216">
        <v>72.0</v>
      </c>
    </row>
    <row r="74">
      <c r="A74" s="41" t="s">
        <v>2611</v>
      </c>
      <c r="B74" s="307">
        <v>73.0</v>
      </c>
      <c r="C74" s="41"/>
      <c r="D74" s="41" t="s">
        <v>2309</v>
      </c>
      <c r="E74" s="307">
        <v>73.0</v>
      </c>
      <c r="F74" s="41"/>
      <c r="G74" s="41" t="s">
        <v>2591</v>
      </c>
      <c r="H74" s="307">
        <v>73.0</v>
      </c>
      <c r="I74" s="41"/>
      <c r="J74" s="41" t="s">
        <v>2591</v>
      </c>
      <c r="K74" s="307">
        <v>73.0</v>
      </c>
      <c r="L74" s="41"/>
      <c r="M74" s="41" t="s">
        <v>1007</v>
      </c>
      <c r="N74" s="307">
        <v>73.0</v>
      </c>
      <c r="O74" s="41"/>
      <c r="P74" s="41" t="s">
        <v>2598</v>
      </c>
      <c r="Q74" s="307">
        <v>73.0</v>
      </c>
      <c r="R74" s="41"/>
      <c r="S74" s="41" t="s">
        <v>1007</v>
      </c>
      <c r="T74" s="307">
        <v>73.0</v>
      </c>
      <c r="U74" s="41"/>
      <c r="V74" s="41" t="s">
        <v>824</v>
      </c>
      <c r="W74" s="307">
        <v>73.0</v>
      </c>
      <c r="X74" s="41"/>
      <c r="Y74" s="682" t="s">
        <v>317</v>
      </c>
      <c r="Z74" s="307">
        <v>73.0</v>
      </c>
      <c r="AA74" s="41"/>
      <c r="AB74" s="683" t="s">
        <v>2101</v>
      </c>
      <c r="AC74" s="307">
        <v>73.0</v>
      </c>
      <c r="AD74" s="79"/>
      <c r="AE74" s="690" t="s">
        <v>2578</v>
      </c>
      <c r="AF74" s="307">
        <v>72.0</v>
      </c>
      <c r="AH74" s="687" t="s">
        <v>266</v>
      </c>
      <c r="AI74" s="307">
        <v>72.0</v>
      </c>
      <c r="AK74" s="687" t="s">
        <v>1019</v>
      </c>
      <c r="AL74" s="307">
        <v>72.0</v>
      </c>
      <c r="AN74" s="687" t="s">
        <v>2612</v>
      </c>
      <c r="AO74" s="307">
        <v>72.0</v>
      </c>
      <c r="AQ74" s="687" t="s">
        <v>1011</v>
      </c>
      <c r="AR74" s="307">
        <v>72.0</v>
      </c>
      <c r="AT74" s="687" t="s">
        <v>2178</v>
      </c>
      <c r="AU74" s="307">
        <v>72.0</v>
      </c>
      <c r="AW74" s="687" t="s">
        <v>2604</v>
      </c>
      <c r="AX74" s="307">
        <v>72.0</v>
      </c>
      <c r="AZ74" s="687" t="s">
        <v>2610</v>
      </c>
      <c r="BA74" s="307">
        <v>72.0</v>
      </c>
      <c r="BC74" s="691" t="s">
        <v>2178</v>
      </c>
      <c r="BD74" s="307">
        <v>72.0</v>
      </c>
      <c r="BF74" s="687" t="s">
        <v>2381</v>
      </c>
      <c r="BG74" s="145">
        <v>73.0</v>
      </c>
      <c r="BI74" s="688" t="s">
        <v>2090</v>
      </c>
      <c r="BJ74" s="145">
        <v>73.0</v>
      </c>
      <c r="BL74" s="692" t="s">
        <v>1019</v>
      </c>
      <c r="BM74" s="216">
        <v>73.0</v>
      </c>
    </row>
    <row r="75">
      <c r="A75" s="41" t="s">
        <v>2613</v>
      </c>
      <c r="B75" s="307">
        <v>74.0</v>
      </c>
      <c r="C75" s="41"/>
      <c r="D75" s="41" t="s">
        <v>2614</v>
      </c>
      <c r="E75" s="307">
        <v>74.0</v>
      </c>
      <c r="F75" s="41"/>
      <c r="G75" s="41" t="s">
        <v>1011</v>
      </c>
      <c r="H75" s="307">
        <v>74.0</v>
      </c>
      <c r="I75" s="41"/>
      <c r="J75" s="41" t="s">
        <v>2593</v>
      </c>
      <c r="K75" s="307">
        <v>74.0</v>
      </c>
      <c r="L75" s="41"/>
      <c r="M75" s="41" t="s">
        <v>2593</v>
      </c>
      <c r="N75" s="307">
        <v>74.0</v>
      </c>
      <c r="O75" s="41"/>
      <c r="P75" s="41" t="s">
        <v>2607</v>
      </c>
      <c r="Q75" s="307">
        <v>74.0</v>
      </c>
      <c r="R75" s="41"/>
      <c r="S75" s="41" t="s">
        <v>2607</v>
      </c>
      <c r="T75" s="307">
        <v>74.0</v>
      </c>
      <c r="U75" s="41"/>
      <c r="V75" s="41" t="s">
        <v>2178</v>
      </c>
      <c r="W75" s="307">
        <v>74.0</v>
      </c>
      <c r="X75" s="41"/>
      <c r="Y75" s="682" t="s">
        <v>2603</v>
      </c>
      <c r="Z75" s="307">
        <v>74.0</v>
      </c>
      <c r="AA75" s="41"/>
      <c r="AB75" s="683" t="s">
        <v>2267</v>
      </c>
      <c r="AC75" s="307">
        <v>74.0</v>
      </c>
      <c r="AD75" s="79"/>
      <c r="AE75" s="690" t="s">
        <v>2101</v>
      </c>
      <c r="AF75" s="307">
        <v>73.0</v>
      </c>
      <c r="AH75" s="687" t="s">
        <v>2596</v>
      </c>
      <c r="AI75" s="307">
        <v>73.0</v>
      </c>
      <c r="AK75" s="687" t="s">
        <v>2585</v>
      </c>
      <c r="AL75" s="307">
        <v>73.0</v>
      </c>
      <c r="AN75" s="687" t="s">
        <v>854</v>
      </c>
      <c r="AO75" s="307">
        <v>73.0</v>
      </c>
      <c r="AQ75" s="687" t="s">
        <v>2609</v>
      </c>
      <c r="AR75" s="307">
        <v>73.0</v>
      </c>
      <c r="AT75" s="687" t="s">
        <v>2609</v>
      </c>
      <c r="AU75" s="307">
        <v>73.0</v>
      </c>
      <c r="AW75" s="687" t="s">
        <v>2589</v>
      </c>
      <c r="AX75" s="307">
        <v>73.0</v>
      </c>
      <c r="AZ75" s="687" t="s">
        <v>2577</v>
      </c>
      <c r="BA75" s="307">
        <v>73.0</v>
      </c>
      <c r="BC75" s="691" t="s">
        <v>2601</v>
      </c>
      <c r="BD75" s="307">
        <v>73.0</v>
      </c>
      <c r="BF75" s="687" t="s">
        <v>2604</v>
      </c>
      <c r="BG75" s="145">
        <v>74.0</v>
      </c>
      <c r="BI75" s="688" t="s">
        <v>2604</v>
      </c>
      <c r="BJ75" s="145">
        <v>74.0</v>
      </c>
      <c r="BL75" s="692" t="s">
        <v>1013</v>
      </c>
      <c r="BM75" s="216">
        <v>74.0</v>
      </c>
    </row>
    <row r="76">
      <c r="A76" s="41" t="s">
        <v>252</v>
      </c>
      <c r="B76" s="307">
        <v>75.0</v>
      </c>
      <c r="C76" s="41"/>
      <c r="D76" s="41" t="s">
        <v>1011</v>
      </c>
      <c r="E76" s="307">
        <v>75.0</v>
      </c>
      <c r="F76" s="41"/>
      <c r="G76" s="41" t="s">
        <v>2606</v>
      </c>
      <c r="H76" s="307">
        <v>75.0</v>
      </c>
      <c r="I76" s="41"/>
      <c r="J76" s="41" t="s">
        <v>2115</v>
      </c>
      <c r="K76" s="307">
        <v>75.0</v>
      </c>
      <c r="L76" s="41"/>
      <c r="M76" s="41" t="s">
        <v>2115</v>
      </c>
      <c r="N76" s="307">
        <v>75.0</v>
      </c>
      <c r="O76" s="41"/>
      <c r="P76" s="41" t="s">
        <v>2593</v>
      </c>
      <c r="Q76" s="307">
        <v>75.0</v>
      </c>
      <c r="R76" s="41"/>
      <c r="S76" s="41" t="s">
        <v>317</v>
      </c>
      <c r="T76" s="307">
        <v>75.0</v>
      </c>
      <c r="U76" s="41"/>
      <c r="V76" s="41" t="s">
        <v>2607</v>
      </c>
      <c r="W76" s="307">
        <v>75.0</v>
      </c>
      <c r="X76" s="41"/>
      <c r="Y76" s="682" t="s">
        <v>2606</v>
      </c>
      <c r="Z76" s="307">
        <v>75.0</v>
      </c>
      <c r="AA76" s="41"/>
      <c r="AB76" s="683" t="s">
        <v>2178</v>
      </c>
      <c r="AC76" s="307">
        <v>75.0</v>
      </c>
      <c r="AD76" s="79"/>
      <c r="AE76" s="690" t="s">
        <v>2267</v>
      </c>
      <c r="AF76" s="307">
        <v>74.0</v>
      </c>
      <c r="AH76" s="687" t="s">
        <v>2600</v>
      </c>
      <c r="AI76" s="307">
        <v>74.0</v>
      </c>
      <c r="AK76" s="687" t="s">
        <v>2178</v>
      </c>
      <c r="AL76" s="307">
        <v>74.0</v>
      </c>
      <c r="AN76" s="687" t="s">
        <v>1019</v>
      </c>
      <c r="AO76" s="307">
        <v>74.0</v>
      </c>
      <c r="AQ76" s="687" t="s">
        <v>2600</v>
      </c>
      <c r="AR76" s="307">
        <v>74.0</v>
      </c>
      <c r="AT76" s="687" t="s">
        <v>2573</v>
      </c>
      <c r="AU76" s="307">
        <v>74.0</v>
      </c>
      <c r="AW76" s="687" t="s">
        <v>1011</v>
      </c>
      <c r="AX76" s="307">
        <v>74.0</v>
      </c>
      <c r="AZ76" s="687" t="s">
        <v>2178</v>
      </c>
      <c r="BA76" s="307">
        <v>74.0</v>
      </c>
      <c r="BC76" s="691" t="s">
        <v>2171</v>
      </c>
      <c r="BD76" s="307">
        <v>74.0</v>
      </c>
      <c r="BF76" s="687" t="s">
        <v>854</v>
      </c>
      <c r="BG76" s="145">
        <v>75.0</v>
      </c>
      <c r="BI76" s="688" t="s">
        <v>2340</v>
      </c>
      <c r="BJ76" s="145">
        <v>75.0</v>
      </c>
      <c r="BL76" s="692" t="s">
        <v>2604</v>
      </c>
      <c r="BM76" s="216">
        <v>75.0</v>
      </c>
    </row>
    <row r="77">
      <c r="A77" s="41" t="s">
        <v>2305</v>
      </c>
      <c r="B77" s="307">
        <v>76.0</v>
      </c>
      <c r="C77" s="41"/>
      <c r="D77" s="41" t="s">
        <v>2603</v>
      </c>
      <c r="E77" s="307">
        <v>76.0</v>
      </c>
      <c r="F77" s="41"/>
      <c r="G77" s="41" t="s">
        <v>2309</v>
      </c>
      <c r="H77" s="307">
        <v>76.0</v>
      </c>
      <c r="I77" s="41"/>
      <c r="J77" s="41" t="s">
        <v>266</v>
      </c>
      <c r="K77" s="307">
        <v>76.0</v>
      </c>
      <c r="L77" s="41"/>
      <c r="M77" s="41" t="s">
        <v>2615</v>
      </c>
      <c r="N77" s="307">
        <v>76.0</v>
      </c>
      <c r="O77" s="41"/>
      <c r="P77" s="41" t="s">
        <v>2576</v>
      </c>
      <c r="Q77" s="307">
        <v>76.0</v>
      </c>
      <c r="R77" s="41"/>
      <c r="S77" s="41" t="s">
        <v>2584</v>
      </c>
      <c r="T77" s="307">
        <v>76.0</v>
      </c>
      <c r="U77" s="41"/>
      <c r="V77" s="41" t="s">
        <v>2305</v>
      </c>
      <c r="W77" s="307">
        <v>76.0</v>
      </c>
      <c r="X77" s="41"/>
      <c r="Y77" s="682" t="s">
        <v>2607</v>
      </c>
      <c r="Z77" s="307">
        <v>76.0</v>
      </c>
      <c r="AA77" s="41"/>
      <c r="AB77" s="683" t="s">
        <v>317</v>
      </c>
      <c r="AC77" s="307">
        <v>76.0</v>
      </c>
      <c r="AD77" s="79"/>
      <c r="AE77" s="690" t="s">
        <v>2178</v>
      </c>
      <c r="AF77" s="307">
        <v>75.0</v>
      </c>
      <c r="AH77" s="687" t="s">
        <v>2267</v>
      </c>
      <c r="AI77" s="307">
        <v>75.0</v>
      </c>
      <c r="AK77" s="687" t="s">
        <v>2160</v>
      </c>
      <c r="AL77" s="307">
        <v>75.0</v>
      </c>
      <c r="AN77" s="687" t="s">
        <v>2101</v>
      </c>
      <c r="AO77" s="307">
        <v>75.0</v>
      </c>
      <c r="AQ77" s="687" t="s">
        <v>2160</v>
      </c>
      <c r="AR77" s="307">
        <v>75.0</v>
      </c>
      <c r="AT77" s="687" t="s">
        <v>2604</v>
      </c>
      <c r="AU77" s="307">
        <v>75.0</v>
      </c>
      <c r="AW77" s="687" t="s">
        <v>2610</v>
      </c>
      <c r="AX77" s="307">
        <v>75.0</v>
      </c>
      <c r="AZ77" s="687" t="s">
        <v>2601</v>
      </c>
      <c r="BA77" s="307">
        <v>75.0</v>
      </c>
      <c r="BC77" s="691" t="s">
        <v>2573</v>
      </c>
      <c r="BD77" s="307">
        <v>75.0</v>
      </c>
      <c r="BF77" s="687" t="s">
        <v>2596</v>
      </c>
      <c r="BG77" s="145">
        <v>76.0</v>
      </c>
      <c r="BI77" s="688" t="s">
        <v>2381</v>
      </c>
      <c r="BJ77" s="145">
        <v>76.0</v>
      </c>
      <c r="BL77" s="692" t="s">
        <v>261</v>
      </c>
      <c r="BM77" s="216">
        <v>76.0</v>
      </c>
    </row>
    <row r="78">
      <c r="A78" s="41" t="s">
        <v>2587</v>
      </c>
      <c r="B78" s="307">
        <v>77.0</v>
      </c>
      <c r="C78" s="41"/>
      <c r="D78" s="41" t="s">
        <v>1007</v>
      </c>
      <c r="E78" s="307">
        <v>77.0</v>
      </c>
      <c r="F78" s="41"/>
      <c r="G78" s="41" t="s">
        <v>2585</v>
      </c>
      <c r="H78" s="307">
        <v>77.0</v>
      </c>
      <c r="I78" s="41"/>
      <c r="J78" s="41" t="s">
        <v>2616</v>
      </c>
      <c r="K78" s="307">
        <v>77.0</v>
      </c>
      <c r="L78" s="41"/>
      <c r="M78" s="41" t="s">
        <v>266</v>
      </c>
      <c r="N78" s="307">
        <v>77.0</v>
      </c>
      <c r="O78" s="41"/>
      <c r="P78" s="41" t="s">
        <v>2125</v>
      </c>
      <c r="Q78" s="307">
        <v>77.0</v>
      </c>
      <c r="R78" s="41"/>
      <c r="S78" s="41" t="s">
        <v>266</v>
      </c>
      <c r="T78" s="307">
        <v>77.0</v>
      </c>
      <c r="U78" s="41"/>
      <c r="V78" s="41" t="s">
        <v>2125</v>
      </c>
      <c r="W78" s="307">
        <v>77.0</v>
      </c>
      <c r="X78" s="41"/>
      <c r="Y78" s="682" t="s">
        <v>1019</v>
      </c>
      <c r="Z78" s="307">
        <v>77.0</v>
      </c>
      <c r="AA78" s="41"/>
      <c r="AB78" s="683" t="s">
        <v>2607</v>
      </c>
      <c r="AC78" s="307">
        <v>77.0</v>
      </c>
      <c r="AD78" s="79"/>
      <c r="AE78" s="690" t="s">
        <v>317</v>
      </c>
      <c r="AF78" s="307">
        <v>76.0</v>
      </c>
      <c r="AH78" s="687" t="s">
        <v>2307</v>
      </c>
      <c r="AI78" s="307">
        <v>76.0</v>
      </c>
      <c r="AK78" s="687" t="s">
        <v>2267</v>
      </c>
      <c r="AL78" s="307">
        <v>76.0</v>
      </c>
      <c r="AN78" s="687" t="s">
        <v>2178</v>
      </c>
      <c r="AO78" s="307">
        <v>76.0</v>
      </c>
      <c r="AQ78" s="687" t="s">
        <v>854</v>
      </c>
      <c r="AR78" s="307">
        <v>76.0</v>
      </c>
      <c r="AT78" s="687" t="s">
        <v>1011</v>
      </c>
      <c r="AU78" s="307">
        <v>76.0</v>
      </c>
      <c r="AW78" s="687" t="s">
        <v>2160</v>
      </c>
      <c r="AX78" s="307">
        <v>76.0</v>
      </c>
      <c r="AZ78" s="687" t="s">
        <v>2171</v>
      </c>
      <c r="BA78" s="307">
        <v>76.0</v>
      </c>
      <c r="BC78" s="691" t="s">
        <v>2604</v>
      </c>
      <c r="BD78" s="307">
        <v>76.0</v>
      </c>
      <c r="BF78" s="687" t="s">
        <v>2164</v>
      </c>
      <c r="BG78" s="145">
        <v>77.0</v>
      </c>
      <c r="BI78" s="688" t="s">
        <v>926</v>
      </c>
      <c r="BJ78" s="145">
        <v>77.0</v>
      </c>
      <c r="BL78" s="692" t="s">
        <v>2297</v>
      </c>
      <c r="BM78" s="216">
        <v>77.0</v>
      </c>
    </row>
    <row r="79">
      <c r="A79" s="41" t="s">
        <v>2610</v>
      </c>
      <c r="B79" s="307">
        <v>78.0</v>
      </c>
      <c r="C79" s="41"/>
      <c r="D79" s="41" t="s">
        <v>2610</v>
      </c>
      <c r="E79" s="307">
        <v>78.0</v>
      </c>
      <c r="F79" s="41"/>
      <c r="G79" s="41" t="s">
        <v>2610</v>
      </c>
      <c r="H79" s="307">
        <v>78.0</v>
      </c>
      <c r="I79" s="41"/>
      <c r="J79" s="41" t="s">
        <v>2381</v>
      </c>
      <c r="K79" s="307">
        <v>78.0</v>
      </c>
      <c r="L79" s="41"/>
      <c r="M79" s="41" t="s">
        <v>2616</v>
      </c>
      <c r="N79" s="307">
        <v>78.0</v>
      </c>
      <c r="O79" s="41"/>
      <c r="P79" s="41" t="s">
        <v>1013</v>
      </c>
      <c r="Q79" s="307">
        <v>78.0</v>
      </c>
      <c r="R79" s="41"/>
      <c r="S79" s="41" t="s">
        <v>2125</v>
      </c>
      <c r="T79" s="307">
        <v>78.0</v>
      </c>
      <c r="U79" s="41"/>
      <c r="V79" s="41" t="s">
        <v>2583</v>
      </c>
      <c r="W79" s="307">
        <v>78.0</v>
      </c>
      <c r="X79" s="41"/>
      <c r="Y79" s="698" t="s">
        <v>2608</v>
      </c>
      <c r="Z79" s="307">
        <v>78.0</v>
      </c>
      <c r="AA79" s="41"/>
      <c r="AB79" s="683" t="s">
        <v>2617</v>
      </c>
      <c r="AC79" s="307">
        <v>78.0</v>
      </c>
      <c r="AD79" s="79"/>
      <c r="AE79" s="690" t="s">
        <v>2585</v>
      </c>
      <c r="AF79" s="307">
        <v>77.0</v>
      </c>
      <c r="AH79" s="687" t="s">
        <v>2340</v>
      </c>
      <c r="AI79" s="307">
        <v>77.0</v>
      </c>
      <c r="AK79" s="687" t="s">
        <v>2596</v>
      </c>
      <c r="AL79" s="307">
        <v>77.0</v>
      </c>
      <c r="AN79" s="687" t="s">
        <v>2618</v>
      </c>
      <c r="AO79" s="307">
        <v>77.0</v>
      </c>
      <c r="AQ79" s="687" t="s">
        <v>2267</v>
      </c>
      <c r="AR79" s="307">
        <v>77.0</v>
      </c>
      <c r="AT79" s="687" t="s">
        <v>2610</v>
      </c>
      <c r="AU79" s="307">
        <v>77.0</v>
      </c>
      <c r="AW79" s="687" t="s">
        <v>2596</v>
      </c>
      <c r="AX79" s="307">
        <v>77.0</v>
      </c>
      <c r="AZ79" s="687" t="s">
        <v>2160</v>
      </c>
      <c r="BA79" s="307">
        <v>77.0</v>
      </c>
      <c r="BC79" s="691" t="s">
        <v>854</v>
      </c>
      <c r="BD79" s="307">
        <v>77.0</v>
      </c>
      <c r="BF79" s="687" t="s">
        <v>1011</v>
      </c>
      <c r="BG79" s="145">
        <v>78.0</v>
      </c>
      <c r="BI79" s="688" t="s">
        <v>2596</v>
      </c>
      <c r="BJ79" s="145">
        <v>78.0</v>
      </c>
      <c r="BL79" s="692" t="s">
        <v>910</v>
      </c>
      <c r="BM79" s="216">
        <v>78.0</v>
      </c>
    </row>
    <row r="80">
      <c r="A80" s="41" t="s">
        <v>2568</v>
      </c>
      <c r="B80" s="307">
        <v>79.0</v>
      </c>
      <c r="C80" s="41"/>
      <c r="D80" s="41" t="s">
        <v>252</v>
      </c>
      <c r="E80" s="307">
        <v>79.0</v>
      </c>
      <c r="F80" s="41"/>
      <c r="G80" s="41" t="s">
        <v>2305</v>
      </c>
      <c r="H80" s="307">
        <v>79.0</v>
      </c>
      <c r="I80" s="41"/>
      <c r="J80" s="41" t="s">
        <v>2606</v>
      </c>
      <c r="K80" s="307">
        <v>79.0</v>
      </c>
      <c r="L80" s="41"/>
      <c r="M80" s="41" t="s">
        <v>2381</v>
      </c>
      <c r="N80" s="307">
        <v>79.0</v>
      </c>
      <c r="O80" s="41"/>
      <c r="P80" s="41" t="s">
        <v>2115</v>
      </c>
      <c r="Q80" s="307">
        <v>79.0</v>
      </c>
      <c r="R80" s="41"/>
      <c r="S80" s="41" t="s">
        <v>2619</v>
      </c>
      <c r="T80" s="307">
        <v>79.0</v>
      </c>
      <c r="U80" s="41"/>
      <c r="V80" s="41" t="s">
        <v>2619</v>
      </c>
      <c r="W80" s="307">
        <v>79.0</v>
      </c>
      <c r="X80" s="41"/>
      <c r="Y80" s="682" t="s">
        <v>2600</v>
      </c>
      <c r="Z80" s="307">
        <v>79.0</v>
      </c>
      <c r="AA80" s="41"/>
      <c r="AB80" s="683" t="s">
        <v>2600</v>
      </c>
      <c r="AC80" s="307">
        <v>79.0</v>
      </c>
      <c r="AD80" s="79"/>
      <c r="AE80" s="690" t="s">
        <v>2617</v>
      </c>
      <c r="AF80" s="307">
        <v>78.0</v>
      </c>
      <c r="AH80" s="687" t="s">
        <v>2604</v>
      </c>
      <c r="AI80" s="307">
        <v>78.0</v>
      </c>
      <c r="AK80" s="687" t="s">
        <v>2340</v>
      </c>
      <c r="AL80" s="307">
        <v>78.0</v>
      </c>
      <c r="AN80" s="687" t="s">
        <v>2160</v>
      </c>
      <c r="AO80" s="307">
        <v>78.0</v>
      </c>
      <c r="AQ80" s="687" t="s">
        <v>2101</v>
      </c>
      <c r="AR80" s="307">
        <v>78.0</v>
      </c>
      <c r="AT80" s="687" t="s">
        <v>2160</v>
      </c>
      <c r="AU80" s="307">
        <v>78.0</v>
      </c>
      <c r="AW80" s="687" t="s">
        <v>2601</v>
      </c>
      <c r="AX80" s="307">
        <v>78.0</v>
      </c>
      <c r="AZ80" s="687" t="s">
        <v>2101</v>
      </c>
      <c r="BA80" s="307">
        <v>78.0</v>
      </c>
      <c r="BC80" s="691" t="s">
        <v>2164</v>
      </c>
      <c r="BD80" s="307">
        <v>78.0</v>
      </c>
      <c r="BF80" s="687" t="s">
        <v>2178</v>
      </c>
      <c r="BG80" s="145">
        <v>79.0</v>
      </c>
      <c r="BI80" s="688" t="s">
        <v>2297</v>
      </c>
      <c r="BJ80" s="145">
        <v>79.0</v>
      </c>
      <c r="BL80" s="692" t="s">
        <v>2389</v>
      </c>
      <c r="BM80" s="216">
        <v>79.0</v>
      </c>
    </row>
    <row r="81">
      <c r="A81" s="41" t="s">
        <v>2105</v>
      </c>
      <c r="B81" s="307">
        <v>80.0</v>
      </c>
      <c r="C81" s="41"/>
      <c r="D81" s="41" t="s">
        <v>2620</v>
      </c>
      <c r="E81" s="307">
        <v>80.0</v>
      </c>
      <c r="F81" s="41"/>
      <c r="G81" s="41" t="s">
        <v>2267</v>
      </c>
      <c r="H81" s="307">
        <v>80.0</v>
      </c>
      <c r="I81" s="41"/>
      <c r="J81" s="41" t="s">
        <v>2309</v>
      </c>
      <c r="K81" s="307">
        <v>80.0</v>
      </c>
      <c r="L81" s="41"/>
      <c r="M81" s="41" t="s">
        <v>2599</v>
      </c>
      <c r="N81" s="307">
        <v>80.0</v>
      </c>
      <c r="O81" s="41"/>
      <c r="P81" s="41" t="s">
        <v>2615</v>
      </c>
      <c r="Q81" s="307">
        <v>80.0</v>
      </c>
      <c r="R81" s="41"/>
      <c r="S81" s="41" t="s">
        <v>1241</v>
      </c>
      <c r="T81" s="307">
        <v>80.0</v>
      </c>
      <c r="U81" s="41"/>
      <c r="V81" s="41" t="s">
        <v>2617</v>
      </c>
      <c r="W81" s="307">
        <v>80.0</v>
      </c>
      <c r="X81" s="41"/>
      <c r="Y81" s="682" t="s">
        <v>2160</v>
      </c>
      <c r="Z81" s="307">
        <v>80.0</v>
      </c>
      <c r="AA81" s="41"/>
      <c r="AB81" s="699" t="s">
        <v>2307</v>
      </c>
      <c r="AC81" s="307">
        <v>80.0</v>
      </c>
      <c r="AD81" s="79"/>
      <c r="AE81" s="690" t="s">
        <v>255</v>
      </c>
      <c r="AF81" s="307">
        <v>79.0</v>
      </c>
      <c r="AH81" s="687" t="s">
        <v>2325</v>
      </c>
      <c r="AI81" s="307">
        <v>79.0</v>
      </c>
      <c r="AK81" s="687" t="s">
        <v>2604</v>
      </c>
      <c r="AL81" s="307">
        <v>79.0</v>
      </c>
      <c r="AN81" s="687" t="s">
        <v>2573</v>
      </c>
      <c r="AO81" s="307">
        <v>79.0</v>
      </c>
      <c r="AQ81" s="687" t="s">
        <v>2395</v>
      </c>
      <c r="AR81" s="307">
        <v>79.0</v>
      </c>
      <c r="AT81" s="687" t="s">
        <v>2101</v>
      </c>
      <c r="AU81" s="307">
        <v>79.0</v>
      </c>
      <c r="AW81" s="687" t="s">
        <v>1228</v>
      </c>
      <c r="AX81" s="307">
        <v>79.0</v>
      </c>
      <c r="AZ81" s="687" t="s">
        <v>2340</v>
      </c>
      <c r="BA81" s="307">
        <v>79.0</v>
      </c>
      <c r="BC81" s="691" t="s">
        <v>1011</v>
      </c>
      <c r="BD81" s="307">
        <v>79.0</v>
      </c>
      <c r="BF81" s="687" t="s">
        <v>2577</v>
      </c>
      <c r="BG81" s="145">
        <v>80.0</v>
      </c>
      <c r="BI81" s="688" t="s">
        <v>2178</v>
      </c>
      <c r="BJ81" s="145">
        <v>80.0</v>
      </c>
      <c r="BL81" s="692" t="s">
        <v>2303</v>
      </c>
      <c r="BM81" s="216">
        <v>80.0</v>
      </c>
    </row>
    <row r="82">
      <c r="A82" s="41" t="s">
        <v>87</v>
      </c>
      <c r="B82" s="307">
        <v>81.0</v>
      </c>
      <c r="C82" s="41"/>
      <c r="D82" s="41" t="s">
        <v>2267</v>
      </c>
      <c r="E82" s="307">
        <v>81.0</v>
      </c>
      <c r="F82" s="41"/>
      <c r="G82" s="41" t="s">
        <v>2291</v>
      </c>
      <c r="H82" s="307">
        <v>81.0</v>
      </c>
      <c r="I82" s="41"/>
      <c r="J82" s="41" t="s">
        <v>2305</v>
      </c>
      <c r="K82" s="307">
        <v>81.0</v>
      </c>
      <c r="L82" s="41"/>
      <c r="M82" s="41" t="s">
        <v>2606</v>
      </c>
      <c r="N82" s="307">
        <v>81.0</v>
      </c>
      <c r="O82" s="41"/>
      <c r="P82" s="41" t="s">
        <v>2325</v>
      </c>
      <c r="Q82" s="307">
        <v>81.0</v>
      </c>
      <c r="R82" s="41"/>
      <c r="S82" s="41" t="s">
        <v>2278</v>
      </c>
      <c r="T82" s="307">
        <v>81.0</v>
      </c>
      <c r="U82" s="41"/>
      <c r="V82" s="41" t="s">
        <v>2610</v>
      </c>
      <c r="W82" s="307">
        <v>81.0</v>
      </c>
      <c r="X82" s="41"/>
      <c r="Y82" s="682" t="s">
        <v>1228</v>
      </c>
      <c r="Z82" s="307">
        <v>81.0</v>
      </c>
      <c r="AA82" s="41"/>
      <c r="AB82" s="683" t="s">
        <v>2309</v>
      </c>
      <c r="AC82" s="307">
        <v>81.0</v>
      </c>
      <c r="AD82" s="79"/>
      <c r="AE82" s="690" t="s">
        <v>2600</v>
      </c>
      <c r="AF82" s="307">
        <v>80.0</v>
      </c>
      <c r="AH82" s="687" t="s">
        <v>2619</v>
      </c>
      <c r="AI82" s="307">
        <v>80.0</v>
      </c>
      <c r="AK82" s="687" t="s">
        <v>2578</v>
      </c>
      <c r="AL82" s="307">
        <v>80.0</v>
      </c>
      <c r="AN82" s="694" t="s">
        <v>2621</v>
      </c>
      <c r="AO82" s="307">
        <v>80.0</v>
      </c>
      <c r="AQ82" s="687" t="s">
        <v>2340</v>
      </c>
      <c r="AR82" s="307">
        <v>80.0</v>
      </c>
      <c r="AT82" s="687" t="s">
        <v>2395</v>
      </c>
      <c r="AU82" s="307">
        <v>80.0</v>
      </c>
      <c r="AW82" s="687" t="s">
        <v>2101</v>
      </c>
      <c r="AX82" s="307">
        <v>80.0</v>
      </c>
      <c r="AZ82" s="687" t="s">
        <v>2278</v>
      </c>
      <c r="BA82" s="307">
        <v>80.0</v>
      </c>
      <c r="BC82" s="691" t="s">
        <v>2577</v>
      </c>
      <c r="BD82" s="307">
        <v>80.0</v>
      </c>
      <c r="BF82" s="687" t="s">
        <v>2389</v>
      </c>
      <c r="BG82" s="145">
        <v>81.0</v>
      </c>
      <c r="BI82" s="688" t="s">
        <v>2600</v>
      </c>
      <c r="BJ82" s="145">
        <v>81.0</v>
      </c>
      <c r="BL82" s="692" t="s">
        <v>2270</v>
      </c>
      <c r="BM82" s="216">
        <v>81.0</v>
      </c>
    </row>
    <row r="83">
      <c r="A83" s="41" t="s">
        <v>2291</v>
      </c>
      <c r="B83" s="307">
        <v>82.0</v>
      </c>
      <c r="C83" s="41"/>
      <c r="D83" s="41" t="s">
        <v>2291</v>
      </c>
      <c r="E83" s="307">
        <v>82.0</v>
      </c>
      <c r="F83" s="41"/>
      <c r="G83" s="41" t="s">
        <v>1821</v>
      </c>
      <c r="H83" s="307">
        <v>82.0</v>
      </c>
      <c r="I83" s="41"/>
      <c r="J83" s="41" t="s">
        <v>2594</v>
      </c>
      <c r="K83" s="307">
        <v>82.0</v>
      </c>
      <c r="L83" s="41"/>
      <c r="M83" s="41" t="s">
        <v>2309</v>
      </c>
      <c r="N83" s="307">
        <v>82.0</v>
      </c>
      <c r="O83" s="41"/>
      <c r="P83" s="41" t="s">
        <v>2573</v>
      </c>
      <c r="Q83" s="307">
        <v>82.0</v>
      </c>
      <c r="R83" s="41"/>
      <c r="S83" s="41" t="s">
        <v>1240</v>
      </c>
      <c r="T83" s="307">
        <v>82.0</v>
      </c>
      <c r="U83" s="41"/>
      <c r="V83" s="41" t="s">
        <v>2593</v>
      </c>
      <c r="W83" s="307">
        <v>82.0</v>
      </c>
      <c r="X83" s="41"/>
      <c r="Y83" s="682" t="s">
        <v>824</v>
      </c>
      <c r="Z83" s="307">
        <v>82.0</v>
      </c>
      <c r="AA83" s="41"/>
      <c r="AB83" s="683" t="s">
        <v>2577</v>
      </c>
      <c r="AC83" s="307">
        <v>82.0</v>
      </c>
      <c r="AD83" s="79"/>
      <c r="AE83" s="690" t="s">
        <v>2307</v>
      </c>
      <c r="AF83" s="307">
        <v>81.0</v>
      </c>
      <c r="AH83" s="687" t="s">
        <v>317</v>
      </c>
      <c r="AI83" s="307">
        <v>81.0</v>
      </c>
      <c r="AK83" s="687" t="s">
        <v>266</v>
      </c>
      <c r="AL83" s="307">
        <v>81.0</v>
      </c>
      <c r="AN83" s="687" t="s">
        <v>2325</v>
      </c>
      <c r="AO83" s="307">
        <v>81.0</v>
      </c>
      <c r="AQ83" s="687" t="s">
        <v>2604</v>
      </c>
      <c r="AR83" s="307">
        <v>81.0</v>
      </c>
      <c r="AT83" s="687" t="s">
        <v>2340</v>
      </c>
      <c r="AU83" s="307">
        <v>81.0</v>
      </c>
      <c r="AW83" s="687" t="s">
        <v>2395</v>
      </c>
      <c r="AX83" s="307">
        <v>81.0</v>
      </c>
      <c r="AZ83" s="687" t="s">
        <v>2164</v>
      </c>
      <c r="BA83" s="307">
        <v>81.0</v>
      </c>
      <c r="BC83" s="691" t="s">
        <v>255</v>
      </c>
      <c r="BD83" s="307">
        <v>81.0</v>
      </c>
      <c r="BF83" s="687" t="s">
        <v>2090</v>
      </c>
      <c r="BG83" s="145">
        <v>82.0</v>
      </c>
      <c r="BI83" s="688" t="s">
        <v>261</v>
      </c>
      <c r="BJ83" s="145">
        <v>82.0</v>
      </c>
      <c r="BL83" s="692" t="s">
        <v>2152</v>
      </c>
      <c r="BM83" s="216">
        <v>82.0</v>
      </c>
    </row>
    <row r="84">
      <c r="A84" s="41" t="s">
        <v>2599</v>
      </c>
      <c r="B84" s="307">
        <v>83.0</v>
      </c>
      <c r="C84" s="41"/>
      <c r="D84" s="41" t="s">
        <v>1821</v>
      </c>
      <c r="E84" s="307">
        <v>83.0</v>
      </c>
      <c r="F84" s="41"/>
      <c r="G84" s="41" t="s">
        <v>266</v>
      </c>
      <c r="H84" s="307">
        <v>83.0</v>
      </c>
      <c r="I84" s="41"/>
      <c r="J84" s="41" t="s">
        <v>322</v>
      </c>
      <c r="K84" s="307">
        <v>83.0</v>
      </c>
      <c r="L84" s="41"/>
      <c r="M84" s="41" t="s">
        <v>2620</v>
      </c>
      <c r="N84" s="307">
        <v>83.0</v>
      </c>
      <c r="O84" s="41"/>
      <c r="P84" s="41" t="s">
        <v>266</v>
      </c>
      <c r="Q84" s="307">
        <v>83.0</v>
      </c>
      <c r="R84" s="41"/>
      <c r="S84" s="41" t="s">
        <v>2593</v>
      </c>
      <c r="T84" s="307">
        <v>83.0</v>
      </c>
      <c r="U84" s="41"/>
      <c r="V84" s="41" t="s">
        <v>2576</v>
      </c>
      <c r="W84" s="307">
        <v>83.0</v>
      </c>
      <c r="X84" s="41"/>
      <c r="Y84" s="682" t="s">
        <v>2125</v>
      </c>
      <c r="Z84" s="307">
        <v>83.0</v>
      </c>
      <c r="AA84" s="41"/>
      <c r="AB84" s="699" t="s">
        <v>2604</v>
      </c>
      <c r="AC84" s="307">
        <v>83.0</v>
      </c>
      <c r="AD84" s="79"/>
      <c r="AE84" s="690" t="s">
        <v>2309</v>
      </c>
      <c r="AF84" s="307">
        <v>82.0</v>
      </c>
      <c r="AH84" s="687" t="s">
        <v>2578</v>
      </c>
      <c r="AI84" s="307">
        <v>82.0</v>
      </c>
      <c r="AK84" s="687" t="s">
        <v>2325</v>
      </c>
      <c r="AL84" s="307">
        <v>82.0</v>
      </c>
      <c r="AN84" s="687" t="s">
        <v>2267</v>
      </c>
      <c r="AO84" s="307">
        <v>82.0</v>
      </c>
      <c r="AQ84" s="687" t="s">
        <v>2164</v>
      </c>
      <c r="AR84" s="307">
        <v>82.0</v>
      </c>
      <c r="AT84" s="687" t="s">
        <v>2164</v>
      </c>
      <c r="AU84" s="307">
        <v>82.0</v>
      </c>
      <c r="AW84" s="687" t="s">
        <v>2340</v>
      </c>
      <c r="AX84" s="307">
        <v>82.0</v>
      </c>
      <c r="AZ84" s="687" t="s">
        <v>1011</v>
      </c>
      <c r="BA84" s="307">
        <v>82.0</v>
      </c>
      <c r="BC84" s="691" t="s">
        <v>2090</v>
      </c>
      <c r="BD84" s="307">
        <v>82.0</v>
      </c>
      <c r="BF84" s="687" t="s">
        <v>2593</v>
      </c>
      <c r="BG84" s="145">
        <v>83.0</v>
      </c>
      <c r="BI84" s="688" t="s">
        <v>2577</v>
      </c>
      <c r="BJ84" s="145">
        <v>83.0</v>
      </c>
      <c r="BL84" s="692" t="s">
        <v>2178</v>
      </c>
      <c r="BM84" s="216">
        <v>83.0</v>
      </c>
    </row>
    <row r="85">
      <c r="A85" s="41" t="s">
        <v>2620</v>
      </c>
      <c r="B85" s="307">
        <v>84.0</v>
      </c>
      <c r="C85" s="41"/>
      <c r="D85" s="41" t="s">
        <v>2381</v>
      </c>
      <c r="E85" s="307">
        <v>84.0</v>
      </c>
      <c r="F85" s="41"/>
      <c r="G85" s="41" t="s">
        <v>2115</v>
      </c>
      <c r="H85" s="307">
        <v>84.0</v>
      </c>
      <c r="I85" s="41"/>
      <c r="J85" s="41" t="s">
        <v>2189</v>
      </c>
      <c r="K85" s="307">
        <v>84.0</v>
      </c>
      <c r="L85" s="41"/>
      <c r="M85" s="41" t="s">
        <v>2305</v>
      </c>
      <c r="N85" s="307">
        <v>84.0</v>
      </c>
      <c r="O85" s="41"/>
      <c r="P85" s="41" t="s">
        <v>2616</v>
      </c>
      <c r="Q85" s="307">
        <v>84.0</v>
      </c>
      <c r="R85" s="41"/>
      <c r="S85" s="41" t="s">
        <v>2576</v>
      </c>
      <c r="T85" s="307">
        <v>84.0</v>
      </c>
      <c r="U85" s="41"/>
      <c r="V85" s="41" t="s">
        <v>2307</v>
      </c>
      <c r="W85" s="307">
        <v>84.0</v>
      </c>
      <c r="X85" s="41"/>
      <c r="Y85" s="698" t="s">
        <v>2619</v>
      </c>
      <c r="Z85" s="307">
        <v>84.0</v>
      </c>
      <c r="AA85" s="41"/>
      <c r="AB85" s="683" t="s">
        <v>2125</v>
      </c>
      <c r="AC85" s="307">
        <v>84.0</v>
      </c>
      <c r="AD85" s="79"/>
      <c r="AE85" s="690" t="s">
        <v>2577</v>
      </c>
      <c r="AF85" s="307">
        <v>83.0</v>
      </c>
      <c r="AH85" s="687" t="s">
        <v>2164</v>
      </c>
      <c r="AI85" s="307">
        <v>83.0</v>
      </c>
      <c r="AK85" s="687" t="s">
        <v>2164</v>
      </c>
      <c r="AL85" s="307">
        <v>83.0</v>
      </c>
      <c r="AN85" s="687" t="s">
        <v>2395</v>
      </c>
      <c r="AO85" s="307">
        <v>83.0</v>
      </c>
      <c r="AQ85" s="687" t="s">
        <v>2619</v>
      </c>
      <c r="AR85" s="307">
        <v>83.0</v>
      </c>
      <c r="AT85" s="687" t="s">
        <v>2619</v>
      </c>
      <c r="AU85" s="307">
        <v>83.0</v>
      </c>
      <c r="AW85" s="687" t="s">
        <v>2164</v>
      </c>
      <c r="AX85" s="307">
        <v>83.0</v>
      </c>
      <c r="AZ85" s="687" t="s">
        <v>2603</v>
      </c>
      <c r="BA85" s="307">
        <v>83.0</v>
      </c>
      <c r="BC85" s="691" t="s">
        <v>2593</v>
      </c>
      <c r="BD85" s="307">
        <v>83.0</v>
      </c>
      <c r="BF85" s="687" t="s">
        <v>2619</v>
      </c>
      <c r="BG85" s="145">
        <v>84.0</v>
      </c>
      <c r="BI85" s="688" t="s">
        <v>2389</v>
      </c>
      <c r="BJ85" s="145">
        <v>84.0</v>
      </c>
      <c r="BL85" s="692" t="s">
        <v>2622</v>
      </c>
      <c r="BM85" s="216">
        <v>84.0</v>
      </c>
    </row>
    <row r="86">
      <c r="A86" s="41" t="s">
        <v>2267</v>
      </c>
      <c r="B86" s="307">
        <v>85.0</v>
      </c>
      <c r="C86" s="41"/>
      <c r="D86" s="41" t="s">
        <v>2592</v>
      </c>
      <c r="E86" s="307">
        <v>85.0</v>
      </c>
      <c r="F86" s="41"/>
      <c r="G86" s="41" t="s">
        <v>2623</v>
      </c>
      <c r="H86" s="307">
        <v>85.0</v>
      </c>
      <c r="I86" s="41"/>
      <c r="J86" s="41" t="s">
        <v>2586</v>
      </c>
      <c r="K86" s="307">
        <v>85.0</v>
      </c>
      <c r="L86" s="41"/>
      <c r="M86" s="41" t="s">
        <v>2594</v>
      </c>
      <c r="N86" s="307">
        <v>85.0</v>
      </c>
      <c r="O86" s="41"/>
      <c r="P86" s="41" t="s">
        <v>2606</v>
      </c>
      <c r="Q86" s="307">
        <v>85.0</v>
      </c>
      <c r="R86" s="41"/>
      <c r="S86" s="41" t="s">
        <v>2616</v>
      </c>
      <c r="T86" s="307">
        <v>85.0</v>
      </c>
      <c r="U86" s="41"/>
      <c r="V86" s="41" t="s">
        <v>2616</v>
      </c>
      <c r="W86" s="307">
        <v>85.0</v>
      </c>
      <c r="X86" s="41"/>
      <c r="Y86" s="682" t="s">
        <v>2617</v>
      </c>
      <c r="Z86" s="307">
        <v>85.0</v>
      </c>
      <c r="AA86" s="41"/>
      <c r="AB86" s="683" t="s">
        <v>2576</v>
      </c>
      <c r="AC86" s="307">
        <v>85.0</v>
      </c>
      <c r="AD86" s="79"/>
      <c r="AE86" s="690" t="s">
        <v>2604</v>
      </c>
      <c r="AF86" s="307">
        <v>84.0</v>
      </c>
      <c r="AH86" s="687" t="s">
        <v>2101</v>
      </c>
      <c r="AI86" s="307">
        <v>84.0</v>
      </c>
      <c r="AK86" s="687" t="s">
        <v>2101</v>
      </c>
      <c r="AL86" s="307">
        <v>84.0</v>
      </c>
      <c r="AN86" s="687" t="s">
        <v>2340</v>
      </c>
      <c r="AO86" s="307">
        <v>84.0</v>
      </c>
      <c r="AQ86" s="687" t="s">
        <v>2603</v>
      </c>
      <c r="AR86" s="307">
        <v>84.0</v>
      </c>
      <c r="AT86" s="687" t="s">
        <v>2603</v>
      </c>
      <c r="AU86" s="307">
        <v>84.0</v>
      </c>
      <c r="AW86" s="687" t="s">
        <v>2619</v>
      </c>
      <c r="AX86" s="307">
        <v>84.0</v>
      </c>
      <c r="AZ86" s="687" t="s">
        <v>2287</v>
      </c>
      <c r="BA86" s="307">
        <v>84.0</v>
      </c>
      <c r="BC86" s="691" t="s">
        <v>1241</v>
      </c>
      <c r="BD86" s="307">
        <v>84.0</v>
      </c>
      <c r="BF86" s="687" t="s">
        <v>999</v>
      </c>
      <c r="BG86" s="145">
        <v>85.0</v>
      </c>
      <c r="BI86" s="688" t="s">
        <v>2619</v>
      </c>
      <c r="BJ86" s="145">
        <v>85.0</v>
      </c>
      <c r="BL86" s="692" t="s">
        <v>2182</v>
      </c>
      <c r="BM86" s="216">
        <v>85.0</v>
      </c>
    </row>
    <row r="87">
      <c r="A87" s="41" t="s">
        <v>2624</v>
      </c>
      <c r="B87" s="307">
        <v>86.0</v>
      </c>
      <c r="C87" s="41"/>
      <c r="D87" s="41" t="s">
        <v>2115</v>
      </c>
      <c r="E87" s="307">
        <v>86.0</v>
      </c>
      <c r="F87" s="41"/>
      <c r="G87" s="41" t="s">
        <v>2620</v>
      </c>
      <c r="H87" s="307">
        <v>86.0</v>
      </c>
      <c r="I87" s="41"/>
      <c r="J87" s="41" t="s">
        <v>1240</v>
      </c>
      <c r="K87" s="307">
        <v>86.0</v>
      </c>
      <c r="L87" s="41"/>
      <c r="M87" s="41" t="s">
        <v>327</v>
      </c>
      <c r="N87" s="307">
        <v>86.0</v>
      </c>
      <c r="O87" s="41"/>
      <c r="P87" s="41" t="s">
        <v>2309</v>
      </c>
      <c r="Q87" s="307">
        <v>86.0</v>
      </c>
      <c r="R87" s="41"/>
      <c r="S87" s="41" t="s">
        <v>2305</v>
      </c>
      <c r="T87" s="307">
        <v>86.0</v>
      </c>
      <c r="U87" s="41"/>
      <c r="V87" s="41" t="s">
        <v>2115</v>
      </c>
      <c r="W87" s="307">
        <v>86.0</v>
      </c>
      <c r="X87" s="41"/>
      <c r="Y87" s="682" t="s">
        <v>2610</v>
      </c>
      <c r="Z87" s="307">
        <v>86.0</v>
      </c>
      <c r="AA87" s="41"/>
      <c r="AB87" s="683" t="s">
        <v>2340</v>
      </c>
      <c r="AC87" s="307">
        <v>86.0</v>
      </c>
      <c r="AD87" s="79"/>
      <c r="AE87" s="690" t="s">
        <v>2340</v>
      </c>
      <c r="AF87" s="307">
        <v>85.0</v>
      </c>
      <c r="AH87" s="687" t="s">
        <v>255</v>
      </c>
      <c r="AI87" s="307">
        <v>85.0</v>
      </c>
      <c r="AK87" s="687" t="s">
        <v>2601</v>
      </c>
      <c r="AL87" s="307">
        <v>85.0</v>
      </c>
      <c r="AN87" s="687" t="s">
        <v>2604</v>
      </c>
      <c r="AO87" s="307">
        <v>85.0</v>
      </c>
      <c r="AQ87" s="687" t="s">
        <v>2596</v>
      </c>
      <c r="AR87" s="307">
        <v>85.0</v>
      </c>
      <c r="AT87" s="687" t="s">
        <v>2596</v>
      </c>
      <c r="AU87" s="307">
        <v>85.0</v>
      </c>
      <c r="AW87" s="687" t="s">
        <v>2603</v>
      </c>
      <c r="AX87" s="307">
        <v>85.0</v>
      </c>
      <c r="AZ87" s="687" t="s">
        <v>76</v>
      </c>
      <c r="BA87" s="307">
        <v>85.0</v>
      </c>
      <c r="BC87" s="691" t="s">
        <v>2287</v>
      </c>
      <c r="BD87" s="307">
        <v>85.0</v>
      </c>
      <c r="BF87" s="687" t="s">
        <v>1241</v>
      </c>
      <c r="BG87" s="145">
        <v>86.0</v>
      </c>
      <c r="BI87" s="688" t="s">
        <v>1241</v>
      </c>
      <c r="BJ87" s="145">
        <v>86.0</v>
      </c>
      <c r="BL87" s="692" t="s">
        <v>2625</v>
      </c>
      <c r="BM87" s="216">
        <v>86.0</v>
      </c>
    </row>
    <row r="88">
      <c r="A88" s="41" t="s">
        <v>1019</v>
      </c>
      <c r="B88" s="307">
        <v>87.0</v>
      </c>
      <c r="C88" s="41"/>
      <c r="D88" s="41" t="s">
        <v>1019</v>
      </c>
      <c r="E88" s="307">
        <v>87.0</v>
      </c>
      <c r="F88" s="41"/>
      <c r="G88" s="41" t="s">
        <v>1019</v>
      </c>
      <c r="H88" s="307">
        <v>87.0</v>
      </c>
      <c r="I88" s="41"/>
      <c r="J88" s="41" t="s">
        <v>2626</v>
      </c>
      <c r="K88" s="307">
        <v>87.0</v>
      </c>
      <c r="L88" s="41"/>
      <c r="M88" s="41" t="s">
        <v>322</v>
      </c>
      <c r="N88" s="307">
        <v>87.0</v>
      </c>
      <c r="O88" s="41"/>
      <c r="P88" s="41" t="s">
        <v>2305</v>
      </c>
      <c r="Q88" s="307">
        <v>87.0</v>
      </c>
      <c r="R88" s="41"/>
      <c r="S88" s="41" t="s">
        <v>2115</v>
      </c>
      <c r="T88" s="307">
        <v>87.0</v>
      </c>
      <c r="U88" s="41"/>
      <c r="V88" s="41" t="s">
        <v>2101</v>
      </c>
      <c r="W88" s="307">
        <v>87.0</v>
      </c>
      <c r="X88" s="41"/>
      <c r="Y88" s="698" t="s">
        <v>2307</v>
      </c>
      <c r="Z88" s="307">
        <v>87.0</v>
      </c>
      <c r="AA88" s="41"/>
      <c r="AB88" s="683" t="s">
        <v>2325</v>
      </c>
      <c r="AC88" s="307">
        <v>87.0</v>
      </c>
      <c r="AD88" s="79"/>
      <c r="AE88" s="690" t="s">
        <v>2325</v>
      </c>
      <c r="AF88" s="307">
        <v>86.0</v>
      </c>
      <c r="AH88" s="687" t="s">
        <v>2617</v>
      </c>
      <c r="AI88" s="307">
        <v>86.0</v>
      </c>
      <c r="AK88" s="687" t="s">
        <v>854</v>
      </c>
      <c r="AL88" s="307">
        <v>86.0</v>
      </c>
      <c r="AN88" s="687" t="s">
        <v>2578</v>
      </c>
      <c r="AO88" s="307">
        <v>86.0</v>
      </c>
      <c r="AQ88" s="687" t="s">
        <v>2610</v>
      </c>
      <c r="AR88" s="307">
        <v>86.0</v>
      </c>
      <c r="AT88" s="687" t="s">
        <v>76</v>
      </c>
      <c r="AU88" s="307">
        <v>86.0</v>
      </c>
      <c r="AW88" s="687" t="s">
        <v>76</v>
      </c>
      <c r="AX88" s="307">
        <v>86.0</v>
      </c>
      <c r="AZ88" s="687" t="s">
        <v>2417</v>
      </c>
      <c r="BA88" s="307">
        <v>86.0</v>
      </c>
      <c r="BC88" s="691" t="s">
        <v>2417</v>
      </c>
      <c r="BD88" s="307">
        <v>86.0</v>
      </c>
      <c r="BF88" s="687" t="s">
        <v>2297</v>
      </c>
      <c r="BG88" s="145">
        <v>87.0</v>
      </c>
      <c r="BI88" s="688" t="s">
        <v>2287</v>
      </c>
      <c r="BJ88" s="145">
        <v>87.0</v>
      </c>
      <c r="BL88" s="692" t="s">
        <v>2577</v>
      </c>
      <c r="BM88" s="216">
        <v>87.0</v>
      </c>
    </row>
    <row r="89">
      <c r="A89" s="41" t="s">
        <v>1821</v>
      </c>
      <c r="B89" s="307">
        <v>88.0</v>
      </c>
      <c r="C89" s="41"/>
      <c r="D89" s="41" t="s">
        <v>2307</v>
      </c>
      <c r="E89" s="307">
        <v>88.0</v>
      </c>
      <c r="F89" s="41"/>
      <c r="G89" s="41" t="s">
        <v>2597</v>
      </c>
      <c r="H89" s="307">
        <v>88.0</v>
      </c>
      <c r="I89" s="41"/>
      <c r="J89" s="41" t="s">
        <v>1019</v>
      </c>
      <c r="K89" s="307">
        <v>88.0</v>
      </c>
      <c r="L89" s="41"/>
      <c r="M89" s="41" t="s">
        <v>2189</v>
      </c>
      <c r="N89" s="307">
        <v>88.0</v>
      </c>
      <c r="O89" s="41"/>
      <c r="P89" s="41" t="s">
        <v>2594</v>
      </c>
      <c r="Q89" s="307">
        <v>88.0</v>
      </c>
      <c r="R89" s="41"/>
      <c r="S89" s="41" t="s">
        <v>2325</v>
      </c>
      <c r="T89" s="307">
        <v>88.0</v>
      </c>
      <c r="U89" s="41"/>
      <c r="V89" s="41" t="s">
        <v>2395</v>
      </c>
      <c r="W89" s="307">
        <v>88.0</v>
      </c>
      <c r="X89" s="41"/>
      <c r="Y89" s="682" t="s">
        <v>2593</v>
      </c>
      <c r="Z89" s="307">
        <v>88.0</v>
      </c>
      <c r="AA89" s="41"/>
      <c r="AB89" s="699" t="s">
        <v>1228</v>
      </c>
      <c r="AC89" s="307">
        <v>88.0</v>
      </c>
      <c r="AD89" s="79"/>
      <c r="AE89" s="690" t="s">
        <v>854</v>
      </c>
      <c r="AF89" s="307">
        <v>87.0</v>
      </c>
      <c r="AH89" s="687" t="s">
        <v>2577</v>
      </c>
      <c r="AI89" s="307">
        <v>87.0</v>
      </c>
      <c r="AK89" s="687" t="s">
        <v>2619</v>
      </c>
      <c r="AL89" s="307">
        <v>87.0</v>
      </c>
      <c r="AN89" s="687" t="s">
        <v>2164</v>
      </c>
      <c r="AO89" s="307">
        <v>87.0</v>
      </c>
      <c r="AQ89" s="687" t="s">
        <v>76</v>
      </c>
      <c r="AR89" s="307">
        <v>87.0</v>
      </c>
      <c r="AT89" s="687" t="s">
        <v>2577</v>
      </c>
      <c r="AU89" s="307">
        <v>87.0</v>
      </c>
      <c r="AW89" s="687" t="s">
        <v>2577</v>
      </c>
      <c r="AX89" s="307">
        <v>87.0</v>
      </c>
      <c r="AZ89" s="687" t="s">
        <v>2182</v>
      </c>
      <c r="BA89" s="307">
        <v>87.0</v>
      </c>
      <c r="BC89" s="691" t="s">
        <v>2182</v>
      </c>
      <c r="BD89" s="307">
        <v>87.0</v>
      </c>
      <c r="BF89" s="687" t="s">
        <v>2287</v>
      </c>
      <c r="BG89" s="145">
        <v>88.0</v>
      </c>
      <c r="BI89" s="688" t="s">
        <v>910</v>
      </c>
      <c r="BJ89" s="145">
        <v>88.0</v>
      </c>
      <c r="BL89" s="692" t="s">
        <v>2276</v>
      </c>
      <c r="BM89" s="216">
        <v>88.0</v>
      </c>
    </row>
    <row r="90">
      <c r="A90" s="41" t="s">
        <v>2381</v>
      </c>
      <c r="B90" s="307">
        <v>89.0</v>
      </c>
      <c r="C90" s="41"/>
      <c r="D90" s="41" t="s">
        <v>2278</v>
      </c>
      <c r="E90" s="307">
        <v>89.0</v>
      </c>
      <c r="F90" s="41"/>
      <c r="G90" s="41" t="s">
        <v>2278</v>
      </c>
      <c r="H90" s="307">
        <v>89.0</v>
      </c>
      <c r="I90" s="41"/>
      <c r="J90" s="41" t="s">
        <v>2395</v>
      </c>
      <c r="K90" s="307">
        <v>89.0</v>
      </c>
      <c r="L90" s="41"/>
      <c r="M90" s="41" t="s">
        <v>2586</v>
      </c>
      <c r="N90" s="307">
        <v>89.0</v>
      </c>
      <c r="O90" s="41"/>
      <c r="P90" s="41" t="s">
        <v>2619</v>
      </c>
      <c r="Q90" s="307">
        <v>89.0</v>
      </c>
      <c r="R90" s="41"/>
      <c r="S90" s="41" t="s">
        <v>2395</v>
      </c>
      <c r="T90" s="307">
        <v>89.0</v>
      </c>
      <c r="U90" s="41"/>
      <c r="V90" s="41" t="s">
        <v>1240</v>
      </c>
      <c r="W90" s="307">
        <v>89.0</v>
      </c>
      <c r="X90" s="41"/>
      <c r="Y90" s="682" t="s">
        <v>2601</v>
      </c>
      <c r="Z90" s="307">
        <v>89.0</v>
      </c>
      <c r="AA90" s="41"/>
      <c r="AB90" s="683" t="s">
        <v>2619</v>
      </c>
      <c r="AC90" s="307">
        <v>89.0</v>
      </c>
      <c r="AD90" s="79"/>
      <c r="AE90" s="690" t="s">
        <v>2619</v>
      </c>
      <c r="AF90" s="307">
        <v>88.0</v>
      </c>
      <c r="AH90" s="687" t="s">
        <v>854</v>
      </c>
      <c r="AI90" s="307">
        <v>88.0</v>
      </c>
      <c r="AK90" s="687" t="s">
        <v>2610</v>
      </c>
      <c r="AL90" s="307">
        <v>88.0</v>
      </c>
      <c r="AN90" s="687" t="s">
        <v>2601</v>
      </c>
      <c r="AO90" s="307">
        <v>88.0</v>
      </c>
      <c r="AQ90" s="687" t="s">
        <v>2577</v>
      </c>
      <c r="AR90" s="307">
        <v>88.0</v>
      </c>
      <c r="AT90" s="687" t="s">
        <v>2267</v>
      </c>
      <c r="AU90" s="307">
        <v>88.0</v>
      </c>
      <c r="AW90" s="687" t="s">
        <v>2381</v>
      </c>
      <c r="AX90" s="307">
        <v>88.0</v>
      </c>
      <c r="AZ90" s="687" t="s">
        <v>255</v>
      </c>
      <c r="BA90" s="307">
        <v>88.0</v>
      </c>
      <c r="BC90" s="691" t="s">
        <v>2278</v>
      </c>
      <c r="BD90" s="307">
        <v>88.0</v>
      </c>
      <c r="BF90" s="687" t="s">
        <v>2617</v>
      </c>
      <c r="BG90" s="145">
        <v>89.0</v>
      </c>
      <c r="BI90" s="688" t="s">
        <v>233</v>
      </c>
      <c r="BJ90" s="145">
        <v>89.0</v>
      </c>
      <c r="BL90" s="692" t="s">
        <v>1241</v>
      </c>
      <c r="BM90" s="216">
        <v>89.0</v>
      </c>
    </row>
    <row r="91">
      <c r="A91" s="41" t="s">
        <v>2614</v>
      </c>
      <c r="B91" s="307">
        <v>90.0</v>
      </c>
      <c r="C91" s="41"/>
      <c r="D91" s="41" t="s">
        <v>2624</v>
      </c>
      <c r="E91" s="307">
        <v>90.0</v>
      </c>
      <c r="F91" s="41"/>
      <c r="G91" s="41" t="s">
        <v>2125</v>
      </c>
      <c r="H91" s="307">
        <v>90.0</v>
      </c>
      <c r="I91" s="41"/>
      <c r="J91" s="41" t="s">
        <v>2125</v>
      </c>
      <c r="K91" s="307">
        <v>90.0</v>
      </c>
      <c r="L91" s="41"/>
      <c r="M91" s="41" t="s">
        <v>1240</v>
      </c>
      <c r="N91" s="307">
        <v>90.0</v>
      </c>
      <c r="O91" s="41"/>
      <c r="P91" s="41" t="s">
        <v>322</v>
      </c>
      <c r="Q91" s="307">
        <v>90.0</v>
      </c>
      <c r="R91" s="41"/>
      <c r="S91" s="41" t="s">
        <v>2594</v>
      </c>
      <c r="T91" s="307">
        <v>90.0</v>
      </c>
      <c r="U91" s="41"/>
      <c r="V91" s="41" t="s">
        <v>2600</v>
      </c>
      <c r="W91" s="307">
        <v>90.0</v>
      </c>
      <c r="X91" s="41"/>
      <c r="Y91" s="682" t="s">
        <v>2101</v>
      </c>
      <c r="Z91" s="307">
        <v>90.0</v>
      </c>
      <c r="AA91" s="41"/>
      <c r="AB91" s="699" t="s">
        <v>2164</v>
      </c>
      <c r="AC91" s="307">
        <v>90.0</v>
      </c>
      <c r="AD91" s="79"/>
      <c r="AE91" s="690" t="s">
        <v>2164</v>
      </c>
      <c r="AF91" s="307">
        <v>89.0</v>
      </c>
      <c r="AH91" s="687" t="s">
        <v>2603</v>
      </c>
      <c r="AI91" s="307">
        <v>89.0</v>
      </c>
      <c r="AK91" s="687" t="s">
        <v>2395</v>
      </c>
      <c r="AL91" s="307">
        <v>89.0</v>
      </c>
      <c r="AN91" s="687" t="s">
        <v>2619</v>
      </c>
      <c r="AO91" s="307">
        <v>89.0</v>
      </c>
      <c r="AQ91" s="687" t="s">
        <v>2573</v>
      </c>
      <c r="AR91" s="307">
        <v>89.0</v>
      </c>
      <c r="AT91" s="687" t="s">
        <v>2381</v>
      </c>
      <c r="AU91" s="307">
        <v>89.0</v>
      </c>
      <c r="AW91" s="687" t="s">
        <v>2417</v>
      </c>
      <c r="AX91" s="307">
        <v>89.0</v>
      </c>
      <c r="AZ91" s="687" t="s">
        <v>854</v>
      </c>
      <c r="BA91" s="307">
        <v>89.0</v>
      </c>
      <c r="BC91" s="691" t="s">
        <v>2381</v>
      </c>
      <c r="BD91" s="307">
        <v>89.0</v>
      </c>
      <c r="BF91" s="687" t="s">
        <v>2319</v>
      </c>
      <c r="BG91" s="145">
        <v>90.0</v>
      </c>
      <c r="BI91" s="688" t="s">
        <v>2319</v>
      </c>
      <c r="BJ91" s="145">
        <v>90.0</v>
      </c>
      <c r="BL91" s="692" t="s">
        <v>2287</v>
      </c>
      <c r="BM91" s="216">
        <v>90.0</v>
      </c>
    </row>
    <row r="92">
      <c r="A92" s="41" t="s">
        <v>2583</v>
      </c>
      <c r="B92" s="307">
        <v>91.0</v>
      </c>
      <c r="C92" s="41"/>
      <c r="D92" s="41" t="s">
        <v>266</v>
      </c>
      <c r="E92" s="307">
        <v>91.0</v>
      </c>
      <c r="F92" s="41"/>
      <c r="G92" s="41" t="s">
        <v>2583</v>
      </c>
      <c r="H92" s="307">
        <v>91.0</v>
      </c>
      <c r="I92" s="41"/>
      <c r="J92" s="41" t="s">
        <v>2597</v>
      </c>
      <c r="K92" s="307">
        <v>91.0</v>
      </c>
      <c r="L92" s="41"/>
      <c r="M92" s="41" t="s">
        <v>2626</v>
      </c>
      <c r="N92" s="307">
        <v>91.0</v>
      </c>
      <c r="O92" s="41"/>
      <c r="P92" s="41" t="s">
        <v>1240</v>
      </c>
      <c r="Q92" s="307">
        <v>91.0</v>
      </c>
      <c r="R92" s="41"/>
      <c r="S92" s="41" t="s">
        <v>2307</v>
      </c>
      <c r="T92" s="307">
        <v>91.0</v>
      </c>
      <c r="U92" s="41"/>
      <c r="V92" s="41" t="s">
        <v>2594</v>
      </c>
      <c r="W92" s="307">
        <v>91.0</v>
      </c>
      <c r="X92" s="41"/>
      <c r="Y92" s="682" t="s">
        <v>2395</v>
      </c>
      <c r="Z92" s="307">
        <v>91.0</v>
      </c>
      <c r="AA92" s="41"/>
      <c r="AB92" s="683" t="s">
        <v>2610</v>
      </c>
      <c r="AC92" s="307">
        <v>91.0</v>
      </c>
      <c r="AD92" s="79"/>
      <c r="AE92" s="690" t="s">
        <v>2610</v>
      </c>
      <c r="AF92" s="307">
        <v>90.0</v>
      </c>
      <c r="AH92" s="687" t="s">
        <v>2610</v>
      </c>
      <c r="AI92" s="307">
        <v>90.0</v>
      </c>
      <c r="AK92" s="687" t="s">
        <v>2577</v>
      </c>
      <c r="AL92" s="307">
        <v>90.0</v>
      </c>
      <c r="AN92" s="687" t="s">
        <v>2596</v>
      </c>
      <c r="AO92" s="307">
        <v>90.0</v>
      </c>
      <c r="AQ92" s="687" t="s">
        <v>2381</v>
      </c>
      <c r="AR92" s="307">
        <v>90.0</v>
      </c>
      <c r="AT92" s="687" t="s">
        <v>2417</v>
      </c>
      <c r="AU92" s="307">
        <v>90.0</v>
      </c>
      <c r="AW92" s="687" t="s">
        <v>261</v>
      </c>
      <c r="AX92" s="307">
        <v>90.0</v>
      </c>
      <c r="AZ92" s="687" t="s">
        <v>2381</v>
      </c>
      <c r="BA92" s="307">
        <v>90.0</v>
      </c>
      <c r="BC92" s="691" t="s">
        <v>2291</v>
      </c>
      <c r="BD92" s="307">
        <v>90.0</v>
      </c>
      <c r="BF92" s="687" t="s">
        <v>261</v>
      </c>
      <c r="BG92" s="145">
        <v>91.0</v>
      </c>
      <c r="BI92" s="688" t="s">
        <v>2603</v>
      </c>
      <c r="BJ92" s="145">
        <v>91.0</v>
      </c>
      <c r="BL92" s="692" t="s">
        <v>2596</v>
      </c>
      <c r="BM92" s="216">
        <v>91.0</v>
      </c>
    </row>
    <row r="93">
      <c r="A93" s="41" t="s">
        <v>2586</v>
      </c>
      <c r="B93" s="307">
        <v>92.0</v>
      </c>
      <c r="C93" s="41"/>
      <c r="D93" s="41" t="s">
        <v>2389</v>
      </c>
      <c r="E93" s="307">
        <v>92.0</v>
      </c>
      <c r="F93" s="41"/>
      <c r="G93" s="41" t="s">
        <v>2601</v>
      </c>
      <c r="H93" s="307">
        <v>92.0</v>
      </c>
      <c r="I93" s="41"/>
      <c r="J93" s="41" t="s">
        <v>2321</v>
      </c>
      <c r="K93" s="307">
        <v>92.0</v>
      </c>
      <c r="L93" s="41"/>
      <c r="M93" s="41" t="s">
        <v>2395</v>
      </c>
      <c r="N93" s="307">
        <v>92.0</v>
      </c>
      <c r="O93" s="41"/>
      <c r="P93" s="41" t="s">
        <v>2381</v>
      </c>
      <c r="Q93" s="307">
        <v>92.0</v>
      </c>
      <c r="R93" s="41"/>
      <c r="S93" s="41" t="s">
        <v>2600</v>
      </c>
      <c r="T93" s="307">
        <v>92.0</v>
      </c>
      <c r="U93" s="41"/>
      <c r="V93" s="41" t="s">
        <v>2381</v>
      </c>
      <c r="W93" s="307">
        <v>92.0</v>
      </c>
      <c r="X93" s="41"/>
      <c r="Y93" s="698" t="s">
        <v>2594</v>
      </c>
      <c r="Z93" s="307">
        <v>92.0</v>
      </c>
      <c r="AA93" s="41"/>
      <c r="AB93" s="699" t="s">
        <v>2623</v>
      </c>
      <c r="AC93" s="307">
        <v>92.0</v>
      </c>
      <c r="AD93" s="79"/>
      <c r="AE93" s="690" t="s">
        <v>2623</v>
      </c>
      <c r="AF93" s="307">
        <v>92.0</v>
      </c>
      <c r="AH93" s="687" t="s">
        <v>76</v>
      </c>
      <c r="AI93" s="307">
        <v>92.0</v>
      </c>
      <c r="AK93" s="687" t="s">
        <v>76</v>
      </c>
      <c r="AL93" s="307">
        <v>92.0</v>
      </c>
      <c r="AN93" s="687" t="s">
        <v>2610</v>
      </c>
      <c r="AO93" s="307">
        <v>92.0</v>
      </c>
      <c r="AQ93" s="700" t="s">
        <v>2627</v>
      </c>
      <c r="AR93" s="307">
        <v>92.0</v>
      </c>
      <c r="AT93" s="687" t="s">
        <v>261</v>
      </c>
      <c r="AU93" s="307">
        <v>92.0</v>
      </c>
      <c r="AW93" s="687" t="s">
        <v>2291</v>
      </c>
      <c r="AX93" s="307">
        <v>92.0</v>
      </c>
      <c r="AZ93" s="687" t="s">
        <v>2291</v>
      </c>
      <c r="BA93" s="307">
        <v>92.0</v>
      </c>
      <c r="BC93" s="691" t="s">
        <v>2603</v>
      </c>
      <c r="BD93" s="307">
        <v>92.0</v>
      </c>
      <c r="BF93" s="687" t="s">
        <v>2182</v>
      </c>
      <c r="BG93" s="145">
        <v>92.0</v>
      </c>
      <c r="BI93" s="688" t="s">
        <v>2182</v>
      </c>
      <c r="BJ93" s="145">
        <v>92.0</v>
      </c>
      <c r="BL93" s="692" t="s">
        <v>2603</v>
      </c>
      <c r="BM93" s="216">
        <v>92.0</v>
      </c>
    </row>
    <row r="94">
      <c r="A94" s="41" t="s">
        <v>2628</v>
      </c>
      <c r="B94" s="307">
        <v>93.0</v>
      </c>
      <c r="C94" s="41"/>
      <c r="D94" s="41" t="s">
        <v>2125</v>
      </c>
      <c r="E94" s="307">
        <v>93.0</v>
      </c>
      <c r="F94" s="41"/>
      <c r="G94" s="41" t="s">
        <v>2593</v>
      </c>
      <c r="H94" s="307">
        <v>93.0</v>
      </c>
      <c r="I94" s="41"/>
      <c r="J94" s="41" t="s">
        <v>2623</v>
      </c>
      <c r="K94" s="307">
        <v>93.0</v>
      </c>
      <c r="L94" s="41"/>
      <c r="M94" s="41" t="s">
        <v>2619</v>
      </c>
      <c r="N94" s="307">
        <v>93.0</v>
      </c>
      <c r="O94" s="41"/>
      <c r="P94" s="41" t="s">
        <v>2395</v>
      </c>
      <c r="Q94" s="307">
        <v>93.0</v>
      </c>
      <c r="R94" s="41"/>
      <c r="S94" s="41" t="s">
        <v>2617</v>
      </c>
      <c r="T94" s="307">
        <v>93.0</v>
      </c>
      <c r="U94" s="41"/>
      <c r="V94" s="41" t="s">
        <v>2589</v>
      </c>
      <c r="W94" s="307">
        <v>93.0</v>
      </c>
      <c r="X94" s="41"/>
      <c r="Y94" s="682" t="s">
        <v>2589</v>
      </c>
      <c r="Z94" s="307">
        <v>93.0</v>
      </c>
      <c r="AA94" s="41"/>
      <c r="AB94" s="683" t="s">
        <v>2160</v>
      </c>
      <c r="AC94" s="307">
        <v>93.0</v>
      </c>
      <c r="AD94" s="79"/>
      <c r="AE94" s="690" t="s">
        <v>2330</v>
      </c>
      <c r="AF94" s="307">
        <v>93.0</v>
      </c>
      <c r="AH94" s="687" t="s">
        <v>2594</v>
      </c>
      <c r="AI94" s="307">
        <v>93.0</v>
      </c>
      <c r="AK94" s="687" t="s">
        <v>2603</v>
      </c>
      <c r="AL94" s="307">
        <v>93.0</v>
      </c>
      <c r="AN94" s="687" t="s">
        <v>2577</v>
      </c>
      <c r="AO94" s="307">
        <v>93.0</v>
      </c>
      <c r="AQ94" s="687" t="s">
        <v>2417</v>
      </c>
      <c r="AR94" s="307">
        <v>93.0</v>
      </c>
      <c r="AT94" s="687" t="s">
        <v>2291</v>
      </c>
      <c r="AU94" s="307">
        <v>93.0</v>
      </c>
      <c r="AW94" s="687" t="s">
        <v>255</v>
      </c>
      <c r="AX94" s="307">
        <v>93.0</v>
      </c>
      <c r="AZ94" s="687" t="s">
        <v>1241</v>
      </c>
      <c r="BA94" s="307">
        <v>93.0</v>
      </c>
      <c r="BC94" s="691" t="s">
        <v>261</v>
      </c>
      <c r="BD94" s="307">
        <v>93.0</v>
      </c>
      <c r="BF94" s="687" t="s">
        <v>2291</v>
      </c>
      <c r="BG94" s="145">
        <v>93.0</v>
      </c>
      <c r="BI94" s="688" t="s">
        <v>2622</v>
      </c>
      <c r="BJ94" s="145">
        <v>93.0</v>
      </c>
      <c r="BL94" s="692" t="s">
        <v>2619</v>
      </c>
      <c r="BM94" s="216">
        <v>93.0</v>
      </c>
    </row>
    <row r="95">
      <c r="A95" s="41" t="s">
        <v>2115</v>
      </c>
      <c r="B95" s="307">
        <v>94.0</v>
      </c>
      <c r="C95" s="41"/>
      <c r="D95" s="41" t="s">
        <v>327</v>
      </c>
      <c r="E95" s="307">
        <v>94.0</v>
      </c>
      <c r="F95" s="41"/>
      <c r="G95" s="41" t="s">
        <v>2616</v>
      </c>
      <c r="H95" s="307">
        <v>94.0</v>
      </c>
      <c r="I95" s="41"/>
      <c r="J95" s="41" t="s">
        <v>2629</v>
      </c>
      <c r="K95" s="307">
        <v>94.0</v>
      </c>
      <c r="L95" s="41"/>
      <c r="M95" s="41" t="s">
        <v>2125</v>
      </c>
      <c r="N95" s="307">
        <v>94.0</v>
      </c>
      <c r="O95" s="41"/>
      <c r="P95" s="41" t="s">
        <v>2597</v>
      </c>
      <c r="Q95" s="307">
        <v>94.0</v>
      </c>
      <c r="R95" s="41"/>
      <c r="S95" s="41" t="s">
        <v>2381</v>
      </c>
      <c r="T95" s="307">
        <v>94.0</v>
      </c>
      <c r="U95" s="41"/>
      <c r="V95" s="41" t="s">
        <v>2164</v>
      </c>
      <c r="W95" s="307">
        <v>94.0</v>
      </c>
      <c r="X95" s="41"/>
      <c r="Y95" s="698" t="s">
        <v>2164</v>
      </c>
      <c r="Z95" s="307">
        <v>94.0</v>
      </c>
      <c r="AA95" s="41"/>
      <c r="AB95" s="683" t="s">
        <v>255</v>
      </c>
      <c r="AC95" s="307">
        <v>94.0</v>
      </c>
      <c r="AD95" s="79"/>
      <c r="AE95" s="690" t="s">
        <v>1228</v>
      </c>
      <c r="AF95" s="307">
        <v>94.0</v>
      </c>
      <c r="AH95" s="687" t="s">
        <v>2601</v>
      </c>
      <c r="AI95" s="307">
        <v>94.0</v>
      </c>
      <c r="AK95" s="687" t="s">
        <v>2417</v>
      </c>
      <c r="AL95" s="307">
        <v>94.0</v>
      </c>
      <c r="AN95" s="687" t="s">
        <v>76</v>
      </c>
      <c r="AO95" s="307">
        <v>94.0</v>
      </c>
      <c r="AQ95" s="687" t="s">
        <v>261</v>
      </c>
      <c r="AR95" s="307">
        <v>94.0</v>
      </c>
      <c r="AT95" s="687" t="s">
        <v>255</v>
      </c>
      <c r="AU95" s="307">
        <v>94.0</v>
      </c>
      <c r="AW95" s="687" t="s">
        <v>2171</v>
      </c>
      <c r="AX95" s="307">
        <v>94.0</v>
      </c>
      <c r="AZ95" s="687" t="s">
        <v>2630</v>
      </c>
      <c r="BA95" s="307">
        <v>94.0</v>
      </c>
      <c r="BC95" s="691" t="s">
        <v>999</v>
      </c>
      <c r="BD95" s="307">
        <v>94.0</v>
      </c>
      <c r="BF95" s="687" t="s">
        <v>2587</v>
      </c>
      <c r="BG95" s="145">
        <v>94.0</v>
      </c>
      <c r="BI95" s="688" t="s">
        <v>2152</v>
      </c>
      <c r="BJ95" s="145">
        <v>94.0</v>
      </c>
      <c r="BL95" s="692" t="s">
        <v>926</v>
      </c>
      <c r="BM95" s="216">
        <v>94.0</v>
      </c>
    </row>
    <row r="96">
      <c r="A96" s="41" t="s">
        <v>2101</v>
      </c>
      <c r="B96" s="307">
        <v>95.0</v>
      </c>
      <c r="C96" s="41"/>
      <c r="D96" s="41" t="s">
        <v>2626</v>
      </c>
      <c r="E96" s="307">
        <v>95.0</v>
      </c>
      <c r="F96" s="41"/>
      <c r="G96" s="41" t="s">
        <v>2592</v>
      </c>
      <c r="H96" s="307">
        <v>95.0</v>
      </c>
      <c r="I96" s="41"/>
      <c r="J96" s="41" t="s">
        <v>2278</v>
      </c>
      <c r="K96" s="307">
        <v>95.0</v>
      </c>
      <c r="L96" s="41"/>
      <c r="M96" s="41" t="s">
        <v>2597</v>
      </c>
      <c r="N96" s="307">
        <v>95.0</v>
      </c>
      <c r="O96" s="41"/>
      <c r="P96" s="41" t="s">
        <v>2589</v>
      </c>
      <c r="Q96" s="307">
        <v>95.0</v>
      </c>
      <c r="R96" s="41"/>
      <c r="S96" s="41" t="s">
        <v>2589</v>
      </c>
      <c r="T96" s="307">
        <v>95.0</v>
      </c>
      <c r="U96" s="41"/>
      <c r="V96" s="41" t="s">
        <v>2590</v>
      </c>
      <c r="W96" s="307">
        <v>95.0</v>
      </c>
      <c r="X96" s="41"/>
      <c r="Y96" s="682" t="s">
        <v>2590</v>
      </c>
      <c r="Z96" s="307">
        <v>95.0</v>
      </c>
      <c r="AA96" s="41"/>
      <c r="AB96" s="683" t="s">
        <v>2330</v>
      </c>
      <c r="AC96" s="307">
        <v>95.0</v>
      </c>
      <c r="AD96" s="79"/>
      <c r="AE96" s="690" t="s">
        <v>2594</v>
      </c>
      <c r="AF96" s="307">
        <v>95.0</v>
      </c>
      <c r="AH96" s="687" t="s">
        <v>2309</v>
      </c>
      <c r="AI96" s="307">
        <v>95.0</v>
      </c>
      <c r="AK96" s="687" t="s">
        <v>2623</v>
      </c>
      <c r="AL96" s="307">
        <v>95.0</v>
      </c>
      <c r="AN96" s="687" t="s">
        <v>2631</v>
      </c>
      <c r="AO96" s="307">
        <v>95.0</v>
      </c>
      <c r="AQ96" s="687" t="s">
        <v>2632</v>
      </c>
      <c r="AR96" s="307">
        <v>95.0</v>
      </c>
      <c r="AT96" s="687" t="s">
        <v>2171</v>
      </c>
      <c r="AU96" s="307">
        <v>95.0</v>
      </c>
      <c r="AW96" s="687" t="s">
        <v>2287</v>
      </c>
      <c r="AX96" s="307">
        <v>95.0</v>
      </c>
      <c r="AZ96" s="687" t="s">
        <v>261</v>
      </c>
      <c r="BA96" s="307">
        <v>95.0</v>
      </c>
      <c r="BC96" s="691" t="s">
        <v>2395</v>
      </c>
      <c r="BD96" s="307">
        <v>95.0</v>
      </c>
      <c r="BF96" s="687" t="s">
        <v>2603</v>
      </c>
      <c r="BG96" s="145">
        <v>95.0</v>
      </c>
      <c r="BI96" s="688" t="s">
        <v>2625</v>
      </c>
      <c r="BJ96" s="145">
        <v>95.0</v>
      </c>
      <c r="BL96" s="692" t="s">
        <v>858</v>
      </c>
      <c r="BM96" s="216">
        <v>95.0</v>
      </c>
    </row>
    <row r="97">
      <c r="A97" s="41" t="s">
        <v>2600</v>
      </c>
      <c r="B97" s="307">
        <v>96.0</v>
      </c>
      <c r="C97" s="41"/>
      <c r="D97" s="41" t="s">
        <v>2633</v>
      </c>
      <c r="E97" s="307">
        <v>96.0</v>
      </c>
      <c r="F97" s="41"/>
      <c r="G97" s="41" t="s">
        <v>255</v>
      </c>
      <c r="H97" s="307">
        <v>96.0</v>
      </c>
      <c r="I97" s="41"/>
      <c r="J97" s="41" t="s">
        <v>2178</v>
      </c>
      <c r="K97" s="307">
        <v>96.0</v>
      </c>
      <c r="L97" s="41"/>
      <c r="M97" s="41" t="s">
        <v>2321</v>
      </c>
      <c r="N97" s="307">
        <v>96.0</v>
      </c>
      <c r="O97" s="41"/>
      <c r="P97" s="41" t="s">
        <v>2178</v>
      </c>
      <c r="Q97" s="307">
        <v>96.0</v>
      </c>
      <c r="R97" s="41"/>
      <c r="S97" s="41" t="s">
        <v>2178</v>
      </c>
      <c r="T97" s="307">
        <v>96.0</v>
      </c>
      <c r="U97" s="41"/>
      <c r="V97" s="41" t="s">
        <v>1013</v>
      </c>
      <c r="W97" s="307">
        <v>96.0</v>
      </c>
      <c r="X97" s="41"/>
      <c r="Y97" s="698" t="s">
        <v>2573</v>
      </c>
      <c r="Z97" s="307">
        <v>96.0</v>
      </c>
      <c r="AA97" s="41"/>
      <c r="AB97" s="683" t="s">
        <v>1241</v>
      </c>
      <c r="AC97" s="307">
        <v>96.0</v>
      </c>
      <c r="AD97" s="79"/>
      <c r="AE97" s="690" t="s">
        <v>2160</v>
      </c>
      <c r="AF97" s="307">
        <v>96.0</v>
      </c>
      <c r="AH97" s="687" t="s">
        <v>2417</v>
      </c>
      <c r="AI97" s="307">
        <v>96.0</v>
      </c>
      <c r="AK97" s="687" t="s">
        <v>2291</v>
      </c>
      <c r="AL97" s="307">
        <v>96.0</v>
      </c>
      <c r="AN97" s="687" t="s">
        <v>1228</v>
      </c>
      <c r="AO97" s="307">
        <v>96.0</v>
      </c>
      <c r="AQ97" s="687" t="s">
        <v>2291</v>
      </c>
      <c r="AR97" s="307">
        <v>96.0</v>
      </c>
      <c r="AT97" s="687" t="s">
        <v>2287</v>
      </c>
      <c r="AU97" s="307">
        <v>96.0</v>
      </c>
      <c r="AW97" s="687" t="s">
        <v>854</v>
      </c>
      <c r="AX97" s="307">
        <v>96.0</v>
      </c>
      <c r="AZ97" s="687" t="s">
        <v>2090</v>
      </c>
      <c r="BA97" s="307">
        <v>96.0</v>
      </c>
      <c r="BC97" s="691" t="s">
        <v>2619</v>
      </c>
      <c r="BD97" s="307">
        <v>96.0</v>
      </c>
      <c r="BF97" s="687" t="s">
        <v>2395</v>
      </c>
      <c r="BG97" s="145">
        <v>96.0</v>
      </c>
      <c r="BI97" s="688" t="s">
        <v>2270</v>
      </c>
      <c r="BJ97" s="145">
        <v>96.0</v>
      </c>
      <c r="BL97" s="692" t="s">
        <v>2600</v>
      </c>
      <c r="BM97" s="216">
        <v>96.0</v>
      </c>
    </row>
    <row r="98">
      <c r="A98" s="41" t="s">
        <v>2634</v>
      </c>
      <c r="B98" s="307">
        <v>97.0</v>
      </c>
      <c r="C98" s="41"/>
      <c r="D98" s="41" t="s">
        <v>2101</v>
      </c>
      <c r="E98" s="307">
        <v>97.0</v>
      </c>
      <c r="F98" s="41"/>
      <c r="G98" s="41" t="s">
        <v>2189</v>
      </c>
      <c r="H98" s="307">
        <v>97.0</v>
      </c>
      <c r="I98" s="41"/>
      <c r="J98" s="41" t="s">
        <v>2610</v>
      </c>
      <c r="K98" s="307">
        <v>97.0</v>
      </c>
      <c r="L98" s="41"/>
      <c r="M98" s="41" t="s">
        <v>2623</v>
      </c>
      <c r="N98" s="307">
        <v>97.0</v>
      </c>
      <c r="O98" s="41"/>
      <c r="P98" s="41" t="s">
        <v>2610</v>
      </c>
      <c r="Q98" s="307">
        <v>97.0</v>
      </c>
      <c r="R98" s="41"/>
      <c r="S98" s="41" t="s">
        <v>2610</v>
      </c>
      <c r="T98" s="307">
        <v>97.0</v>
      </c>
      <c r="U98" s="41"/>
      <c r="V98" s="41" t="s">
        <v>2573</v>
      </c>
      <c r="W98" s="307">
        <v>97.0</v>
      </c>
      <c r="X98" s="41"/>
      <c r="Y98" s="682" t="s">
        <v>2616</v>
      </c>
      <c r="Z98" s="307">
        <v>97.0</v>
      </c>
      <c r="AA98" s="41"/>
      <c r="AB98" s="683" t="s">
        <v>2594</v>
      </c>
      <c r="AC98" s="307">
        <v>97.0</v>
      </c>
      <c r="AD98" s="79"/>
      <c r="AE98" s="690" t="s">
        <v>2603</v>
      </c>
      <c r="AF98" s="307">
        <v>97.0</v>
      </c>
      <c r="AH98" s="687" t="s">
        <v>2395</v>
      </c>
      <c r="AI98" s="307">
        <v>97.0</v>
      </c>
      <c r="AK98" s="687" t="s">
        <v>2594</v>
      </c>
      <c r="AL98" s="307">
        <v>97.0</v>
      </c>
      <c r="AN98" s="687" t="s">
        <v>2603</v>
      </c>
      <c r="AO98" s="307">
        <v>97.0</v>
      </c>
      <c r="AQ98" s="687" t="s">
        <v>255</v>
      </c>
      <c r="AR98" s="307">
        <v>97.0</v>
      </c>
      <c r="AT98" s="687" t="s">
        <v>854</v>
      </c>
      <c r="AU98" s="307">
        <v>97.0</v>
      </c>
      <c r="AW98" s="687" t="s">
        <v>2090</v>
      </c>
      <c r="AX98" s="307">
        <v>97.0</v>
      </c>
      <c r="AZ98" s="687" t="s">
        <v>2395</v>
      </c>
      <c r="BA98" s="307">
        <v>97.0</v>
      </c>
      <c r="BC98" s="691" t="s">
        <v>2319</v>
      </c>
      <c r="BD98" s="307">
        <v>97.0</v>
      </c>
      <c r="BF98" s="687" t="s">
        <v>2152</v>
      </c>
      <c r="BG98" s="145">
        <v>97.0</v>
      </c>
      <c r="BI98" s="688" t="s">
        <v>999</v>
      </c>
      <c r="BJ98" s="145">
        <v>97.0</v>
      </c>
      <c r="BL98" s="692" t="s">
        <v>2587</v>
      </c>
      <c r="BM98" s="216">
        <v>97.0</v>
      </c>
    </row>
    <row r="99">
      <c r="A99" s="41" t="s">
        <v>2616</v>
      </c>
      <c r="B99" s="307">
        <v>98.0</v>
      </c>
      <c r="C99" s="41"/>
      <c r="D99" s="41" t="s">
        <v>322</v>
      </c>
      <c r="E99" s="307">
        <v>98.0</v>
      </c>
      <c r="F99" s="41"/>
      <c r="G99" s="41" t="s">
        <v>2101</v>
      </c>
      <c r="H99" s="307">
        <v>98.0</v>
      </c>
      <c r="I99" s="41"/>
      <c r="J99" s="41" t="s">
        <v>2583</v>
      </c>
      <c r="K99" s="307">
        <v>98.0</v>
      </c>
      <c r="L99" s="41"/>
      <c r="M99" s="41" t="s">
        <v>2278</v>
      </c>
      <c r="N99" s="307">
        <v>98.0</v>
      </c>
      <c r="O99" s="41"/>
      <c r="P99" s="41" t="s">
        <v>2623</v>
      </c>
      <c r="Q99" s="307">
        <v>98.0</v>
      </c>
      <c r="R99" s="41"/>
      <c r="S99" s="41" t="s">
        <v>2615</v>
      </c>
      <c r="T99" s="307">
        <v>98.0</v>
      </c>
      <c r="U99" s="41"/>
      <c r="V99" s="41" t="s">
        <v>2601</v>
      </c>
      <c r="W99" s="307">
        <v>98.0</v>
      </c>
      <c r="X99" s="41"/>
      <c r="Y99" s="682" t="s">
        <v>2623</v>
      </c>
      <c r="Z99" s="307">
        <v>98.0</v>
      </c>
      <c r="AA99" s="41"/>
      <c r="AB99" s="683" t="s">
        <v>2593</v>
      </c>
      <c r="AC99" s="307">
        <v>98.0</v>
      </c>
      <c r="AD99" s="79"/>
      <c r="AE99" s="690" t="s">
        <v>2389</v>
      </c>
      <c r="AF99" s="307">
        <v>98.0</v>
      </c>
      <c r="AH99" s="687" t="s">
        <v>2623</v>
      </c>
      <c r="AI99" s="307">
        <v>98.0</v>
      </c>
      <c r="AK99" s="687" t="s">
        <v>2171</v>
      </c>
      <c r="AL99" s="307">
        <v>98.0</v>
      </c>
      <c r="AN99" s="687" t="s">
        <v>2417</v>
      </c>
      <c r="AO99" s="307">
        <v>98.0</v>
      </c>
      <c r="AQ99" s="687" t="s">
        <v>2325</v>
      </c>
      <c r="AR99" s="307">
        <v>98.0</v>
      </c>
      <c r="AT99" s="687" t="s">
        <v>2090</v>
      </c>
      <c r="AU99" s="307">
        <v>98.0</v>
      </c>
      <c r="AW99" s="687" t="s">
        <v>1241</v>
      </c>
      <c r="AX99" s="307">
        <v>98.0</v>
      </c>
      <c r="AZ99" s="687" t="s">
        <v>2325</v>
      </c>
      <c r="BA99" s="307">
        <v>98.0</v>
      </c>
      <c r="BC99" s="691" t="s">
        <v>2297</v>
      </c>
      <c r="BD99" s="307">
        <v>98.0</v>
      </c>
      <c r="BF99" s="687" t="s">
        <v>233</v>
      </c>
      <c r="BG99" s="145">
        <v>98.0</v>
      </c>
      <c r="BI99" s="688" t="s">
        <v>2587</v>
      </c>
      <c r="BJ99" s="145">
        <v>98.0</v>
      </c>
      <c r="BL99" s="692" t="s">
        <v>253</v>
      </c>
      <c r="BM99" s="216">
        <v>98.0</v>
      </c>
    </row>
    <row r="100">
      <c r="A100" s="41" t="s">
        <v>1011</v>
      </c>
      <c r="B100" s="307">
        <v>99.0</v>
      </c>
      <c r="C100" s="41"/>
      <c r="D100" s="41" t="s">
        <v>2623</v>
      </c>
      <c r="E100" s="307">
        <v>99.0</v>
      </c>
      <c r="F100" s="41"/>
      <c r="G100" s="41" t="s">
        <v>2633</v>
      </c>
      <c r="H100" s="307">
        <v>99.0</v>
      </c>
      <c r="I100" s="41"/>
      <c r="J100" s="41" t="s">
        <v>327</v>
      </c>
      <c r="K100" s="307">
        <v>99.0</v>
      </c>
      <c r="L100" s="41"/>
      <c r="M100" s="41" t="s">
        <v>2178</v>
      </c>
      <c r="N100" s="307">
        <v>99.0</v>
      </c>
      <c r="O100" s="41"/>
      <c r="P100" s="41" t="s">
        <v>2635</v>
      </c>
      <c r="Q100" s="307">
        <v>99.0</v>
      </c>
      <c r="R100" s="41"/>
      <c r="S100" s="41" t="s">
        <v>2608</v>
      </c>
      <c r="T100" s="307">
        <v>99.0</v>
      </c>
      <c r="U100" s="41"/>
      <c r="V100" s="41" t="s">
        <v>2597</v>
      </c>
      <c r="W100" s="307">
        <v>99.0</v>
      </c>
      <c r="X100" s="41"/>
      <c r="Y100" s="682" t="s">
        <v>2604</v>
      </c>
      <c r="Z100" s="307">
        <v>99.0</v>
      </c>
      <c r="AA100" s="41"/>
      <c r="AB100" s="699" t="s">
        <v>2606</v>
      </c>
      <c r="AC100" s="307">
        <v>99.0</v>
      </c>
      <c r="AD100" s="79"/>
      <c r="AE100" s="690" t="s">
        <v>2395</v>
      </c>
      <c r="AF100" s="307">
        <v>99.0</v>
      </c>
      <c r="AH100" s="687" t="s">
        <v>2291</v>
      </c>
      <c r="AI100" s="307">
        <v>99.0</v>
      </c>
      <c r="AK100" s="701" t="s">
        <v>2597</v>
      </c>
      <c r="AL100" s="307">
        <v>99.0</v>
      </c>
      <c r="AN100" s="687" t="s">
        <v>2623</v>
      </c>
      <c r="AO100" s="307">
        <v>99.0</v>
      </c>
      <c r="AQ100" s="687" t="s">
        <v>2171</v>
      </c>
      <c r="AR100" s="307">
        <v>99.0</v>
      </c>
      <c r="AT100" s="687" t="s">
        <v>1241</v>
      </c>
      <c r="AU100" s="307">
        <v>99.0</v>
      </c>
      <c r="AW100" s="700" t="s">
        <v>2627</v>
      </c>
      <c r="AX100" s="307">
        <v>99.0</v>
      </c>
      <c r="AZ100" s="687" t="s">
        <v>2619</v>
      </c>
      <c r="BA100" s="307">
        <v>99.0</v>
      </c>
      <c r="BC100" s="691" t="s">
        <v>2309</v>
      </c>
      <c r="BD100" s="307">
        <v>99.0</v>
      </c>
      <c r="BF100" s="687" t="s">
        <v>2309</v>
      </c>
      <c r="BG100" s="145">
        <v>99.0</v>
      </c>
      <c r="BI100" s="688" t="s">
        <v>2395</v>
      </c>
      <c r="BJ100" s="145">
        <v>99.0</v>
      </c>
      <c r="BL100" s="692" t="s">
        <v>2395</v>
      </c>
      <c r="BM100" s="216">
        <v>99.0</v>
      </c>
    </row>
    <row r="101">
      <c r="A101" s="41" t="s">
        <v>2307</v>
      </c>
      <c r="B101" s="307">
        <v>100.0</v>
      </c>
      <c r="C101" s="41"/>
      <c r="D101" s="41" t="s">
        <v>2583</v>
      </c>
      <c r="E101" s="307">
        <v>100.0</v>
      </c>
      <c r="F101" s="41"/>
      <c r="G101" s="41" t="s">
        <v>322</v>
      </c>
      <c r="H101" s="307">
        <v>100.0</v>
      </c>
      <c r="I101" s="41"/>
      <c r="J101" s="41" t="s">
        <v>2636</v>
      </c>
      <c r="K101" s="307">
        <v>100.0</v>
      </c>
      <c r="L101" s="41"/>
      <c r="M101" s="41" t="s">
        <v>2610</v>
      </c>
      <c r="N101" s="307">
        <v>100.0</v>
      </c>
      <c r="O101" s="41"/>
      <c r="P101" s="41" t="s">
        <v>2278</v>
      </c>
      <c r="Q101" s="307">
        <v>100.0</v>
      </c>
      <c r="R101" s="41"/>
      <c r="S101" s="41" t="s">
        <v>2101</v>
      </c>
      <c r="T101" s="307">
        <v>100.0</v>
      </c>
      <c r="U101" s="41"/>
      <c r="V101" s="41" t="s">
        <v>2171</v>
      </c>
      <c r="W101" s="307">
        <v>100.0</v>
      </c>
      <c r="X101" s="41"/>
      <c r="Y101" s="682" t="s">
        <v>2597</v>
      </c>
      <c r="Z101" s="307">
        <v>100.0</v>
      </c>
      <c r="AA101" s="41"/>
      <c r="AB101" s="683" t="s">
        <v>2395</v>
      </c>
      <c r="AC101" s="307">
        <v>100.0</v>
      </c>
      <c r="AD101" s="79"/>
      <c r="AE101" s="690" t="s">
        <v>2417</v>
      </c>
      <c r="AF101" s="307">
        <v>100.0</v>
      </c>
      <c r="AH101" s="701" t="s">
        <v>2597</v>
      </c>
      <c r="AI101" s="307">
        <v>100.0</v>
      </c>
      <c r="AK101" s="687" t="s">
        <v>2287</v>
      </c>
      <c r="AL101" s="307">
        <v>100.0</v>
      </c>
      <c r="AN101" s="687" t="s">
        <v>2291</v>
      </c>
      <c r="AO101" s="307">
        <v>100.0</v>
      </c>
      <c r="AQ101" s="687" t="s">
        <v>2287</v>
      </c>
      <c r="AR101" s="307">
        <v>100.0</v>
      </c>
      <c r="AT101" s="700" t="s">
        <v>2627</v>
      </c>
      <c r="AU101" s="307">
        <v>100.0</v>
      </c>
      <c r="AW101" s="687" t="s">
        <v>2182</v>
      </c>
      <c r="AX101" s="307">
        <v>100.0</v>
      </c>
      <c r="AZ101" s="687" t="s">
        <v>2319</v>
      </c>
      <c r="BA101" s="307">
        <v>100.0</v>
      </c>
      <c r="BC101" s="691" t="s">
        <v>2389</v>
      </c>
      <c r="BD101" s="307">
        <v>100.0</v>
      </c>
      <c r="BF101" s="687" t="s">
        <v>2292</v>
      </c>
      <c r="BG101" s="145">
        <v>100.0</v>
      </c>
      <c r="BI101" s="688" t="s">
        <v>2610</v>
      </c>
      <c r="BJ101" s="145">
        <v>100.0</v>
      </c>
      <c r="BL101" s="692" t="s">
        <v>2319</v>
      </c>
      <c r="BM101" s="216">
        <v>100.0</v>
      </c>
    </row>
    <row r="102">
      <c r="A102" s="41" t="s">
        <v>2278</v>
      </c>
      <c r="B102" s="307">
        <v>101.0</v>
      </c>
      <c r="C102" s="41"/>
      <c r="D102" s="41" t="s">
        <v>2586</v>
      </c>
      <c r="E102" s="307">
        <v>101.0</v>
      </c>
      <c r="F102" s="41"/>
      <c r="G102" s="41" t="s">
        <v>2608</v>
      </c>
      <c r="H102" s="307">
        <v>101.0</v>
      </c>
      <c r="I102" s="41"/>
      <c r="J102" s="41" t="s">
        <v>2620</v>
      </c>
      <c r="K102" s="307">
        <v>101.0</v>
      </c>
      <c r="L102" s="41"/>
      <c r="M102" s="41" t="s">
        <v>2583</v>
      </c>
      <c r="N102" s="307">
        <v>101.0</v>
      </c>
      <c r="O102" s="41"/>
      <c r="P102" s="41" t="s">
        <v>81</v>
      </c>
      <c r="Q102" s="307">
        <v>101.0</v>
      </c>
      <c r="R102" s="41"/>
      <c r="S102" s="41" t="s">
        <v>2590</v>
      </c>
      <c r="T102" s="307">
        <v>101.0</v>
      </c>
      <c r="U102" s="41"/>
      <c r="V102" s="41" t="s">
        <v>2309</v>
      </c>
      <c r="W102" s="307">
        <v>101.0</v>
      </c>
      <c r="X102" s="41"/>
      <c r="Y102" s="682" t="s">
        <v>2171</v>
      </c>
      <c r="Z102" s="307">
        <v>101.0</v>
      </c>
      <c r="AA102" s="41"/>
      <c r="AB102" s="683" t="s">
        <v>2601</v>
      </c>
      <c r="AC102" s="307">
        <v>101.0</v>
      </c>
      <c r="AD102" s="79"/>
      <c r="AE102" s="690" t="s">
        <v>2593</v>
      </c>
      <c r="AF102" s="307">
        <v>101.0</v>
      </c>
      <c r="AH102" s="687" t="s">
        <v>2330</v>
      </c>
      <c r="AI102" s="307">
        <v>101.0</v>
      </c>
      <c r="AK102" s="687" t="s">
        <v>2330</v>
      </c>
      <c r="AL102" s="307">
        <v>101.0</v>
      </c>
      <c r="AN102" s="687" t="s">
        <v>2171</v>
      </c>
      <c r="AO102" s="307">
        <v>101.0</v>
      </c>
      <c r="AQ102" s="687" t="s">
        <v>2090</v>
      </c>
      <c r="AR102" s="307">
        <v>101.0</v>
      </c>
      <c r="AT102" s="687" t="s">
        <v>2182</v>
      </c>
      <c r="AU102" s="307">
        <v>101.0</v>
      </c>
      <c r="AW102" s="687" t="s">
        <v>2267</v>
      </c>
      <c r="AX102" s="307">
        <v>101.0</v>
      </c>
      <c r="AZ102" s="687" t="s">
        <v>2267</v>
      </c>
      <c r="BA102" s="307">
        <v>101.0</v>
      </c>
      <c r="BC102" s="691" t="s">
        <v>2292</v>
      </c>
      <c r="BD102" s="307">
        <v>101.0</v>
      </c>
      <c r="BF102" s="687" t="s">
        <v>2325</v>
      </c>
      <c r="BG102" s="145">
        <v>101.0</v>
      </c>
      <c r="BI102" s="688" t="s">
        <v>2417</v>
      </c>
      <c r="BJ102" s="145">
        <v>101.0</v>
      </c>
      <c r="BL102" s="692" t="s">
        <v>2608</v>
      </c>
      <c r="BM102" s="216">
        <v>101.0</v>
      </c>
    </row>
    <row r="103">
      <c r="A103" s="41" t="s">
        <v>322</v>
      </c>
      <c r="B103" s="307">
        <v>102.0</v>
      </c>
      <c r="C103" s="41"/>
      <c r="D103" s="41" t="s">
        <v>2601</v>
      </c>
      <c r="E103" s="307">
        <v>102.0</v>
      </c>
      <c r="F103" s="41"/>
      <c r="G103" s="41" t="s">
        <v>2626</v>
      </c>
      <c r="H103" s="307">
        <v>102.0</v>
      </c>
      <c r="I103" s="41"/>
      <c r="J103" s="41" t="s">
        <v>2615</v>
      </c>
      <c r="K103" s="307">
        <v>102.0</v>
      </c>
      <c r="L103" s="41"/>
      <c r="M103" s="41" t="s">
        <v>2636</v>
      </c>
      <c r="N103" s="307">
        <v>102.0</v>
      </c>
      <c r="O103" s="41"/>
      <c r="P103" s="41" t="s">
        <v>2608</v>
      </c>
      <c r="Q103" s="307">
        <v>102.0</v>
      </c>
      <c r="R103" s="41"/>
      <c r="S103" s="41" t="s">
        <v>2583</v>
      </c>
      <c r="T103" s="307">
        <v>102.0</v>
      </c>
      <c r="U103" s="41"/>
      <c r="V103" s="41" t="s">
        <v>2291</v>
      </c>
      <c r="W103" s="307">
        <v>102.0</v>
      </c>
      <c r="X103" s="41"/>
      <c r="Y103" s="698" t="s">
        <v>2309</v>
      </c>
      <c r="Z103" s="307">
        <v>102.0</v>
      </c>
      <c r="AA103" s="41"/>
      <c r="AB103" s="683" t="s">
        <v>2291</v>
      </c>
      <c r="AC103" s="307">
        <v>102.0</v>
      </c>
      <c r="AD103" s="79"/>
      <c r="AE103" s="690" t="s">
        <v>2291</v>
      </c>
      <c r="AF103" s="307">
        <v>102.0</v>
      </c>
      <c r="AH103" s="687" t="s">
        <v>2160</v>
      </c>
      <c r="AI103" s="307">
        <v>102.0</v>
      </c>
      <c r="AK103" s="687" t="s">
        <v>2090</v>
      </c>
      <c r="AL103" s="307">
        <v>102.0</v>
      </c>
      <c r="AN103" s="687" t="s">
        <v>1087</v>
      </c>
      <c r="AO103" s="307">
        <v>102.0</v>
      </c>
      <c r="AQ103" s="687" t="s">
        <v>1241</v>
      </c>
      <c r="AR103" s="307">
        <v>102.0</v>
      </c>
      <c r="AT103" s="687" t="s">
        <v>858</v>
      </c>
      <c r="AU103" s="307">
        <v>102.0</v>
      </c>
      <c r="AW103" s="687" t="s">
        <v>2309</v>
      </c>
      <c r="AX103" s="307">
        <v>102.0</v>
      </c>
      <c r="AZ103" s="687" t="s">
        <v>2309</v>
      </c>
      <c r="BA103" s="307">
        <v>102.0</v>
      </c>
      <c r="BC103" s="691" t="s">
        <v>2325</v>
      </c>
      <c r="BD103" s="307">
        <v>102.0</v>
      </c>
      <c r="BF103" s="687" t="s">
        <v>2417</v>
      </c>
      <c r="BG103" s="145">
        <v>102.0</v>
      </c>
      <c r="BI103" s="688" t="s">
        <v>2276</v>
      </c>
      <c r="BJ103" s="145">
        <v>102.0</v>
      </c>
      <c r="BL103" s="692" t="s">
        <v>2193</v>
      </c>
      <c r="BM103" s="216">
        <v>102.0</v>
      </c>
    </row>
    <row r="104">
      <c r="A104" s="41" t="s">
        <v>2623</v>
      </c>
      <c r="B104" s="307">
        <v>103.0</v>
      </c>
      <c r="C104" s="41"/>
      <c r="D104" s="41" t="s">
        <v>2608</v>
      </c>
      <c r="E104" s="307">
        <v>103.0</v>
      </c>
      <c r="F104" s="41"/>
      <c r="G104" s="41" t="s">
        <v>2636</v>
      </c>
      <c r="H104" s="307">
        <v>103.0</v>
      </c>
      <c r="I104" s="41"/>
      <c r="J104" s="41" t="s">
        <v>2635</v>
      </c>
      <c r="K104" s="307">
        <v>103.0</v>
      </c>
      <c r="L104" s="41"/>
      <c r="M104" s="41" t="s">
        <v>2635</v>
      </c>
      <c r="N104" s="307">
        <v>103.0</v>
      </c>
      <c r="O104" s="41"/>
      <c r="P104" s="41" t="s">
        <v>2101</v>
      </c>
      <c r="Q104" s="307">
        <v>103.0</v>
      </c>
      <c r="R104" s="41"/>
      <c r="S104" s="41" t="s">
        <v>2599</v>
      </c>
      <c r="T104" s="307">
        <v>103.0</v>
      </c>
      <c r="U104" s="41"/>
      <c r="V104" s="41" t="s">
        <v>2604</v>
      </c>
      <c r="W104" s="307">
        <v>103.0</v>
      </c>
      <c r="X104" s="41"/>
      <c r="Y104" s="698" t="s">
        <v>1240</v>
      </c>
      <c r="Z104" s="307">
        <v>103.0</v>
      </c>
      <c r="AA104" s="41"/>
      <c r="AB104" s="683" t="s">
        <v>2171</v>
      </c>
      <c r="AC104" s="307">
        <v>103.0</v>
      </c>
      <c r="AD104" s="79"/>
      <c r="AE104" s="690" t="s">
        <v>2171</v>
      </c>
      <c r="AF104" s="307">
        <v>103.0</v>
      </c>
      <c r="AH104" s="687" t="s">
        <v>2171</v>
      </c>
      <c r="AI104" s="307">
        <v>103.0</v>
      </c>
      <c r="AK104" s="687" t="s">
        <v>261</v>
      </c>
      <c r="AL104" s="307">
        <v>103.0</v>
      </c>
      <c r="AN104" s="687" t="s">
        <v>2287</v>
      </c>
      <c r="AO104" s="307">
        <v>103.0</v>
      </c>
      <c r="AQ104" s="687" t="s">
        <v>2182</v>
      </c>
      <c r="AR104" s="307">
        <v>103.0</v>
      </c>
      <c r="AT104" s="687" t="s">
        <v>2309</v>
      </c>
      <c r="AU104" s="307">
        <v>103.0</v>
      </c>
      <c r="AW104" s="687" t="s">
        <v>2325</v>
      </c>
      <c r="AX104" s="307">
        <v>103.0</v>
      </c>
      <c r="AZ104" s="687" t="s">
        <v>2389</v>
      </c>
      <c r="BA104" s="307">
        <v>103.0</v>
      </c>
      <c r="BC104" s="691" t="s">
        <v>2276</v>
      </c>
      <c r="BD104" s="307">
        <v>103.0</v>
      </c>
      <c r="BF104" s="687" t="s">
        <v>2276</v>
      </c>
      <c r="BG104" s="145">
        <v>103.0</v>
      </c>
      <c r="BI104" s="688" t="s">
        <v>854</v>
      </c>
      <c r="BJ104" s="145">
        <v>103.0</v>
      </c>
      <c r="BL104" s="692" t="s">
        <v>854</v>
      </c>
      <c r="BM104" s="216">
        <v>103.0</v>
      </c>
    </row>
    <row r="105">
      <c r="A105" s="41" t="s">
        <v>2125</v>
      </c>
      <c r="B105" s="307">
        <v>104.0</v>
      </c>
      <c r="C105" s="41"/>
      <c r="D105" s="41" t="s">
        <v>2636</v>
      </c>
      <c r="E105" s="307">
        <v>104.0</v>
      </c>
      <c r="F105" s="41"/>
      <c r="G105" s="41" t="s">
        <v>2586</v>
      </c>
      <c r="H105" s="307">
        <v>104.0</v>
      </c>
      <c r="I105" s="41"/>
      <c r="J105" s="41" t="s">
        <v>255</v>
      </c>
      <c r="K105" s="307">
        <v>104.0</v>
      </c>
      <c r="L105" s="41"/>
      <c r="M105" s="41" t="s">
        <v>255</v>
      </c>
      <c r="N105" s="307">
        <v>104.0</v>
      </c>
      <c r="O105" s="41"/>
      <c r="P105" s="41" t="s">
        <v>2171</v>
      </c>
      <c r="Q105" s="307">
        <v>104.0</v>
      </c>
      <c r="R105" s="41"/>
      <c r="S105" s="41" t="s">
        <v>1013</v>
      </c>
      <c r="T105" s="307">
        <v>104.0</v>
      </c>
      <c r="U105" s="41"/>
      <c r="V105" s="41" t="s">
        <v>270</v>
      </c>
      <c r="W105" s="307">
        <v>104.0</v>
      </c>
      <c r="X105" s="41"/>
      <c r="Y105" s="698" t="s">
        <v>2291</v>
      </c>
      <c r="Z105" s="307">
        <v>104.0</v>
      </c>
      <c r="AA105" s="41"/>
      <c r="AB105" s="702" t="s">
        <v>2597</v>
      </c>
      <c r="AC105" s="307">
        <v>104.0</v>
      </c>
      <c r="AD105" s="79"/>
      <c r="AE105" s="703" t="s">
        <v>2597</v>
      </c>
      <c r="AF105" s="307">
        <v>104.0</v>
      </c>
      <c r="AH105" s="687" t="s">
        <v>2389</v>
      </c>
      <c r="AI105" s="307">
        <v>104.0</v>
      </c>
      <c r="AK105" s="687" t="s">
        <v>1228</v>
      </c>
      <c r="AL105" s="307">
        <v>104.0</v>
      </c>
      <c r="AN105" s="687" t="s">
        <v>2330</v>
      </c>
      <c r="AO105" s="307">
        <v>104.0</v>
      </c>
      <c r="AQ105" s="687" t="s">
        <v>858</v>
      </c>
      <c r="AR105" s="307">
        <v>104.0</v>
      </c>
      <c r="AT105" s="687" t="s">
        <v>2325</v>
      </c>
      <c r="AU105" s="307">
        <v>104.0</v>
      </c>
      <c r="AW105" s="687" t="s">
        <v>2578</v>
      </c>
      <c r="AX105" s="307">
        <v>104.0</v>
      </c>
      <c r="AZ105" s="687" t="s">
        <v>999</v>
      </c>
      <c r="BA105" s="307">
        <v>104.0</v>
      </c>
      <c r="BC105" s="691" t="s">
        <v>2637</v>
      </c>
      <c r="BD105" s="307">
        <v>104.0</v>
      </c>
      <c r="BF105" s="687" t="s">
        <v>2637</v>
      </c>
      <c r="BG105" s="145">
        <v>104.0</v>
      </c>
      <c r="BI105" s="688" t="s">
        <v>2637</v>
      </c>
      <c r="BJ105" s="145">
        <v>104.0</v>
      </c>
      <c r="BL105" s="692" t="s">
        <v>2309</v>
      </c>
      <c r="BM105" s="216">
        <v>104.0</v>
      </c>
    </row>
    <row r="106">
      <c r="A106" s="41" t="s">
        <v>2622</v>
      </c>
      <c r="B106" s="307">
        <v>105.0</v>
      </c>
      <c r="C106" s="41"/>
      <c r="D106" s="41" t="s">
        <v>87</v>
      </c>
      <c r="E106" s="307">
        <v>105.0</v>
      </c>
      <c r="F106" s="41"/>
      <c r="G106" s="41" t="s">
        <v>2600</v>
      </c>
      <c r="H106" s="307">
        <v>105.0</v>
      </c>
      <c r="I106" s="41"/>
      <c r="J106" s="41" t="s">
        <v>2600</v>
      </c>
      <c r="K106" s="307">
        <v>105.0</v>
      </c>
      <c r="L106" s="41"/>
      <c r="M106" s="41" t="s">
        <v>2600</v>
      </c>
      <c r="N106" s="307">
        <v>105.0</v>
      </c>
      <c r="O106" s="41"/>
      <c r="P106" s="41" t="s">
        <v>2307</v>
      </c>
      <c r="Q106" s="307">
        <v>105.0</v>
      </c>
      <c r="R106" s="41"/>
      <c r="S106" s="41" t="s">
        <v>2573</v>
      </c>
      <c r="T106" s="307">
        <v>105.0</v>
      </c>
      <c r="U106" s="41"/>
      <c r="V106" s="41" t="s">
        <v>2270</v>
      </c>
      <c r="W106" s="307">
        <v>105.0</v>
      </c>
      <c r="X106" s="41"/>
      <c r="Y106" s="682" t="s">
        <v>854</v>
      </c>
      <c r="Z106" s="307">
        <v>105.0</v>
      </c>
      <c r="AA106" s="41"/>
      <c r="AB106" s="683" t="s">
        <v>2133</v>
      </c>
      <c r="AC106" s="307">
        <v>105.0</v>
      </c>
      <c r="AD106" s="79"/>
      <c r="AE106" s="690" t="s">
        <v>858</v>
      </c>
      <c r="AF106" s="307">
        <v>105.0</v>
      </c>
      <c r="AH106" s="687" t="s">
        <v>1241</v>
      </c>
      <c r="AI106" s="307">
        <v>105.0</v>
      </c>
      <c r="AK106" s="687" t="s">
        <v>81</v>
      </c>
      <c r="AL106" s="307">
        <v>105.0</v>
      </c>
      <c r="AN106" s="687" t="s">
        <v>2090</v>
      </c>
      <c r="AO106" s="307">
        <v>105.0</v>
      </c>
      <c r="AQ106" s="687" t="s">
        <v>2309</v>
      </c>
      <c r="AR106" s="307">
        <v>105.0</v>
      </c>
      <c r="AT106" s="687" t="s">
        <v>2578</v>
      </c>
      <c r="AU106" s="307">
        <v>105.0</v>
      </c>
      <c r="AW106" s="687" t="s">
        <v>2389</v>
      </c>
      <c r="AX106" s="307">
        <v>105.0</v>
      </c>
      <c r="AZ106" s="687" t="s">
        <v>2330</v>
      </c>
      <c r="BA106" s="307">
        <v>105.0</v>
      </c>
      <c r="BC106" s="691" t="s">
        <v>2608</v>
      </c>
      <c r="BD106" s="307">
        <v>105.0</v>
      </c>
      <c r="BF106" s="687" t="s">
        <v>2608</v>
      </c>
      <c r="BG106" s="145">
        <v>105.0</v>
      </c>
      <c r="BI106" s="688" t="s">
        <v>75</v>
      </c>
      <c r="BJ106" s="145">
        <v>105.0</v>
      </c>
      <c r="BL106" s="692" t="s">
        <v>2637</v>
      </c>
      <c r="BM106" s="216">
        <v>105.0</v>
      </c>
    </row>
    <row r="107">
      <c r="A107" s="41" t="s">
        <v>217</v>
      </c>
      <c r="B107" s="307">
        <v>106.0</v>
      </c>
      <c r="C107" s="41"/>
      <c r="D107" s="41" t="s">
        <v>2616</v>
      </c>
      <c r="E107" s="307">
        <v>106.0</v>
      </c>
      <c r="F107" s="41"/>
      <c r="G107" s="41" t="s">
        <v>2321</v>
      </c>
      <c r="H107" s="307">
        <v>106.0</v>
      </c>
      <c r="I107" s="41"/>
      <c r="J107" s="41" t="s">
        <v>2171</v>
      </c>
      <c r="K107" s="307">
        <v>106.0</v>
      </c>
      <c r="L107" s="41"/>
      <c r="M107" s="41" t="s">
        <v>2171</v>
      </c>
      <c r="N107" s="307">
        <v>106.0</v>
      </c>
      <c r="O107" s="41"/>
      <c r="P107" s="41" t="s">
        <v>317</v>
      </c>
      <c r="Q107" s="307">
        <v>106.0</v>
      </c>
      <c r="R107" s="41"/>
      <c r="S107" s="41" t="s">
        <v>2601</v>
      </c>
      <c r="T107" s="307">
        <v>106.0</v>
      </c>
      <c r="U107" s="41"/>
      <c r="V107" s="41" t="s">
        <v>854</v>
      </c>
      <c r="W107" s="307">
        <v>106.0</v>
      </c>
      <c r="X107" s="41"/>
      <c r="Y107" s="682" t="s">
        <v>270</v>
      </c>
      <c r="Z107" s="307">
        <v>106.0</v>
      </c>
      <c r="AA107" s="41"/>
      <c r="AB107" s="683" t="s">
        <v>2417</v>
      </c>
      <c r="AC107" s="307">
        <v>106.0</v>
      </c>
      <c r="AD107" s="79"/>
      <c r="AE107" s="690" t="s">
        <v>2133</v>
      </c>
      <c r="AF107" s="307">
        <v>106.0</v>
      </c>
      <c r="AH107" s="687" t="s">
        <v>1228</v>
      </c>
      <c r="AI107" s="307">
        <v>106.0</v>
      </c>
      <c r="AK107" s="687" t="s">
        <v>2182</v>
      </c>
      <c r="AL107" s="307">
        <v>106.0</v>
      </c>
      <c r="AN107" s="687" t="s">
        <v>1241</v>
      </c>
      <c r="AO107" s="307">
        <v>106.0</v>
      </c>
      <c r="AQ107" s="687" t="s">
        <v>2578</v>
      </c>
      <c r="AR107" s="307">
        <v>106.0</v>
      </c>
      <c r="AT107" s="687" t="s">
        <v>2389</v>
      </c>
      <c r="AU107" s="307">
        <v>106.0</v>
      </c>
      <c r="AW107" s="687" t="s">
        <v>999</v>
      </c>
      <c r="AX107" s="307">
        <v>106.0</v>
      </c>
      <c r="AZ107" s="687" t="s">
        <v>2292</v>
      </c>
      <c r="BA107" s="307">
        <v>106.0</v>
      </c>
      <c r="BC107" s="691" t="s">
        <v>2152</v>
      </c>
      <c r="BD107" s="307">
        <v>106.0</v>
      </c>
      <c r="BF107" s="687" t="s">
        <v>2267</v>
      </c>
      <c r="BG107" s="145">
        <v>106.0</v>
      </c>
      <c r="BI107" s="688" t="s">
        <v>2198</v>
      </c>
      <c r="BJ107" s="145">
        <v>106.0</v>
      </c>
      <c r="BL107" s="692" t="s">
        <v>75</v>
      </c>
      <c r="BM107" s="216">
        <v>106.0</v>
      </c>
    </row>
    <row r="108">
      <c r="A108" s="41" t="s">
        <v>2164</v>
      </c>
      <c r="B108" s="307">
        <v>107.0</v>
      </c>
      <c r="C108" s="41"/>
      <c r="D108" s="41" t="s">
        <v>2591</v>
      </c>
      <c r="E108" s="307">
        <v>107.0</v>
      </c>
      <c r="F108" s="41"/>
      <c r="G108" s="41" t="s">
        <v>1240</v>
      </c>
      <c r="H108" s="307">
        <v>107.0</v>
      </c>
      <c r="I108" s="41"/>
      <c r="J108" s="41" t="s">
        <v>2608</v>
      </c>
      <c r="K108" s="307">
        <v>107.0</v>
      </c>
      <c r="L108" s="41"/>
      <c r="M108" s="41" t="s">
        <v>2608</v>
      </c>
      <c r="N108" s="307">
        <v>107.0</v>
      </c>
      <c r="O108" s="41"/>
      <c r="P108" s="41" t="s">
        <v>2321</v>
      </c>
      <c r="Q108" s="307">
        <v>107.0</v>
      </c>
      <c r="R108" s="41"/>
      <c r="S108" s="41" t="s">
        <v>2597</v>
      </c>
      <c r="T108" s="307">
        <v>107.0</v>
      </c>
      <c r="U108" s="41"/>
      <c r="V108" s="41" t="s">
        <v>2363</v>
      </c>
      <c r="W108" s="307">
        <v>107.0</v>
      </c>
      <c r="X108" s="41"/>
      <c r="Y108" s="682" t="s">
        <v>2270</v>
      </c>
      <c r="Z108" s="307">
        <v>107.0</v>
      </c>
      <c r="AA108" s="41"/>
      <c r="AB108" s="683" t="s">
        <v>2289</v>
      </c>
      <c r="AC108" s="307">
        <v>107.0</v>
      </c>
      <c r="AD108" s="79"/>
      <c r="AE108" s="690" t="s">
        <v>1241</v>
      </c>
      <c r="AF108" s="307">
        <v>107.0</v>
      </c>
      <c r="AH108" s="687" t="s">
        <v>2289</v>
      </c>
      <c r="AI108" s="307">
        <v>107.0</v>
      </c>
      <c r="AK108" s="687" t="s">
        <v>858</v>
      </c>
      <c r="AL108" s="307">
        <v>107.0</v>
      </c>
      <c r="AN108" s="687" t="s">
        <v>261</v>
      </c>
      <c r="AO108" s="307">
        <v>107.0</v>
      </c>
      <c r="AQ108" s="687" t="s">
        <v>2389</v>
      </c>
      <c r="AR108" s="307">
        <v>107.0</v>
      </c>
      <c r="AT108" s="687" t="s">
        <v>999</v>
      </c>
      <c r="AU108" s="307">
        <v>107.0</v>
      </c>
      <c r="AW108" s="687" t="s">
        <v>2297</v>
      </c>
      <c r="AX108" s="307">
        <v>107.0</v>
      </c>
      <c r="AZ108" s="687" t="s">
        <v>2276</v>
      </c>
      <c r="BA108" s="307">
        <v>107.0</v>
      </c>
      <c r="BC108" s="691" t="s">
        <v>2330</v>
      </c>
      <c r="BD108" s="307">
        <v>107.0</v>
      </c>
      <c r="BF108" s="687" t="s">
        <v>2578</v>
      </c>
      <c r="BG108" s="145">
        <v>107.0</v>
      </c>
      <c r="BI108" s="688" t="s">
        <v>2608</v>
      </c>
      <c r="BJ108" s="145">
        <v>107.0</v>
      </c>
      <c r="BL108" s="692" t="s">
        <v>2198</v>
      </c>
      <c r="BM108" s="216">
        <v>107.0</v>
      </c>
    </row>
    <row r="109">
      <c r="A109" s="41" t="s">
        <v>1240</v>
      </c>
      <c r="B109" s="307">
        <v>108.0</v>
      </c>
      <c r="C109" s="41"/>
      <c r="D109" s="41" t="s">
        <v>2622</v>
      </c>
      <c r="E109" s="307">
        <v>108.0</v>
      </c>
      <c r="F109" s="41"/>
      <c r="G109" s="41" t="s">
        <v>2160</v>
      </c>
      <c r="H109" s="307">
        <v>108.0</v>
      </c>
      <c r="I109" s="41"/>
      <c r="J109" s="41" t="s">
        <v>2101</v>
      </c>
      <c r="K109" s="307">
        <v>108.0</v>
      </c>
      <c r="L109" s="41"/>
      <c r="M109" s="41" t="s">
        <v>2101</v>
      </c>
      <c r="N109" s="307">
        <v>108.0</v>
      </c>
      <c r="O109" s="41"/>
      <c r="P109" s="41" t="s">
        <v>268</v>
      </c>
      <c r="Q109" s="307">
        <v>108.0</v>
      </c>
      <c r="R109" s="41"/>
      <c r="S109" s="41" t="s">
        <v>2171</v>
      </c>
      <c r="T109" s="307">
        <v>108.0</v>
      </c>
      <c r="U109" s="41"/>
      <c r="V109" s="41" t="s">
        <v>268</v>
      </c>
      <c r="W109" s="307">
        <v>108.0</v>
      </c>
      <c r="X109" s="41"/>
      <c r="Y109" s="682" t="s">
        <v>1241</v>
      </c>
      <c r="Z109" s="307">
        <v>108.0</v>
      </c>
      <c r="AA109" s="41"/>
      <c r="AB109" s="683" t="s">
        <v>2616</v>
      </c>
      <c r="AC109" s="307">
        <v>108.0</v>
      </c>
      <c r="AD109" s="79"/>
      <c r="AE109" s="690" t="s">
        <v>76</v>
      </c>
      <c r="AF109" s="307">
        <v>108.0</v>
      </c>
      <c r="AH109" s="687" t="s">
        <v>2276</v>
      </c>
      <c r="AI109" s="307">
        <v>108.0</v>
      </c>
      <c r="AK109" s="687" t="s">
        <v>1241</v>
      </c>
      <c r="AL109" s="307">
        <v>108.0</v>
      </c>
      <c r="AN109" s="687" t="s">
        <v>2182</v>
      </c>
      <c r="AO109" s="307">
        <v>108.0</v>
      </c>
      <c r="AQ109" s="687" t="s">
        <v>999</v>
      </c>
      <c r="AR109" s="307">
        <v>108.0</v>
      </c>
      <c r="AT109" s="687" t="s">
        <v>2297</v>
      </c>
      <c r="AU109" s="307">
        <v>108.0</v>
      </c>
      <c r="AW109" s="687" t="s">
        <v>2330</v>
      </c>
      <c r="AX109" s="307">
        <v>108.0</v>
      </c>
      <c r="AZ109" s="687" t="s">
        <v>2589</v>
      </c>
      <c r="BA109" s="307">
        <v>108.0</v>
      </c>
      <c r="BC109" s="691" t="s">
        <v>2578</v>
      </c>
      <c r="BD109" s="307">
        <v>108.0</v>
      </c>
      <c r="BF109" s="687" t="s">
        <v>2610</v>
      </c>
      <c r="BG109" s="145">
        <v>108.0</v>
      </c>
      <c r="BI109" s="688" t="s">
        <v>2267</v>
      </c>
      <c r="BJ109" s="145">
        <v>108.0</v>
      </c>
      <c r="BL109" s="692" t="s">
        <v>218</v>
      </c>
      <c r="BM109" s="216">
        <v>108.0</v>
      </c>
    </row>
    <row r="110">
      <c r="A110" s="41" t="s">
        <v>2626</v>
      </c>
      <c r="B110" s="307">
        <v>109.0</v>
      </c>
      <c r="C110" s="41"/>
      <c r="D110" s="41" t="s">
        <v>2600</v>
      </c>
      <c r="E110" s="307">
        <v>109.0</v>
      </c>
      <c r="F110" s="41"/>
      <c r="G110" s="41" t="s">
        <v>2178</v>
      </c>
      <c r="H110" s="307">
        <v>109.0</v>
      </c>
      <c r="I110" s="41"/>
      <c r="J110" s="41" t="s">
        <v>2291</v>
      </c>
      <c r="K110" s="307">
        <v>109.0</v>
      </c>
      <c r="L110" s="41"/>
      <c r="M110" s="41" t="s">
        <v>2307</v>
      </c>
      <c r="N110" s="307">
        <v>109.0</v>
      </c>
      <c r="O110" s="41"/>
      <c r="P110" s="41" t="s">
        <v>2601</v>
      </c>
      <c r="Q110" s="307">
        <v>109.0</v>
      </c>
      <c r="R110" s="41"/>
      <c r="S110" s="41" t="s">
        <v>2309</v>
      </c>
      <c r="T110" s="307">
        <v>109.0</v>
      </c>
      <c r="U110" s="41"/>
      <c r="V110" s="41" t="s">
        <v>2340</v>
      </c>
      <c r="W110" s="307">
        <v>109.0</v>
      </c>
      <c r="X110" s="41"/>
      <c r="Y110" s="682" t="s">
        <v>268</v>
      </c>
      <c r="Z110" s="307">
        <v>109.0</v>
      </c>
      <c r="AA110" s="41"/>
      <c r="AB110" s="683" t="s">
        <v>2603</v>
      </c>
      <c r="AC110" s="307">
        <v>109.0</v>
      </c>
      <c r="AD110" s="79"/>
      <c r="AE110" s="690" t="s">
        <v>2289</v>
      </c>
      <c r="AF110" s="307">
        <v>109.0</v>
      </c>
      <c r="AH110" s="687" t="s">
        <v>2090</v>
      </c>
      <c r="AI110" s="307">
        <v>109.0</v>
      </c>
      <c r="AK110" s="687" t="s">
        <v>255</v>
      </c>
      <c r="AL110" s="307">
        <v>109.0</v>
      </c>
      <c r="AN110" s="687" t="s">
        <v>858</v>
      </c>
      <c r="AO110" s="307">
        <v>109.0</v>
      </c>
      <c r="AQ110" s="687" t="s">
        <v>2330</v>
      </c>
      <c r="AR110" s="307">
        <v>109.0</v>
      </c>
      <c r="AT110" s="687" t="s">
        <v>2330</v>
      </c>
      <c r="AU110" s="307">
        <v>109.0</v>
      </c>
      <c r="AW110" s="687" t="s">
        <v>2292</v>
      </c>
      <c r="AX110" s="307">
        <v>109.0</v>
      </c>
      <c r="AZ110" s="687" t="s">
        <v>2608</v>
      </c>
      <c r="BA110" s="307">
        <v>109.0</v>
      </c>
      <c r="BC110" s="691" t="s">
        <v>2616</v>
      </c>
      <c r="BD110" s="307">
        <v>109.0</v>
      </c>
      <c r="BF110" s="687" t="s">
        <v>2616</v>
      </c>
      <c r="BG110" s="145">
        <v>109.0</v>
      </c>
      <c r="BI110" s="688" t="s">
        <v>2578</v>
      </c>
      <c r="BJ110" s="145">
        <v>109.0</v>
      </c>
      <c r="BL110" s="692" t="s">
        <v>2267</v>
      </c>
      <c r="BM110" s="216">
        <v>109.0</v>
      </c>
    </row>
    <row r="111">
      <c r="A111" s="41" t="s">
        <v>2596</v>
      </c>
      <c r="B111" s="307">
        <v>110.0</v>
      </c>
      <c r="C111" s="41"/>
      <c r="D111" s="41" t="s">
        <v>2634</v>
      </c>
      <c r="E111" s="307">
        <v>110.0</v>
      </c>
      <c r="F111" s="41"/>
      <c r="G111" s="41" t="s">
        <v>931</v>
      </c>
      <c r="H111" s="307">
        <v>110.0</v>
      </c>
      <c r="I111" s="41"/>
      <c r="J111" s="41" t="s">
        <v>2307</v>
      </c>
      <c r="K111" s="307">
        <v>110.0</v>
      </c>
      <c r="L111" s="41"/>
      <c r="M111" s="41" t="s">
        <v>298</v>
      </c>
      <c r="N111" s="307">
        <v>110.0</v>
      </c>
      <c r="O111" s="41"/>
      <c r="P111" s="41" t="s">
        <v>2600</v>
      </c>
      <c r="Q111" s="307">
        <v>110.0</v>
      </c>
      <c r="R111" s="41"/>
      <c r="S111" s="41" t="s">
        <v>2291</v>
      </c>
      <c r="T111" s="307">
        <v>110.0</v>
      </c>
      <c r="U111" s="41"/>
      <c r="V111" s="41" t="s">
        <v>2090</v>
      </c>
      <c r="W111" s="307">
        <v>110.0</v>
      </c>
      <c r="X111" s="41"/>
      <c r="Y111" s="682" t="s">
        <v>2340</v>
      </c>
      <c r="Z111" s="307">
        <v>110.0</v>
      </c>
      <c r="AA111" s="41"/>
      <c r="AB111" s="683" t="s">
        <v>858</v>
      </c>
      <c r="AC111" s="307">
        <v>110.0</v>
      </c>
      <c r="AD111" s="79"/>
      <c r="AE111" s="690" t="s">
        <v>2616</v>
      </c>
      <c r="AF111" s="307">
        <v>110.0</v>
      </c>
      <c r="AH111" s="687" t="s">
        <v>858</v>
      </c>
      <c r="AI111" s="307">
        <v>110.0</v>
      </c>
      <c r="AK111" s="687" t="s">
        <v>2638</v>
      </c>
      <c r="AL111" s="307">
        <v>110.0</v>
      </c>
      <c r="AN111" s="687" t="s">
        <v>2639</v>
      </c>
      <c r="AO111" s="307">
        <v>110.0</v>
      </c>
      <c r="AQ111" s="687" t="s">
        <v>2292</v>
      </c>
      <c r="AR111" s="307">
        <v>110.0</v>
      </c>
      <c r="AT111" s="687" t="s">
        <v>2292</v>
      </c>
      <c r="AU111" s="307">
        <v>110.0</v>
      </c>
      <c r="AW111" s="687" t="s">
        <v>2276</v>
      </c>
      <c r="AX111" s="307">
        <v>110.0</v>
      </c>
      <c r="AZ111" s="687" t="s">
        <v>2593</v>
      </c>
      <c r="BA111" s="307">
        <v>110.0</v>
      </c>
      <c r="BC111" s="691" t="s">
        <v>2617</v>
      </c>
      <c r="BD111" s="307">
        <v>110.0</v>
      </c>
      <c r="BF111" s="687" t="s">
        <v>2640</v>
      </c>
      <c r="BG111" s="145">
        <v>110.0</v>
      </c>
      <c r="BI111" s="688" t="s">
        <v>2635</v>
      </c>
      <c r="BJ111" s="145">
        <v>110.0</v>
      </c>
      <c r="BL111" s="692" t="s">
        <v>2578</v>
      </c>
      <c r="BM111" s="216">
        <v>110.0</v>
      </c>
    </row>
    <row r="112">
      <c r="A112" s="41" t="s">
        <v>2636</v>
      </c>
      <c r="B112" s="307">
        <v>111.0</v>
      </c>
      <c r="C112" s="41"/>
      <c r="D112" s="41" t="s">
        <v>2388</v>
      </c>
      <c r="E112" s="307">
        <v>111.0</v>
      </c>
      <c r="F112" s="41"/>
      <c r="G112" s="41" t="s">
        <v>2614</v>
      </c>
      <c r="H112" s="307">
        <v>111.0</v>
      </c>
      <c r="I112" s="41"/>
      <c r="J112" s="41" t="s">
        <v>298</v>
      </c>
      <c r="K112" s="307">
        <v>111.0</v>
      </c>
      <c r="L112" s="41"/>
      <c r="M112" s="41" t="s">
        <v>317</v>
      </c>
      <c r="N112" s="307">
        <v>111.0</v>
      </c>
      <c r="O112" s="41"/>
      <c r="P112" s="41" t="s">
        <v>255</v>
      </c>
      <c r="Q112" s="307">
        <v>111.0</v>
      </c>
      <c r="R112" s="41"/>
      <c r="S112" s="41" t="s">
        <v>81</v>
      </c>
      <c r="T112" s="307">
        <v>111.0</v>
      </c>
      <c r="U112" s="41"/>
      <c r="V112" s="41" t="s">
        <v>2623</v>
      </c>
      <c r="W112" s="307">
        <v>111.0</v>
      </c>
      <c r="X112" s="41"/>
      <c r="Y112" s="682" t="s">
        <v>2090</v>
      </c>
      <c r="Z112" s="307">
        <v>111.0</v>
      </c>
      <c r="AA112" s="41"/>
      <c r="AB112" s="699" t="s">
        <v>2270</v>
      </c>
      <c r="AC112" s="307">
        <v>111.0</v>
      </c>
      <c r="AD112" s="79"/>
      <c r="AE112" s="690" t="s">
        <v>2090</v>
      </c>
      <c r="AF112" s="307">
        <v>111.0</v>
      </c>
      <c r="AH112" s="687" t="s">
        <v>81</v>
      </c>
      <c r="AI112" s="307">
        <v>111.0</v>
      </c>
      <c r="AK112" s="687" t="s">
        <v>2309</v>
      </c>
      <c r="AL112" s="307">
        <v>111.0</v>
      </c>
      <c r="AN112" s="687" t="s">
        <v>255</v>
      </c>
      <c r="AO112" s="307">
        <v>111.0</v>
      </c>
      <c r="AQ112" s="687" t="s">
        <v>2276</v>
      </c>
      <c r="AR112" s="307">
        <v>111.0</v>
      </c>
      <c r="AT112" s="687" t="s">
        <v>2276</v>
      </c>
      <c r="AU112" s="307">
        <v>111.0</v>
      </c>
      <c r="AW112" s="687" t="s">
        <v>2608</v>
      </c>
      <c r="AX112" s="307">
        <v>111.0</v>
      </c>
      <c r="AZ112" s="687" t="s">
        <v>1087</v>
      </c>
      <c r="BA112" s="307">
        <v>111.0</v>
      </c>
      <c r="BC112" s="691" t="s">
        <v>76</v>
      </c>
      <c r="BD112" s="307">
        <v>111.0</v>
      </c>
      <c r="BF112" s="687" t="s">
        <v>2622</v>
      </c>
      <c r="BG112" s="145">
        <v>111.0</v>
      </c>
      <c r="BI112" s="688" t="s">
        <v>2325</v>
      </c>
      <c r="BJ112" s="145">
        <v>111.0</v>
      </c>
      <c r="BL112" s="692" t="s">
        <v>2325</v>
      </c>
      <c r="BM112" s="216">
        <v>111.0</v>
      </c>
    </row>
    <row r="113">
      <c r="A113" s="41" t="s">
        <v>2309</v>
      </c>
      <c r="B113" s="307">
        <v>112.0</v>
      </c>
      <c r="C113" s="41"/>
      <c r="D113" s="41" t="s">
        <v>854</v>
      </c>
      <c r="E113" s="307">
        <v>112.0</v>
      </c>
      <c r="F113" s="41"/>
      <c r="G113" s="41" t="s">
        <v>327</v>
      </c>
      <c r="H113" s="307">
        <v>112.0</v>
      </c>
      <c r="I113" s="41"/>
      <c r="J113" s="41" t="s">
        <v>2592</v>
      </c>
      <c r="K113" s="307">
        <v>112.0</v>
      </c>
      <c r="L113" s="41"/>
      <c r="M113" s="41" t="s">
        <v>268</v>
      </c>
      <c r="N113" s="307">
        <v>112.0</v>
      </c>
      <c r="O113" s="41"/>
      <c r="P113" s="41" t="s">
        <v>2617</v>
      </c>
      <c r="Q113" s="307">
        <v>112.0</v>
      </c>
      <c r="R113" s="41"/>
      <c r="S113" s="41" t="s">
        <v>2604</v>
      </c>
      <c r="T113" s="307">
        <v>112.0</v>
      </c>
      <c r="U113" s="41"/>
      <c r="V113" s="41" t="s">
        <v>2325</v>
      </c>
      <c r="W113" s="307">
        <v>112.0</v>
      </c>
      <c r="X113" s="41"/>
      <c r="Y113" s="682" t="s">
        <v>2276</v>
      </c>
      <c r="Z113" s="307">
        <v>112.0</v>
      </c>
      <c r="AA113" s="41"/>
      <c r="AB113" s="683" t="s">
        <v>2090</v>
      </c>
      <c r="AC113" s="307">
        <v>112.0</v>
      </c>
      <c r="AD113" s="79"/>
      <c r="AE113" s="690" t="s">
        <v>2276</v>
      </c>
      <c r="AF113" s="307">
        <v>112.0</v>
      </c>
      <c r="AH113" s="687" t="s">
        <v>2287</v>
      </c>
      <c r="AI113" s="307">
        <v>112.0</v>
      </c>
      <c r="AK113" s="687" t="s">
        <v>2389</v>
      </c>
      <c r="AL113" s="307">
        <v>112.0</v>
      </c>
      <c r="AN113" s="687" t="s">
        <v>2641</v>
      </c>
      <c r="AO113" s="307">
        <v>112.0</v>
      </c>
      <c r="AQ113" s="687" t="s">
        <v>2608</v>
      </c>
      <c r="AR113" s="307">
        <v>112.0</v>
      </c>
      <c r="AT113" s="687" t="s">
        <v>2608</v>
      </c>
      <c r="AU113" s="307">
        <v>112.0</v>
      </c>
      <c r="AW113" s="687" t="s">
        <v>1087</v>
      </c>
      <c r="AX113" s="307">
        <v>112.0</v>
      </c>
      <c r="AZ113" s="687" t="s">
        <v>2578</v>
      </c>
      <c r="BA113" s="307">
        <v>112.0</v>
      </c>
      <c r="BC113" s="691" t="s">
        <v>2622</v>
      </c>
      <c r="BD113" s="307">
        <v>112.0</v>
      </c>
      <c r="BF113" s="687" t="s">
        <v>2260</v>
      </c>
      <c r="BG113" s="145">
        <v>112.0</v>
      </c>
      <c r="BI113" s="688" t="s">
        <v>2133</v>
      </c>
      <c r="BJ113" s="145">
        <v>112.0</v>
      </c>
      <c r="BL113" s="692" t="s">
        <v>2417</v>
      </c>
      <c r="BM113" s="216">
        <v>112.0</v>
      </c>
    </row>
    <row r="114">
      <c r="A114" s="41" t="s">
        <v>2603</v>
      </c>
      <c r="B114" s="307">
        <v>113.0</v>
      </c>
      <c r="C114" s="41"/>
      <c r="D114" s="41" t="s">
        <v>931</v>
      </c>
      <c r="E114" s="307">
        <v>113.0</v>
      </c>
      <c r="F114" s="41"/>
      <c r="G114" s="41" t="s">
        <v>2171</v>
      </c>
      <c r="H114" s="307">
        <v>113.0</v>
      </c>
      <c r="I114" s="41"/>
      <c r="J114" s="41" t="s">
        <v>317</v>
      </c>
      <c r="K114" s="307">
        <v>113.0</v>
      </c>
      <c r="L114" s="41"/>
      <c r="M114" s="41" t="s">
        <v>2601</v>
      </c>
      <c r="N114" s="307">
        <v>113.0</v>
      </c>
      <c r="O114" s="41"/>
      <c r="P114" s="41" t="s">
        <v>2590</v>
      </c>
      <c r="Q114" s="307">
        <v>113.0</v>
      </c>
      <c r="R114" s="41"/>
      <c r="S114" s="41" t="s">
        <v>2270</v>
      </c>
      <c r="T114" s="307">
        <v>113.0</v>
      </c>
      <c r="U114" s="41"/>
      <c r="V114" s="41" t="s">
        <v>2635</v>
      </c>
      <c r="W114" s="307">
        <v>113.0</v>
      </c>
      <c r="X114" s="41"/>
      <c r="Y114" s="682" t="s">
        <v>2325</v>
      </c>
      <c r="Z114" s="307">
        <v>113.0</v>
      </c>
      <c r="AA114" s="41"/>
      <c r="AB114" s="683" t="s">
        <v>2276</v>
      </c>
      <c r="AC114" s="307">
        <v>113.0</v>
      </c>
      <c r="AD114" s="79"/>
      <c r="AE114" s="690" t="s">
        <v>2642</v>
      </c>
      <c r="AF114" s="307">
        <v>113.0</v>
      </c>
      <c r="AH114" s="687" t="s">
        <v>261</v>
      </c>
      <c r="AI114" s="307">
        <v>113.0</v>
      </c>
      <c r="AK114" s="687" t="s">
        <v>2292</v>
      </c>
      <c r="AL114" s="307">
        <v>113.0</v>
      </c>
      <c r="AN114" s="687" t="s">
        <v>2309</v>
      </c>
      <c r="AO114" s="307">
        <v>113.0</v>
      </c>
      <c r="AQ114" s="687" t="s">
        <v>2289</v>
      </c>
      <c r="AR114" s="307">
        <v>113.0</v>
      </c>
      <c r="AT114" s="687" t="s">
        <v>1087</v>
      </c>
      <c r="AU114" s="307">
        <v>113.0</v>
      </c>
      <c r="AW114" s="687" t="s">
        <v>2289</v>
      </c>
      <c r="AX114" s="307">
        <v>113.0</v>
      </c>
      <c r="AZ114" s="700" t="s">
        <v>2627</v>
      </c>
      <c r="BA114" s="307">
        <v>113.0</v>
      </c>
      <c r="BC114" s="691" t="s">
        <v>2260</v>
      </c>
      <c r="BD114" s="307">
        <v>113.0</v>
      </c>
      <c r="BF114" s="687" t="s">
        <v>2270</v>
      </c>
      <c r="BG114" s="145">
        <v>113.0</v>
      </c>
      <c r="BI114" s="688" t="s">
        <v>2292</v>
      </c>
      <c r="BJ114" s="145">
        <v>113.0</v>
      </c>
      <c r="BL114" s="692" t="s">
        <v>999</v>
      </c>
      <c r="BM114" s="216">
        <v>113.0</v>
      </c>
    </row>
    <row r="115">
      <c r="A115" s="41" t="s">
        <v>2324</v>
      </c>
      <c r="B115" s="307">
        <v>114.0</v>
      </c>
      <c r="C115" s="41"/>
      <c r="D115" s="41" t="s">
        <v>2593</v>
      </c>
      <c r="E115" s="307">
        <v>114.0</v>
      </c>
      <c r="F115" s="41"/>
      <c r="G115" s="41" t="s">
        <v>2643</v>
      </c>
      <c r="H115" s="307">
        <v>114.0</v>
      </c>
      <c r="I115" s="41"/>
      <c r="J115" s="41" t="s">
        <v>268</v>
      </c>
      <c r="K115" s="307">
        <v>114.0</v>
      </c>
      <c r="L115" s="41"/>
      <c r="M115" s="41" t="s">
        <v>81</v>
      </c>
      <c r="N115" s="307">
        <v>114.0</v>
      </c>
      <c r="O115" s="41"/>
      <c r="P115" s="41" t="s">
        <v>2583</v>
      </c>
      <c r="Q115" s="307">
        <v>114.0</v>
      </c>
      <c r="R115" s="41"/>
      <c r="S115" s="41" t="s">
        <v>2363</v>
      </c>
      <c r="T115" s="307">
        <v>114.0</v>
      </c>
      <c r="U115" s="41"/>
      <c r="V115" s="41" t="s">
        <v>2393</v>
      </c>
      <c r="W115" s="307">
        <v>114.0</v>
      </c>
      <c r="X115" s="41"/>
      <c r="Y115" s="682" t="s">
        <v>2393</v>
      </c>
      <c r="Z115" s="307">
        <v>114.0</v>
      </c>
      <c r="AA115" s="41"/>
      <c r="AB115" s="683" t="s">
        <v>2642</v>
      </c>
      <c r="AC115" s="307">
        <v>114.0</v>
      </c>
      <c r="AD115" s="79"/>
      <c r="AE115" s="690" t="s">
        <v>81</v>
      </c>
      <c r="AF115" s="307">
        <v>114.0</v>
      </c>
      <c r="AH115" s="687" t="s">
        <v>2638</v>
      </c>
      <c r="AI115" s="307">
        <v>114.0</v>
      </c>
      <c r="AK115" s="687" t="s">
        <v>2276</v>
      </c>
      <c r="AL115" s="307">
        <v>114.0</v>
      </c>
      <c r="AN115" s="687" t="s">
        <v>2389</v>
      </c>
      <c r="AO115" s="307">
        <v>114.0</v>
      </c>
      <c r="AQ115" s="687" t="s">
        <v>218</v>
      </c>
      <c r="AR115" s="307">
        <v>114.0</v>
      </c>
      <c r="AT115" s="687" t="s">
        <v>2289</v>
      </c>
      <c r="AU115" s="307">
        <v>114.0</v>
      </c>
      <c r="AW115" s="687" t="s">
        <v>2644</v>
      </c>
      <c r="AX115" s="307">
        <v>114.0</v>
      </c>
      <c r="AZ115" s="687" t="s">
        <v>2645</v>
      </c>
      <c r="BA115" s="307">
        <v>114.0</v>
      </c>
      <c r="BC115" s="691" t="s">
        <v>2270</v>
      </c>
      <c r="BD115" s="307">
        <v>114.0</v>
      </c>
      <c r="BF115" s="687" t="s">
        <v>926</v>
      </c>
      <c r="BG115" s="145">
        <v>114.0</v>
      </c>
      <c r="BI115" s="688" t="s">
        <v>858</v>
      </c>
      <c r="BJ115" s="145">
        <v>114.0</v>
      </c>
      <c r="BL115" s="692" t="s">
        <v>2292</v>
      </c>
      <c r="BM115" s="216">
        <v>114.0</v>
      </c>
    </row>
    <row r="116">
      <c r="A116" s="41" t="s">
        <v>2590</v>
      </c>
      <c r="B116" s="307">
        <v>115.0</v>
      </c>
      <c r="C116" s="41"/>
      <c r="D116" s="41" t="s">
        <v>2590</v>
      </c>
      <c r="E116" s="307">
        <v>115.0</v>
      </c>
      <c r="F116" s="41"/>
      <c r="G116" s="41" t="s">
        <v>2622</v>
      </c>
      <c r="H116" s="307">
        <v>115.0</v>
      </c>
      <c r="I116" s="41"/>
      <c r="J116" s="41" t="s">
        <v>2619</v>
      </c>
      <c r="K116" s="307">
        <v>115.0</v>
      </c>
      <c r="L116" s="41"/>
      <c r="M116" s="41" t="s">
        <v>2604</v>
      </c>
      <c r="N116" s="307">
        <v>115.0</v>
      </c>
      <c r="O116" s="41"/>
      <c r="P116" s="41" t="s">
        <v>2604</v>
      </c>
      <c r="Q116" s="307">
        <v>115.0</v>
      </c>
      <c r="R116" s="41"/>
      <c r="S116" s="41" t="s">
        <v>2164</v>
      </c>
      <c r="T116" s="307">
        <v>115.0</v>
      </c>
      <c r="U116" s="41"/>
      <c r="V116" s="41" t="s">
        <v>2615</v>
      </c>
      <c r="W116" s="307">
        <v>115.0</v>
      </c>
      <c r="X116" s="41"/>
      <c r="Y116" s="682" t="s">
        <v>841</v>
      </c>
      <c r="Z116" s="307">
        <v>115.0</v>
      </c>
      <c r="AA116" s="41"/>
      <c r="AB116" s="683" t="s">
        <v>81</v>
      </c>
      <c r="AC116" s="307">
        <v>115.0</v>
      </c>
      <c r="AD116" s="79"/>
      <c r="AE116" s="690" t="s">
        <v>2601</v>
      </c>
      <c r="AF116" s="307">
        <v>115.0</v>
      </c>
      <c r="AH116" s="687" t="s">
        <v>2152</v>
      </c>
      <c r="AI116" s="307">
        <v>115.0</v>
      </c>
      <c r="AK116" s="687" t="s">
        <v>2289</v>
      </c>
      <c r="AL116" s="307">
        <v>115.0</v>
      </c>
      <c r="AN116" s="687" t="s">
        <v>2324</v>
      </c>
      <c r="AO116" s="307">
        <v>115.0</v>
      </c>
      <c r="AQ116" s="687" t="s">
        <v>2260</v>
      </c>
      <c r="AR116" s="307">
        <v>115.0</v>
      </c>
      <c r="AT116" s="687" t="s">
        <v>218</v>
      </c>
      <c r="AU116" s="307">
        <v>115.0</v>
      </c>
      <c r="AW116" s="687" t="s">
        <v>218</v>
      </c>
      <c r="AX116" s="307">
        <v>115.0</v>
      </c>
      <c r="AZ116" s="687" t="s">
        <v>2616</v>
      </c>
      <c r="BA116" s="307">
        <v>115.0</v>
      </c>
      <c r="BC116" s="691" t="s">
        <v>2644</v>
      </c>
      <c r="BD116" s="307">
        <v>115.0</v>
      </c>
      <c r="BF116" s="687" t="s">
        <v>2644</v>
      </c>
      <c r="BG116" s="145">
        <v>115.0</v>
      </c>
      <c r="BI116" s="688" t="s">
        <v>76</v>
      </c>
      <c r="BJ116" s="145">
        <v>115.0</v>
      </c>
      <c r="BL116" s="692" t="s">
        <v>76</v>
      </c>
      <c r="BM116" s="216">
        <v>115.0</v>
      </c>
    </row>
    <row r="117">
      <c r="A117" s="41" t="s">
        <v>2388</v>
      </c>
      <c r="B117" s="307">
        <v>116.0</v>
      </c>
      <c r="C117" s="41"/>
      <c r="D117" s="41" t="s">
        <v>2160</v>
      </c>
      <c r="E117" s="307">
        <v>116.0</v>
      </c>
      <c r="F117" s="41"/>
      <c r="G117" s="41" t="s">
        <v>2307</v>
      </c>
      <c r="H117" s="307">
        <v>116.0</v>
      </c>
      <c r="I117" s="41"/>
      <c r="J117" s="41" t="s">
        <v>2601</v>
      </c>
      <c r="K117" s="307">
        <v>116.0</v>
      </c>
      <c r="L117" s="41"/>
      <c r="M117" s="41" t="s">
        <v>2617</v>
      </c>
      <c r="N117" s="307">
        <v>116.0</v>
      </c>
      <c r="O117" s="41"/>
      <c r="P117" s="41" t="s">
        <v>2270</v>
      </c>
      <c r="Q117" s="307">
        <v>116.0</v>
      </c>
      <c r="R117" s="41"/>
      <c r="S117" s="41" t="s">
        <v>268</v>
      </c>
      <c r="T117" s="307">
        <v>116.0</v>
      </c>
      <c r="U117" s="41"/>
      <c r="V117" s="41" t="s">
        <v>2133</v>
      </c>
      <c r="W117" s="307">
        <v>116.0</v>
      </c>
      <c r="X117" s="41"/>
      <c r="Y117" s="682" t="s">
        <v>2646</v>
      </c>
      <c r="Z117" s="307">
        <v>116.0</v>
      </c>
      <c r="AA117" s="41"/>
      <c r="AB117" s="683" t="s">
        <v>76</v>
      </c>
      <c r="AC117" s="307">
        <v>116.0</v>
      </c>
      <c r="AD117" s="79"/>
      <c r="AE117" s="690" t="s">
        <v>2647</v>
      </c>
      <c r="AF117" s="307">
        <v>116.0</v>
      </c>
      <c r="AH117" s="687" t="s">
        <v>999</v>
      </c>
      <c r="AI117" s="307">
        <v>116.0</v>
      </c>
      <c r="AK117" s="687" t="s">
        <v>85</v>
      </c>
      <c r="AL117" s="307">
        <v>116.0</v>
      </c>
      <c r="AN117" s="687" t="s">
        <v>2292</v>
      </c>
      <c r="AO117" s="307">
        <v>116.0</v>
      </c>
      <c r="AQ117" s="687" t="s">
        <v>2270</v>
      </c>
      <c r="AR117" s="307">
        <v>116.0</v>
      </c>
      <c r="AT117" s="687" t="s">
        <v>2260</v>
      </c>
      <c r="AU117" s="307">
        <v>116.0</v>
      </c>
      <c r="AW117" s="687" t="s">
        <v>2260</v>
      </c>
      <c r="AX117" s="307">
        <v>116.0</v>
      </c>
      <c r="AZ117" s="687" t="s">
        <v>2644</v>
      </c>
      <c r="BA117" s="307">
        <v>116.0</v>
      </c>
      <c r="BC117" s="691" t="s">
        <v>2267</v>
      </c>
      <c r="BD117" s="307">
        <v>116.0</v>
      </c>
      <c r="BF117" s="687" t="s">
        <v>2198</v>
      </c>
      <c r="BG117" s="145">
        <v>116.0</v>
      </c>
      <c r="BI117" s="688" t="s">
        <v>218</v>
      </c>
      <c r="BJ117" s="145">
        <v>116.0</v>
      </c>
      <c r="BL117" s="692" t="s">
        <v>2644</v>
      </c>
      <c r="BM117" s="216">
        <v>116.0</v>
      </c>
    </row>
    <row r="118">
      <c r="A118" s="41" t="s">
        <v>2321</v>
      </c>
      <c r="B118" s="307">
        <v>117.0</v>
      </c>
      <c r="C118" s="41"/>
      <c r="D118" s="41" t="s">
        <v>2321</v>
      </c>
      <c r="E118" s="307">
        <v>117.0</v>
      </c>
      <c r="F118" s="41"/>
      <c r="G118" s="41" t="s">
        <v>268</v>
      </c>
      <c r="H118" s="307">
        <v>117.0</v>
      </c>
      <c r="I118" s="41"/>
      <c r="J118" s="41" t="s">
        <v>81</v>
      </c>
      <c r="K118" s="307">
        <v>117.0</v>
      </c>
      <c r="L118" s="41"/>
      <c r="M118" s="41" t="s">
        <v>2590</v>
      </c>
      <c r="N118" s="307">
        <v>117.0</v>
      </c>
      <c r="O118" s="41"/>
      <c r="P118" s="41" t="s">
        <v>2636</v>
      </c>
      <c r="Q118" s="307">
        <v>117.0</v>
      </c>
      <c r="R118" s="41"/>
      <c r="S118" s="41" t="s">
        <v>2623</v>
      </c>
      <c r="T118" s="307">
        <v>117.0</v>
      </c>
      <c r="U118" s="41"/>
      <c r="V118" s="41" t="s">
        <v>2152</v>
      </c>
      <c r="W118" s="307">
        <v>117.0</v>
      </c>
      <c r="X118" s="41"/>
      <c r="Y118" s="698" t="s">
        <v>2152</v>
      </c>
      <c r="Z118" s="307">
        <v>117.0</v>
      </c>
      <c r="AA118" s="41"/>
      <c r="AB118" s="683" t="s">
        <v>2393</v>
      </c>
      <c r="AC118" s="307">
        <v>117.0</v>
      </c>
      <c r="AD118" s="79"/>
      <c r="AE118" s="690" t="s">
        <v>2260</v>
      </c>
      <c r="AF118" s="307">
        <v>117.0</v>
      </c>
      <c r="AH118" s="687" t="s">
        <v>2133</v>
      </c>
      <c r="AI118" s="307">
        <v>117.0</v>
      </c>
      <c r="AK118" s="687" t="s">
        <v>218</v>
      </c>
      <c r="AL118" s="307">
        <v>117.0</v>
      </c>
      <c r="AN118" s="687" t="s">
        <v>2276</v>
      </c>
      <c r="AO118" s="307">
        <v>117.0</v>
      </c>
      <c r="AQ118" s="687" t="s">
        <v>2637</v>
      </c>
      <c r="AR118" s="307">
        <v>117.0</v>
      </c>
      <c r="AT118" s="687" t="s">
        <v>2270</v>
      </c>
      <c r="AU118" s="307">
        <v>117.0</v>
      </c>
      <c r="AW118" s="687" t="s">
        <v>2270</v>
      </c>
      <c r="AX118" s="307">
        <v>117.0</v>
      </c>
      <c r="AZ118" s="687" t="s">
        <v>218</v>
      </c>
      <c r="BA118" s="307">
        <v>117.0</v>
      </c>
      <c r="BC118" s="691" t="s">
        <v>2198</v>
      </c>
      <c r="BD118" s="307">
        <v>117.0</v>
      </c>
      <c r="BF118" s="687" t="s">
        <v>2133</v>
      </c>
      <c r="BG118" s="145">
        <v>117.0</v>
      </c>
      <c r="BI118" s="688" t="s">
        <v>2589</v>
      </c>
      <c r="BJ118" s="145">
        <v>117.0</v>
      </c>
      <c r="BL118" s="692" t="s">
        <v>2589</v>
      </c>
      <c r="BM118" s="216">
        <v>117.0</v>
      </c>
    </row>
    <row r="119">
      <c r="A119" s="41" t="s">
        <v>2389</v>
      </c>
      <c r="B119" s="307">
        <v>118.0</v>
      </c>
      <c r="C119" s="41"/>
      <c r="D119" s="41" t="s">
        <v>2164</v>
      </c>
      <c r="E119" s="307">
        <v>118.0</v>
      </c>
      <c r="F119" s="41"/>
      <c r="G119" s="41" t="s">
        <v>2164</v>
      </c>
      <c r="H119" s="307">
        <v>118.0</v>
      </c>
      <c r="I119" s="41"/>
      <c r="J119" s="41" t="s">
        <v>2604</v>
      </c>
      <c r="K119" s="307">
        <v>118.0</v>
      </c>
      <c r="L119" s="41"/>
      <c r="M119" s="41" t="s">
        <v>2589</v>
      </c>
      <c r="N119" s="307">
        <v>118.0</v>
      </c>
      <c r="O119" s="41"/>
      <c r="P119" s="41" t="s">
        <v>2164</v>
      </c>
      <c r="Q119" s="307">
        <v>118.0</v>
      </c>
      <c r="R119" s="41"/>
      <c r="S119" s="41" t="s">
        <v>2635</v>
      </c>
      <c r="T119" s="307">
        <v>118.0</v>
      </c>
      <c r="U119" s="41"/>
      <c r="V119" s="41" t="s">
        <v>81</v>
      </c>
      <c r="W119" s="307">
        <v>118.0</v>
      </c>
      <c r="X119" s="41"/>
      <c r="Y119" s="682" t="s">
        <v>81</v>
      </c>
      <c r="Z119" s="307">
        <v>118.0</v>
      </c>
      <c r="AA119" s="41"/>
      <c r="AB119" s="683" t="s">
        <v>270</v>
      </c>
      <c r="AC119" s="307">
        <v>118.0</v>
      </c>
      <c r="AD119" s="79"/>
      <c r="AE119" s="690" t="s">
        <v>817</v>
      </c>
      <c r="AF119" s="307">
        <v>118.0</v>
      </c>
      <c r="AH119" s="687" t="s">
        <v>2593</v>
      </c>
      <c r="AI119" s="307">
        <v>118.0</v>
      </c>
      <c r="AK119" s="687" t="s">
        <v>2260</v>
      </c>
      <c r="AL119" s="307">
        <v>118.0</v>
      </c>
      <c r="AN119" s="687" t="s">
        <v>2289</v>
      </c>
      <c r="AO119" s="307">
        <v>118.0</v>
      </c>
      <c r="AQ119" s="687" t="s">
        <v>2635</v>
      </c>
      <c r="AR119" s="307">
        <v>118.0</v>
      </c>
      <c r="AT119" s="687" t="s">
        <v>2637</v>
      </c>
      <c r="AU119" s="307">
        <v>118.0</v>
      </c>
      <c r="AW119" s="687" t="s">
        <v>2637</v>
      </c>
      <c r="AX119" s="307">
        <v>118.0</v>
      </c>
      <c r="AZ119" s="687" t="s">
        <v>2260</v>
      </c>
      <c r="BA119" s="307">
        <v>118.0</v>
      </c>
      <c r="BC119" s="691" t="s">
        <v>2133</v>
      </c>
      <c r="BD119" s="307">
        <v>118.0</v>
      </c>
      <c r="BF119" s="687" t="s">
        <v>858</v>
      </c>
      <c r="BG119" s="145">
        <v>118.0</v>
      </c>
      <c r="BI119" s="688" t="s">
        <v>2616</v>
      </c>
      <c r="BJ119" s="145">
        <v>118.0</v>
      </c>
      <c r="BL119" s="692" t="s">
        <v>248</v>
      </c>
      <c r="BM119" s="216">
        <v>118.0</v>
      </c>
    </row>
    <row r="120">
      <c r="A120" s="41" t="s">
        <v>1007</v>
      </c>
      <c r="B120" s="307">
        <v>119.0</v>
      </c>
      <c r="C120" s="41"/>
      <c r="D120" s="41" t="s">
        <v>2643</v>
      </c>
      <c r="E120" s="307">
        <v>119.0</v>
      </c>
      <c r="F120" s="41"/>
      <c r="G120" s="41" t="s">
        <v>2635</v>
      </c>
      <c r="H120" s="307">
        <v>119.0</v>
      </c>
      <c r="I120" s="41"/>
      <c r="J120" s="41" t="s">
        <v>2617</v>
      </c>
      <c r="K120" s="307">
        <v>119.0</v>
      </c>
      <c r="L120" s="41"/>
      <c r="M120" s="41" t="s">
        <v>87</v>
      </c>
      <c r="N120" s="307">
        <v>119.0</v>
      </c>
      <c r="O120" s="41"/>
      <c r="P120" s="41" t="s">
        <v>2291</v>
      </c>
      <c r="Q120" s="307">
        <v>119.0</v>
      </c>
      <c r="R120" s="41"/>
      <c r="S120" s="41" t="s">
        <v>2133</v>
      </c>
      <c r="T120" s="307">
        <v>119.0</v>
      </c>
      <c r="U120" s="41"/>
      <c r="V120" s="41" t="s">
        <v>1241</v>
      </c>
      <c r="W120" s="307">
        <v>119.0</v>
      </c>
      <c r="X120" s="41"/>
      <c r="Y120" s="682" t="s">
        <v>858</v>
      </c>
      <c r="Z120" s="307">
        <v>119.0</v>
      </c>
      <c r="AA120" s="41"/>
      <c r="AB120" s="699" t="s">
        <v>817</v>
      </c>
      <c r="AC120" s="307">
        <v>119.0</v>
      </c>
      <c r="AD120" s="79"/>
      <c r="AE120" s="690" t="s">
        <v>275</v>
      </c>
      <c r="AF120" s="307">
        <v>119.0</v>
      </c>
      <c r="AH120" s="687" t="s">
        <v>2608</v>
      </c>
      <c r="AI120" s="307">
        <v>119.0</v>
      </c>
      <c r="AK120" s="687" t="s">
        <v>2617</v>
      </c>
      <c r="AL120" s="307">
        <v>119.0</v>
      </c>
      <c r="AN120" s="687" t="s">
        <v>218</v>
      </c>
      <c r="AO120" s="307">
        <v>119.0</v>
      </c>
      <c r="AQ120" s="687" t="s">
        <v>2319</v>
      </c>
      <c r="AR120" s="307">
        <v>119.0</v>
      </c>
      <c r="AT120" s="687" t="s">
        <v>2635</v>
      </c>
      <c r="AU120" s="307">
        <v>119.0</v>
      </c>
      <c r="AW120" s="687" t="s">
        <v>2319</v>
      </c>
      <c r="AX120" s="307">
        <v>119.0</v>
      </c>
      <c r="AZ120" s="687" t="s">
        <v>2270</v>
      </c>
      <c r="BA120" s="307">
        <v>119.0</v>
      </c>
      <c r="BC120" s="691" t="s">
        <v>858</v>
      </c>
      <c r="BD120" s="307">
        <v>119.0</v>
      </c>
      <c r="BF120" s="687" t="s">
        <v>910</v>
      </c>
      <c r="BG120" s="145">
        <v>119.0</v>
      </c>
      <c r="BI120" s="688" t="s">
        <v>2644</v>
      </c>
      <c r="BJ120" s="145">
        <v>119.0</v>
      </c>
      <c r="BL120" s="692" t="s">
        <v>2616</v>
      </c>
      <c r="BM120" s="216">
        <v>119.0</v>
      </c>
    </row>
    <row r="121">
      <c r="A121" s="41" t="s">
        <v>2633</v>
      </c>
      <c r="B121" s="307">
        <v>120.0</v>
      </c>
      <c r="C121" s="41"/>
      <c r="D121" s="41" t="s">
        <v>255</v>
      </c>
      <c r="E121" s="307">
        <v>120.0</v>
      </c>
      <c r="F121" s="41"/>
      <c r="G121" s="41" t="s">
        <v>2648</v>
      </c>
      <c r="H121" s="307">
        <v>120.0</v>
      </c>
      <c r="I121" s="41"/>
      <c r="J121" s="41" t="s">
        <v>2590</v>
      </c>
      <c r="K121" s="307">
        <v>120.0</v>
      </c>
      <c r="L121" s="41"/>
      <c r="M121" s="41" t="s">
        <v>2270</v>
      </c>
      <c r="N121" s="307">
        <v>120.0</v>
      </c>
      <c r="O121" s="41"/>
      <c r="P121" s="41" t="s">
        <v>2152</v>
      </c>
      <c r="Q121" s="307">
        <v>120.0</v>
      </c>
      <c r="R121" s="41"/>
      <c r="S121" s="41" t="s">
        <v>2152</v>
      </c>
      <c r="T121" s="307">
        <v>120.0</v>
      </c>
      <c r="U121" s="41"/>
      <c r="V121" s="41" t="s">
        <v>858</v>
      </c>
      <c r="W121" s="307">
        <v>120.0</v>
      </c>
      <c r="X121" s="41"/>
      <c r="Y121" s="682" t="s">
        <v>2133</v>
      </c>
      <c r="Z121" s="307">
        <v>120.0</v>
      </c>
      <c r="AA121" s="41"/>
      <c r="AB121" s="683" t="s">
        <v>2608</v>
      </c>
      <c r="AC121" s="307">
        <v>120.0</v>
      </c>
      <c r="AD121" s="79"/>
      <c r="AE121" s="690" t="s">
        <v>2608</v>
      </c>
      <c r="AF121" s="307">
        <v>120.0</v>
      </c>
      <c r="AH121" s="687" t="s">
        <v>2292</v>
      </c>
      <c r="AI121" s="307">
        <v>120.0</v>
      </c>
      <c r="AK121" s="687" t="s">
        <v>2133</v>
      </c>
      <c r="AL121" s="307">
        <v>120.0</v>
      </c>
      <c r="AN121" s="700" t="s">
        <v>2649</v>
      </c>
      <c r="AO121" s="307">
        <v>120.0</v>
      </c>
      <c r="AQ121" s="687" t="s">
        <v>2644</v>
      </c>
      <c r="AR121" s="307">
        <v>120.0</v>
      </c>
      <c r="AT121" s="687" t="s">
        <v>2319</v>
      </c>
      <c r="AU121" s="307">
        <v>120.0</v>
      </c>
      <c r="AW121" s="687" t="s">
        <v>2193</v>
      </c>
      <c r="AX121" s="307">
        <v>120.0</v>
      </c>
      <c r="AZ121" s="687" t="s">
        <v>2637</v>
      </c>
      <c r="BA121" s="307">
        <v>120.0</v>
      </c>
      <c r="BC121" s="691" t="s">
        <v>910</v>
      </c>
      <c r="BD121" s="307">
        <v>120.0</v>
      </c>
      <c r="BF121" s="687" t="s">
        <v>2650</v>
      </c>
      <c r="BG121" s="145">
        <v>120.0</v>
      </c>
      <c r="BI121" s="688" t="s">
        <v>2330</v>
      </c>
      <c r="BJ121" s="145">
        <v>120.0</v>
      </c>
      <c r="BL121" s="692" t="s">
        <v>2651</v>
      </c>
      <c r="BM121" s="216">
        <v>120.0</v>
      </c>
    </row>
    <row r="122">
      <c r="A122" s="41" t="s">
        <v>2652</v>
      </c>
      <c r="B122" s="307">
        <v>121.0</v>
      </c>
      <c r="C122" s="41"/>
      <c r="D122" s="41" t="s">
        <v>2589</v>
      </c>
      <c r="E122" s="307">
        <v>121.0</v>
      </c>
      <c r="F122" s="41"/>
      <c r="G122" s="41" t="s">
        <v>2303</v>
      </c>
      <c r="H122" s="307">
        <v>121.0</v>
      </c>
      <c r="I122" s="41"/>
      <c r="J122" s="41" t="s">
        <v>2633</v>
      </c>
      <c r="K122" s="307">
        <v>121.0</v>
      </c>
      <c r="L122" s="41"/>
      <c r="M122" s="41" t="s">
        <v>2638</v>
      </c>
      <c r="N122" s="307">
        <v>121.0</v>
      </c>
      <c r="O122" s="41"/>
      <c r="P122" s="41" t="s">
        <v>2644</v>
      </c>
      <c r="Q122" s="307">
        <v>121.0</v>
      </c>
      <c r="R122" s="41"/>
      <c r="S122" s="41" t="s">
        <v>2644</v>
      </c>
      <c r="T122" s="307">
        <v>121.0</v>
      </c>
      <c r="U122" s="41"/>
      <c r="V122" s="41" t="s">
        <v>2637</v>
      </c>
      <c r="W122" s="307">
        <v>121.0</v>
      </c>
      <c r="X122" s="41"/>
      <c r="Y122" s="682" t="s">
        <v>2417</v>
      </c>
      <c r="Z122" s="307">
        <v>121.0</v>
      </c>
      <c r="AA122" s="41"/>
      <c r="AB122" s="683" t="s">
        <v>2260</v>
      </c>
      <c r="AC122" s="307">
        <v>121.0</v>
      </c>
      <c r="AD122" s="79"/>
      <c r="AE122" s="690" t="s">
        <v>2635</v>
      </c>
      <c r="AF122" s="307">
        <v>121.0</v>
      </c>
      <c r="AH122" s="687" t="s">
        <v>2644</v>
      </c>
      <c r="AI122" s="307">
        <v>121.0</v>
      </c>
      <c r="AK122" s="687" t="s">
        <v>2152</v>
      </c>
      <c r="AL122" s="307">
        <v>121.0</v>
      </c>
      <c r="AN122" s="687" t="s">
        <v>2260</v>
      </c>
      <c r="AO122" s="307">
        <v>121.0</v>
      </c>
      <c r="AQ122" s="687" t="s">
        <v>2193</v>
      </c>
      <c r="AR122" s="307">
        <v>121.0</v>
      </c>
      <c r="AT122" s="687" t="s">
        <v>2644</v>
      </c>
      <c r="AU122" s="307">
        <v>121.0</v>
      </c>
      <c r="AW122" s="687" t="s">
        <v>2198</v>
      </c>
      <c r="AX122" s="307">
        <v>121.0</v>
      </c>
      <c r="AZ122" s="687" t="s">
        <v>2193</v>
      </c>
      <c r="BA122" s="307">
        <v>121.0</v>
      </c>
      <c r="BC122" s="691" t="s">
        <v>2650</v>
      </c>
      <c r="BD122" s="307">
        <v>121.0</v>
      </c>
      <c r="BF122" s="687" t="s">
        <v>76</v>
      </c>
      <c r="BG122" s="145">
        <v>121.0</v>
      </c>
      <c r="BI122" s="688" t="s">
        <v>2296</v>
      </c>
      <c r="BJ122" s="145">
        <v>121.0</v>
      </c>
      <c r="BL122" s="692" t="s">
        <v>2610</v>
      </c>
      <c r="BM122" s="216">
        <v>121.0</v>
      </c>
    </row>
    <row r="123">
      <c r="A123" s="41" t="s">
        <v>2635</v>
      </c>
      <c r="B123" s="307">
        <v>122.0</v>
      </c>
      <c r="C123" s="41"/>
      <c r="D123" s="41" t="s">
        <v>2648</v>
      </c>
      <c r="E123" s="307">
        <v>122.0</v>
      </c>
      <c r="F123" s="41"/>
      <c r="G123" s="41" t="s">
        <v>2652</v>
      </c>
      <c r="H123" s="307">
        <v>122.0</v>
      </c>
      <c r="I123" s="41"/>
      <c r="J123" s="41" t="s">
        <v>2589</v>
      </c>
      <c r="K123" s="307">
        <v>122.0</v>
      </c>
      <c r="L123" s="41"/>
      <c r="M123" s="41" t="s">
        <v>2164</v>
      </c>
      <c r="N123" s="307">
        <v>122.0</v>
      </c>
      <c r="O123" s="41"/>
      <c r="P123" s="41" t="s">
        <v>2637</v>
      </c>
      <c r="Q123" s="307">
        <v>122.0</v>
      </c>
      <c r="R123" s="41"/>
      <c r="S123" s="41" t="s">
        <v>858</v>
      </c>
      <c r="T123" s="307">
        <v>122.0</v>
      </c>
      <c r="U123" s="41"/>
      <c r="V123" s="41" t="s">
        <v>2276</v>
      </c>
      <c r="W123" s="307">
        <v>122.0</v>
      </c>
      <c r="X123" s="41"/>
      <c r="Y123" s="682" t="s">
        <v>2635</v>
      </c>
      <c r="Z123" s="307">
        <v>122.0</v>
      </c>
      <c r="AA123" s="41"/>
      <c r="AB123" s="683" t="s">
        <v>261</v>
      </c>
      <c r="AC123" s="307">
        <v>122.0</v>
      </c>
      <c r="AD123" s="79"/>
      <c r="AE123" s="690" t="s">
        <v>270</v>
      </c>
      <c r="AF123" s="307">
        <v>122.0</v>
      </c>
      <c r="AH123" s="687" t="s">
        <v>2635</v>
      </c>
      <c r="AI123" s="307">
        <v>122.0</v>
      </c>
      <c r="AK123" s="687" t="s">
        <v>2644</v>
      </c>
      <c r="AL123" s="307">
        <v>122.0</v>
      </c>
      <c r="AN123" s="687" t="s">
        <v>2133</v>
      </c>
      <c r="AO123" s="307">
        <v>122.0</v>
      </c>
      <c r="AQ123" s="687" t="s">
        <v>2198</v>
      </c>
      <c r="AR123" s="307">
        <v>122.0</v>
      </c>
      <c r="AT123" s="687" t="s">
        <v>2193</v>
      </c>
      <c r="AU123" s="307">
        <v>122.0</v>
      </c>
      <c r="AW123" s="687" t="s">
        <v>2152</v>
      </c>
      <c r="AX123" s="307">
        <v>122.0</v>
      </c>
      <c r="AZ123" s="687" t="s">
        <v>2198</v>
      </c>
      <c r="BA123" s="307">
        <v>122.0</v>
      </c>
      <c r="BC123" s="691" t="s">
        <v>2653</v>
      </c>
      <c r="BD123" s="307">
        <v>122.0</v>
      </c>
      <c r="BF123" s="687" t="s">
        <v>218</v>
      </c>
      <c r="BG123" s="145">
        <v>122.0</v>
      </c>
      <c r="BI123" s="688" t="s">
        <v>2193</v>
      </c>
      <c r="BJ123" s="145">
        <v>122.0</v>
      </c>
      <c r="BL123" s="692" t="s">
        <v>2133</v>
      </c>
      <c r="BM123" s="216">
        <v>122.0</v>
      </c>
    </row>
    <row r="124">
      <c r="A124" s="41" t="s">
        <v>2654</v>
      </c>
      <c r="B124" s="307">
        <v>123.0</v>
      </c>
      <c r="C124" s="41"/>
      <c r="D124" s="41" t="s">
        <v>268</v>
      </c>
      <c r="E124" s="307">
        <v>123.0</v>
      </c>
      <c r="F124" s="41"/>
      <c r="G124" s="41" t="s">
        <v>81</v>
      </c>
      <c r="H124" s="307">
        <v>123.0</v>
      </c>
      <c r="I124" s="41"/>
      <c r="J124" s="41" t="s">
        <v>2270</v>
      </c>
      <c r="K124" s="307">
        <v>123.0</v>
      </c>
      <c r="L124" s="41"/>
      <c r="M124" s="41" t="s">
        <v>2291</v>
      </c>
      <c r="N124" s="307">
        <v>123.0</v>
      </c>
      <c r="O124" s="41"/>
      <c r="P124" s="41" t="s">
        <v>2638</v>
      </c>
      <c r="Q124" s="307">
        <v>123.0</v>
      </c>
      <c r="R124" s="41"/>
      <c r="S124" s="41" t="s">
        <v>2637</v>
      </c>
      <c r="T124" s="307">
        <v>123.0</v>
      </c>
      <c r="U124" s="41"/>
      <c r="V124" s="41" t="s">
        <v>275</v>
      </c>
      <c r="W124" s="307">
        <v>123.0</v>
      </c>
      <c r="X124" s="41"/>
      <c r="Y124" s="682" t="s">
        <v>275</v>
      </c>
      <c r="Z124" s="307">
        <v>123.0</v>
      </c>
      <c r="AA124" s="41"/>
      <c r="AB124" s="683" t="s">
        <v>1240</v>
      </c>
      <c r="AC124" s="307">
        <v>123.0</v>
      </c>
      <c r="AD124" s="79"/>
      <c r="AE124" s="690" t="s">
        <v>2270</v>
      </c>
      <c r="AF124" s="307">
        <v>123.0</v>
      </c>
      <c r="AH124" s="687" t="s">
        <v>2616</v>
      </c>
      <c r="AI124" s="307">
        <v>123.0</v>
      </c>
      <c r="AK124" s="687" t="s">
        <v>2270</v>
      </c>
      <c r="AL124" s="307">
        <v>123.0</v>
      </c>
      <c r="AN124" s="687" t="s">
        <v>2152</v>
      </c>
      <c r="AO124" s="307">
        <v>123.0</v>
      </c>
      <c r="AQ124" s="687" t="s">
        <v>2297</v>
      </c>
      <c r="AR124" s="307">
        <v>123.0</v>
      </c>
      <c r="AT124" s="687" t="s">
        <v>2198</v>
      </c>
      <c r="AU124" s="307">
        <v>123.0</v>
      </c>
      <c r="AW124" s="687" t="s">
        <v>2133</v>
      </c>
      <c r="AX124" s="307">
        <v>123.0</v>
      </c>
      <c r="AZ124" s="687" t="s">
        <v>2152</v>
      </c>
      <c r="BA124" s="307">
        <v>123.0</v>
      </c>
      <c r="BC124" s="691" t="s">
        <v>218</v>
      </c>
      <c r="BD124" s="307">
        <v>123.0</v>
      </c>
      <c r="BF124" s="687" t="s">
        <v>2352</v>
      </c>
      <c r="BG124" s="145">
        <v>123.0</v>
      </c>
      <c r="BI124" s="688" t="s">
        <v>2260</v>
      </c>
      <c r="BJ124" s="145">
        <v>123.0</v>
      </c>
      <c r="BL124" s="692" t="s">
        <v>2655</v>
      </c>
      <c r="BM124" s="216">
        <v>123.0</v>
      </c>
    </row>
    <row r="125">
      <c r="A125" s="41" t="s">
        <v>2643</v>
      </c>
      <c r="B125" s="307">
        <v>124.0</v>
      </c>
      <c r="C125" s="41"/>
      <c r="D125" s="41" t="s">
        <v>217</v>
      </c>
      <c r="E125" s="307">
        <v>124.0</v>
      </c>
      <c r="F125" s="41"/>
      <c r="G125" s="41" t="s">
        <v>217</v>
      </c>
      <c r="H125" s="307">
        <v>124.0</v>
      </c>
      <c r="I125" s="41"/>
      <c r="J125" s="41" t="s">
        <v>2638</v>
      </c>
      <c r="K125" s="307">
        <v>124.0</v>
      </c>
      <c r="L125" s="41"/>
      <c r="M125" s="41" t="s">
        <v>2152</v>
      </c>
      <c r="N125" s="307">
        <v>124.0</v>
      </c>
      <c r="O125" s="41"/>
      <c r="P125" s="41" t="s">
        <v>858</v>
      </c>
      <c r="Q125" s="307">
        <v>124.0</v>
      </c>
      <c r="R125" s="41"/>
      <c r="S125" s="41" t="s">
        <v>2638</v>
      </c>
      <c r="T125" s="307">
        <v>124.0</v>
      </c>
      <c r="U125" s="41"/>
      <c r="V125" s="41" t="s">
        <v>2644</v>
      </c>
      <c r="W125" s="307">
        <v>124.0</v>
      </c>
      <c r="X125" s="41"/>
      <c r="Y125" s="682" t="s">
        <v>2644</v>
      </c>
      <c r="Z125" s="307">
        <v>124.0</v>
      </c>
      <c r="AA125" s="41"/>
      <c r="AB125" s="683" t="s">
        <v>2635</v>
      </c>
      <c r="AC125" s="307">
        <v>124.0</v>
      </c>
      <c r="AD125" s="79"/>
      <c r="AE125" s="690" t="s">
        <v>261</v>
      </c>
      <c r="AF125" s="307">
        <v>124.0</v>
      </c>
      <c r="AH125" s="687" t="s">
        <v>2297</v>
      </c>
      <c r="AI125" s="307">
        <v>124.0</v>
      </c>
      <c r="AK125" s="687" t="s">
        <v>2637</v>
      </c>
      <c r="AL125" s="307">
        <v>124.0</v>
      </c>
      <c r="AN125" s="687" t="s">
        <v>2644</v>
      </c>
      <c r="AO125" s="307">
        <v>124.0</v>
      </c>
      <c r="AQ125" s="687" t="s">
        <v>2152</v>
      </c>
      <c r="AR125" s="307">
        <v>124.0</v>
      </c>
      <c r="AT125" s="687" t="s">
        <v>2152</v>
      </c>
      <c r="AU125" s="307">
        <v>124.0</v>
      </c>
      <c r="AW125" s="687" t="s">
        <v>2616</v>
      </c>
      <c r="AX125" s="307">
        <v>124.0</v>
      </c>
      <c r="AZ125" s="687" t="s">
        <v>2133</v>
      </c>
      <c r="BA125" s="307">
        <v>124.0</v>
      </c>
      <c r="BC125" s="691" t="s">
        <v>2352</v>
      </c>
      <c r="BD125" s="307">
        <v>124.0</v>
      </c>
      <c r="BF125" s="687" t="s">
        <v>2278</v>
      </c>
      <c r="BG125" s="145">
        <v>124.0</v>
      </c>
      <c r="BI125" s="688" t="s">
        <v>2650</v>
      </c>
      <c r="BJ125" s="145">
        <v>124.0</v>
      </c>
      <c r="BL125" s="692" t="s">
        <v>2296</v>
      </c>
      <c r="BM125" s="216">
        <v>124.0</v>
      </c>
    </row>
    <row r="126">
      <c r="A126" s="41" t="s">
        <v>2648</v>
      </c>
      <c r="B126" s="307">
        <v>125.0</v>
      </c>
      <c r="C126" s="41"/>
      <c r="D126" s="41" t="s">
        <v>259</v>
      </c>
      <c r="E126" s="307">
        <v>125.0</v>
      </c>
      <c r="F126" s="41"/>
      <c r="G126" s="41" t="s">
        <v>2324</v>
      </c>
      <c r="H126" s="307">
        <v>125.0</v>
      </c>
      <c r="I126" s="41"/>
      <c r="J126" s="41" t="s">
        <v>2164</v>
      </c>
      <c r="K126" s="307">
        <v>125.0</v>
      </c>
      <c r="L126" s="41"/>
      <c r="M126" s="41" t="s">
        <v>2644</v>
      </c>
      <c r="N126" s="307">
        <v>125.0</v>
      </c>
      <c r="O126" s="41"/>
      <c r="P126" s="41" t="s">
        <v>2646</v>
      </c>
      <c r="Q126" s="307">
        <v>125.0</v>
      </c>
      <c r="R126" s="41"/>
      <c r="S126" s="41" t="s">
        <v>270</v>
      </c>
      <c r="T126" s="307">
        <v>125.0</v>
      </c>
      <c r="U126" s="41"/>
      <c r="V126" s="41" t="s">
        <v>2638</v>
      </c>
      <c r="W126" s="307">
        <v>125.0</v>
      </c>
      <c r="X126" s="41"/>
      <c r="Y126" s="682" t="s">
        <v>2638</v>
      </c>
      <c r="Z126" s="307">
        <v>125.0</v>
      </c>
      <c r="AA126" s="41"/>
      <c r="AB126" s="683" t="s">
        <v>824</v>
      </c>
      <c r="AC126" s="307">
        <v>125.0</v>
      </c>
      <c r="AD126" s="79"/>
      <c r="AE126" s="690" t="s">
        <v>2644</v>
      </c>
      <c r="AF126" s="307">
        <v>125.0</v>
      </c>
      <c r="AH126" s="687" t="s">
        <v>2260</v>
      </c>
      <c r="AI126" s="307">
        <v>125.0</v>
      </c>
      <c r="AK126" s="687" t="s">
        <v>2593</v>
      </c>
      <c r="AL126" s="307">
        <v>125.0</v>
      </c>
      <c r="AN126" s="687" t="s">
        <v>2617</v>
      </c>
      <c r="AO126" s="307">
        <v>125.0</v>
      </c>
      <c r="AQ126" s="687" t="s">
        <v>2133</v>
      </c>
      <c r="AR126" s="307">
        <v>125.0</v>
      </c>
      <c r="AT126" s="687" t="s">
        <v>2133</v>
      </c>
      <c r="AU126" s="307">
        <v>125.0</v>
      </c>
      <c r="AW126" s="687" t="s">
        <v>858</v>
      </c>
      <c r="AX126" s="307">
        <v>125.0</v>
      </c>
      <c r="AZ126" s="687" t="s">
        <v>858</v>
      </c>
      <c r="BA126" s="307">
        <v>125.0</v>
      </c>
      <c r="BC126" s="691" t="s">
        <v>75</v>
      </c>
      <c r="BD126" s="307">
        <v>125.0</v>
      </c>
      <c r="BF126" s="687" t="s">
        <v>75</v>
      </c>
      <c r="BG126" s="145">
        <v>125.0</v>
      </c>
      <c r="BI126" s="688" t="s">
        <v>1240</v>
      </c>
      <c r="BJ126" s="145">
        <v>125.0</v>
      </c>
      <c r="BL126" s="692" t="s">
        <v>233</v>
      </c>
      <c r="BM126" s="216">
        <v>125.0</v>
      </c>
    </row>
    <row r="127">
      <c r="A127" s="41" t="s">
        <v>2601</v>
      </c>
      <c r="B127" s="307">
        <v>126.0</v>
      </c>
      <c r="C127" s="41"/>
      <c r="D127" s="41" t="s">
        <v>2324</v>
      </c>
      <c r="E127" s="307">
        <v>126.0</v>
      </c>
      <c r="F127" s="41"/>
      <c r="G127" s="41" t="s">
        <v>2152</v>
      </c>
      <c r="H127" s="307">
        <v>126.0</v>
      </c>
      <c r="I127" s="41"/>
      <c r="J127" s="41" t="s">
        <v>87</v>
      </c>
      <c r="K127" s="307">
        <v>126.0</v>
      </c>
      <c r="L127" s="41"/>
      <c r="M127" s="41" t="s">
        <v>2598</v>
      </c>
      <c r="N127" s="307">
        <v>126.0</v>
      </c>
      <c r="O127" s="41"/>
      <c r="P127" s="41" t="s">
        <v>2656</v>
      </c>
      <c r="Q127" s="307">
        <v>126.0</v>
      </c>
      <c r="R127" s="41"/>
      <c r="S127" s="41" t="s">
        <v>2656</v>
      </c>
      <c r="T127" s="307">
        <v>126.0</v>
      </c>
      <c r="U127" s="41"/>
      <c r="V127" s="41" t="s">
        <v>817</v>
      </c>
      <c r="W127" s="307">
        <v>126.0</v>
      </c>
      <c r="X127" s="41"/>
      <c r="Y127" s="682" t="s">
        <v>2260</v>
      </c>
      <c r="Z127" s="307">
        <v>126.0</v>
      </c>
      <c r="AA127" s="41"/>
      <c r="AB127" s="683" t="s">
        <v>275</v>
      </c>
      <c r="AC127" s="307">
        <v>126.0</v>
      </c>
      <c r="AD127" s="79"/>
      <c r="AE127" s="690" t="s">
        <v>2638</v>
      </c>
      <c r="AF127" s="307">
        <v>126.0</v>
      </c>
      <c r="AH127" s="687" t="s">
        <v>2615</v>
      </c>
      <c r="AI127" s="307">
        <v>126.0</v>
      </c>
      <c r="AK127" s="687" t="s">
        <v>2635</v>
      </c>
      <c r="AL127" s="307">
        <v>126.0</v>
      </c>
      <c r="AN127" s="687" t="s">
        <v>2270</v>
      </c>
      <c r="AO127" s="307">
        <v>126.0</v>
      </c>
      <c r="AQ127" s="687" t="s">
        <v>2616</v>
      </c>
      <c r="AR127" s="307">
        <v>126.0</v>
      </c>
      <c r="AT127" s="687" t="s">
        <v>2616</v>
      </c>
      <c r="AU127" s="307">
        <v>126.0</v>
      </c>
      <c r="AW127" s="687" t="s">
        <v>2615</v>
      </c>
      <c r="AX127" s="307">
        <v>126.0</v>
      </c>
      <c r="AZ127" s="687" t="s">
        <v>2657</v>
      </c>
      <c r="BA127" s="307">
        <v>126.0</v>
      </c>
      <c r="BC127" s="691" t="s">
        <v>2640</v>
      </c>
      <c r="BD127" s="307">
        <v>126.0</v>
      </c>
      <c r="BF127" s="687" t="s">
        <v>2330</v>
      </c>
      <c r="BG127" s="145">
        <v>126.0</v>
      </c>
      <c r="BI127" s="688" t="s">
        <v>2164</v>
      </c>
      <c r="BJ127" s="145">
        <v>126.0</v>
      </c>
      <c r="BL127" s="692" t="s">
        <v>2164</v>
      </c>
      <c r="BM127" s="216">
        <v>126.0</v>
      </c>
    </row>
    <row r="128">
      <c r="A128" s="41" t="s">
        <v>2160</v>
      </c>
      <c r="B128" s="307">
        <v>127.0</v>
      </c>
      <c r="C128" s="41"/>
      <c r="D128" s="41" t="s">
        <v>2635</v>
      </c>
      <c r="E128" s="307">
        <v>127.0</v>
      </c>
      <c r="F128" s="41"/>
      <c r="G128" s="41" t="s">
        <v>2590</v>
      </c>
      <c r="H128" s="307">
        <v>127.0</v>
      </c>
      <c r="I128" s="41"/>
      <c r="J128" s="41" t="s">
        <v>2644</v>
      </c>
      <c r="K128" s="307">
        <v>127.0</v>
      </c>
      <c r="L128" s="41"/>
      <c r="M128" s="41" t="s">
        <v>2637</v>
      </c>
      <c r="N128" s="307">
        <v>127.0</v>
      </c>
      <c r="O128" s="41"/>
      <c r="P128" s="41" t="s">
        <v>854</v>
      </c>
      <c r="Q128" s="307">
        <v>127.0</v>
      </c>
      <c r="R128" s="41"/>
      <c r="S128" s="41" t="s">
        <v>854</v>
      </c>
      <c r="T128" s="307">
        <v>127.0</v>
      </c>
      <c r="U128" s="41"/>
      <c r="V128" s="41" t="s">
        <v>2642</v>
      </c>
      <c r="W128" s="307">
        <v>127.0</v>
      </c>
      <c r="X128" s="41"/>
      <c r="Y128" s="682" t="s">
        <v>255</v>
      </c>
      <c r="Z128" s="307">
        <v>127.0</v>
      </c>
      <c r="AA128" s="41"/>
      <c r="AB128" s="683" t="s">
        <v>2644</v>
      </c>
      <c r="AC128" s="307">
        <v>127.0</v>
      </c>
      <c r="AD128" s="79"/>
      <c r="AE128" s="690" t="s">
        <v>2297</v>
      </c>
      <c r="AF128" s="307">
        <v>127.0</v>
      </c>
      <c r="AH128" s="687" t="s">
        <v>85</v>
      </c>
      <c r="AI128" s="307">
        <v>127.0</v>
      </c>
      <c r="AK128" s="687" t="s">
        <v>2319</v>
      </c>
      <c r="AL128" s="307">
        <v>127.0</v>
      </c>
      <c r="AN128" s="687" t="s">
        <v>2637</v>
      </c>
      <c r="AO128" s="307">
        <v>127.0</v>
      </c>
      <c r="AQ128" s="687" t="s">
        <v>2615</v>
      </c>
      <c r="AR128" s="307">
        <v>127.0</v>
      </c>
      <c r="AT128" s="687" t="s">
        <v>2615</v>
      </c>
      <c r="AU128" s="307">
        <v>127.0</v>
      </c>
      <c r="AW128" s="687" t="s">
        <v>2650</v>
      </c>
      <c r="AX128" s="307">
        <v>127.0</v>
      </c>
      <c r="AZ128" s="687" t="s">
        <v>2615</v>
      </c>
      <c r="BA128" s="307">
        <v>127.0</v>
      </c>
      <c r="BC128" s="691" t="s">
        <v>235</v>
      </c>
      <c r="BD128" s="307">
        <v>127.0</v>
      </c>
      <c r="BF128" s="687" t="s">
        <v>2589</v>
      </c>
      <c r="BG128" s="145">
        <v>127.0</v>
      </c>
      <c r="BI128" s="688" t="s">
        <v>2636</v>
      </c>
      <c r="BJ128" s="145">
        <v>127.0</v>
      </c>
      <c r="BL128" s="692" t="s">
        <v>1231</v>
      </c>
      <c r="BM128" s="216">
        <v>127.0</v>
      </c>
    </row>
    <row r="129">
      <c r="A129" s="41" t="s">
        <v>2642</v>
      </c>
      <c r="B129" s="307">
        <v>128.0</v>
      </c>
      <c r="C129" s="41"/>
      <c r="D129" s="41" t="s">
        <v>2152</v>
      </c>
      <c r="E129" s="307">
        <v>128.0</v>
      </c>
      <c r="F129" s="41"/>
      <c r="G129" s="41" t="s">
        <v>2646</v>
      </c>
      <c r="H129" s="307">
        <v>128.0</v>
      </c>
      <c r="I129" s="41"/>
      <c r="J129" s="41" t="s">
        <v>2614</v>
      </c>
      <c r="K129" s="307">
        <v>128.0</v>
      </c>
      <c r="L129" s="41"/>
      <c r="M129" s="41" t="s">
        <v>858</v>
      </c>
      <c r="N129" s="307">
        <v>128.0</v>
      </c>
      <c r="O129" s="41"/>
      <c r="P129" s="41" t="s">
        <v>2340</v>
      </c>
      <c r="Q129" s="307">
        <v>128.0</v>
      </c>
      <c r="R129" s="41"/>
      <c r="S129" s="41" t="s">
        <v>2340</v>
      </c>
      <c r="T129" s="307">
        <v>128.0</v>
      </c>
      <c r="U129" s="41"/>
      <c r="V129" s="41" t="s">
        <v>255</v>
      </c>
      <c r="W129" s="307">
        <v>128.0</v>
      </c>
      <c r="X129" s="41"/>
      <c r="Y129" s="682" t="s">
        <v>2297</v>
      </c>
      <c r="Z129" s="307">
        <v>128.0</v>
      </c>
      <c r="AA129" s="41"/>
      <c r="AB129" s="683" t="s">
        <v>2638</v>
      </c>
      <c r="AC129" s="307">
        <v>128.0</v>
      </c>
      <c r="AD129" s="79"/>
      <c r="AE129" s="690" t="s">
        <v>2615</v>
      </c>
      <c r="AF129" s="307">
        <v>128.0</v>
      </c>
      <c r="AH129" s="687" t="s">
        <v>218</v>
      </c>
      <c r="AI129" s="307">
        <v>128.0</v>
      </c>
      <c r="AK129" s="687" t="s">
        <v>2608</v>
      </c>
      <c r="AL129" s="307">
        <v>128.0</v>
      </c>
      <c r="AN129" s="687" t="s">
        <v>2593</v>
      </c>
      <c r="AO129" s="307">
        <v>128.0</v>
      </c>
      <c r="AQ129" s="687" t="s">
        <v>2593</v>
      </c>
      <c r="AR129" s="307">
        <v>128.0</v>
      </c>
      <c r="AT129" s="687" t="s">
        <v>2650</v>
      </c>
      <c r="AU129" s="307">
        <v>128.0</v>
      </c>
      <c r="AW129" s="687" t="s">
        <v>2622</v>
      </c>
      <c r="AX129" s="307">
        <v>128.0</v>
      </c>
      <c r="AZ129" s="687" t="s">
        <v>2297</v>
      </c>
      <c r="BA129" s="307">
        <v>128.0</v>
      </c>
      <c r="BC129" s="691" t="s">
        <v>2589</v>
      </c>
      <c r="BD129" s="307">
        <v>128.0</v>
      </c>
      <c r="BF129" s="687" t="s">
        <v>2636</v>
      </c>
      <c r="BG129" s="145">
        <v>128.0</v>
      </c>
      <c r="BI129" s="688" t="s">
        <v>2617</v>
      </c>
      <c r="BJ129" s="145">
        <v>128.0</v>
      </c>
      <c r="BL129" s="692" t="s">
        <v>2635</v>
      </c>
      <c r="BM129" s="216">
        <v>128.0</v>
      </c>
    </row>
    <row r="130">
      <c r="A130" s="41" t="s">
        <v>2276</v>
      </c>
      <c r="B130" s="307">
        <v>129.0</v>
      </c>
      <c r="C130" s="41"/>
      <c r="D130" s="41" t="s">
        <v>2393</v>
      </c>
      <c r="E130" s="307">
        <v>129.0</v>
      </c>
      <c r="F130" s="41"/>
      <c r="G130" s="41" t="s">
        <v>87</v>
      </c>
      <c r="H130" s="307">
        <v>129.0</v>
      </c>
      <c r="I130" s="41"/>
      <c r="J130" s="41" t="s">
        <v>2637</v>
      </c>
      <c r="K130" s="307">
        <v>129.0</v>
      </c>
      <c r="L130" s="41"/>
      <c r="M130" s="41" t="s">
        <v>2646</v>
      </c>
      <c r="N130" s="307">
        <v>129.0</v>
      </c>
      <c r="O130" s="41"/>
      <c r="P130" s="41" t="s">
        <v>217</v>
      </c>
      <c r="Q130" s="307">
        <v>129.0</v>
      </c>
      <c r="R130" s="41"/>
      <c r="S130" s="41" t="s">
        <v>2642</v>
      </c>
      <c r="T130" s="307">
        <v>129.0</v>
      </c>
      <c r="U130" s="41"/>
      <c r="V130" s="41" t="s">
        <v>261</v>
      </c>
      <c r="W130" s="307">
        <v>129.0</v>
      </c>
      <c r="X130" s="41"/>
      <c r="Y130" s="682" t="s">
        <v>261</v>
      </c>
      <c r="Z130" s="307">
        <v>129.0</v>
      </c>
      <c r="AA130" s="41"/>
      <c r="AB130" s="683" t="s">
        <v>2297</v>
      </c>
      <c r="AC130" s="307">
        <v>129.0</v>
      </c>
      <c r="AD130" s="79"/>
      <c r="AE130" s="690" t="s">
        <v>218</v>
      </c>
      <c r="AF130" s="307">
        <v>129.0</v>
      </c>
      <c r="AH130" s="687" t="s">
        <v>2319</v>
      </c>
      <c r="AI130" s="307">
        <v>129.0</v>
      </c>
      <c r="AK130" s="687" t="s">
        <v>2193</v>
      </c>
      <c r="AL130" s="307">
        <v>129.0</v>
      </c>
      <c r="AN130" s="687" t="s">
        <v>2635</v>
      </c>
      <c r="AO130" s="307">
        <v>129.0</v>
      </c>
      <c r="AQ130" s="687" t="s">
        <v>2622</v>
      </c>
      <c r="AR130" s="307">
        <v>129.0</v>
      </c>
      <c r="AT130" s="687" t="s">
        <v>2622</v>
      </c>
      <c r="AU130" s="307">
        <v>129.0</v>
      </c>
      <c r="AW130" s="687" t="s">
        <v>2617</v>
      </c>
      <c r="AX130" s="307">
        <v>129.0</v>
      </c>
      <c r="AZ130" s="687" t="s">
        <v>2650</v>
      </c>
      <c r="BA130" s="307">
        <v>129.0</v>
      </c>
      <c r="BC130" s="691" t="s">
        <v>2636</v>
      </c>
      <c r="BD130" s="307">
        <v>129.0</v>
      </c>
      <c r="BF130" s="687" t="s">
        <v>2623</v>
      </c>
      <c r="BG130" s="145">
        <v>129.0</v>
      </c>
      <c r="BI130" s="688" t="s">
        <v>2352</v>
      </c>
      <c r="BJ130" s="145">
        <v>129.0</v>
      </c>
      <c r="BL130" s="692" t="s">
        <v>2636</v>
      </c>
      <c r="BM130" s="216">
        <v>129.0</v>
      </c>
    </row>
    <row r="131">
      <c r="A131" s="41" t="s">
        <v>2658</v>
      </c>
      <c r="B131" s="307">
        <v>130.0</v>
      </c>
      <c r="C131" s="41"/>
      <c r="D131" s="41" t="s">
        <v>2642</v>
      </c>
      <c r="E131" s="307">
        <v>130.0</v>
      </c>
      <c r="F131" s="41"/>
      <c r="G131" s="41" t="s">
        <v>2638</v>
      </c>
      <c r="H131" s="307">
        <v>130.0</v>
      </c>
      <c r="I131" s="41"/>
      <c r="J131" s="41" t="s">
        <v>858</v>
      </c>
      <c r="K131" s="307">
        <v>130.0</v>
      </c>
      <c r="L131" s="41"/>
      <c r="M131" s="41" t="s">
        <v>2592</v>
      </c>
      <c r="N131" s="307">
        <v>130.0</v>
      </c>
      <c r="O131" s="41"/>
      <c r="P131" s="41" t="s">
        <v>2393</v>
      </c>
      <c r="Q131" s="307">
        <v>130.0</v>
      </c>
      <c r="R131" s="41"/>
      <c r="S131" s="41" t="s">
        <v>76</v>
      </c>
      <c r="T131" s="307">
        <v>130.0</v>
      </c>
      <c r="U131" s="41"/>
      <c r="V131" s="41" t="s">
        <v>2646</v>
      </c>
      <c r="W131" s="307">
        <v>130.0</v>
      </c>
      <c r="X131" s="41"/>
      <c r="Y131" s="682" t="s">
        <v>2615</v>
      </c>
      <c r="Z131" s="307">
        <v>130.0</v>
      </c>
      <c r="AA131" s="41"/>
      <c r="AB131" s="683" t="s">
        <v>2615</v>
      </c>
      <c r="AC131" s="307">
        <v>130.0</v>
      </c>
      <c r="AD131" s="79"/>
      <c r="AE131" s="690" t="s">
        <v>2640</v>
      </c>
      <c r="AF131" s="307">
        <v>130.0</v>
      </c>
      <c r="AH131" s="687" t="s">
        <v>2270</v>
      </c>
      <c r="AI131" s="307">
        <v>130.0</v>
      </c>
      <c r="AK131" s="687" t="s">
        <v>2198</v>
      </c>
      <c r="AL131" s="307">
        <v>130.0</v>
      </c>
      <c r="AN131" s="687" t="s">
        <v>2319</v>
      </c>
      <c r="AO131" s="307">
        <v>130.0</v>
      </c>
      <c r="AQ131" s="687" t="s">
        <v>1087</v>
      </c>
      <c r="AR131" s="307">
        <v>130.0</v>
      </c>
      <c r="AT131" s="687" t="s">
        <v>2324</v>
      </c>
      <c r="AU131" s="307">
        <v>130.0</v>
      </c>
      <c r="AW131" s="687" t="s">
        <v>2653</v>
      </c>
      <c r="AX131" s="307">
        <v>130.0</v>
      </c>
      <c r="AZ131" s="687" t="s">
        <v>2622</v>
      </c>
      <c r="BA131" s="307">
        <v>130.0</v>
      </c>
      <c r="BC131" s="691" t="s">
        <v>233</v>
      </c>
      <c r="BD131" s="307">
        <v>130.0</v>
      </c>
      <c r="BF131" s="687" t="s">
        <v>2296</v>
      </c>
      <c r="BG131" s="145">
        <v>130.0</v>
      </c>
      <c r="BI131" s="688" t="s">
        <v>2303</v>
      </c>
      <c r="BJ131" s="145">
        <v>130.0</v>
      </c>
      <c r="BL131" s="692" t="s">
        <v>2352</v>
      </c>
      <c r="BM131" s="216">
        <v>130.0</v>
      </c>
    </row>
    <row r="132">
      <c r="A132" s="41" t="s">
        <v>2593</v>
      </c>
      <c r="B132" s="307">
        <v>131.0</v>
      </c>
      <c r="C132" s="41"/>
      <c r="D132" s="41" t="s">
        <v>298</v>
      </c>
      <c r="E132" s="307">
        <v>131.0</v>
      </c>
      <c r="F132" s="41"/>
      <c r="G132" s="41" t="s">
        <v>76</v>
      </c>
      <c r="H132" s="307">
        <v>131.0</v>
      </c>
      <c r="I132" s="41"/>
      <c r="J132" s="41" t="s">
        <v>86</v>
      </c>
      <c r="K132" s="307">
        <v>131.0</v>
      </c>
      <c r="L132" s="41"/>
      <c r="M132" s="41" t="s">
        <v>2656</v>
      </c>
      <c r="N132" s="307">
        <v>131.0</v>
      </c>
      <c r="O132" s="41"/>
      <c r="P132" s="41" t="s">
        <v>2363</v>
      </c>
      <c r="Q132" s="307">
        <v>131.0</v>
      </c>
      <c r="R132" s="41"/>
      <c r="S132" s="41" t="s">
        <v>255</v>
      </c>
      <c r="T132" s="307">
        <v>131.0</v>
      </c>
      <c r="U132" s="41"/>
      <c r="V132" s="41" t="s">
        <v>841</v>
      </c>
      <c r="W132" s="307">
        <v>131.0</v>
      </c>
      <c r="X132" s="41"/>
      <c r="Y132" s="682" t="s">
        <v>2287</v>
      </c>
      <c r="Z132" s="307">
        <v>131.0</v>
      </c>
      <c r="AA132" s="41"/>
      <c r="AB132" s="683" t="s">
        <v>218</v>
      </c>
      <c r="AC132" s="307">
        <v>131.0</v>
      </c>
      <c r="AD132" s="79"/>
      <c r="AE132" s="690" t="s">
        <v>1240</v>
      </c>
      <c r="AF132" s="307">
        <v>131.0</v>
      </c>
      <c r="AH132" s="687" t="s">
        <v>2198</v>
      </c>
      <c r="AI132" s="307">
        <v>131.0</v>
      </c>
      <c r="AK132" s="687" t="s">
        <v>2297</v>
      </c>
      <c r="AL132" s="307">
        <v>131.0</v>
      </c>
      <c r="AN132" s="687" t="s">
        <v>2608</v>
      </c>
      <c r="AO132" s="307">
        <v>131.0</v>
      </c>
      <c r="AQ132" s="687" t="s">
        <v>2324</v>
      </c>
      <c r="AR132" s="307">
        <v>131.0</v>
      </c>
      <c r="AT132" s="687" t="s">
        <v>2617</v>
      </c>
      <c r="AU132" s="307">
        <v>131.0</v>
      </c>
      <c r="AW132" s="687" t="s">
        <v>2593</v>
      </c>
      <c r="AX132" s="307">
        <v>131.0</v>
      </c>
      <c r="AZ132" s="687" t="s">
        <v>2653</v>
      </c>
      <c r="BA132" s="307">
        <v>131.0</v>
      </c>
      <c r="BC132" s="691" t="s">
        <v>2623</v>
      </c>
      <c r="BD132" s="307">
        <v>131.0</v>
      </c>
      <c r="BF132" s="687" t="s">
        <v>2193</v>
      </c>
      <c r="BG132" s="145">
        <v>131.0</v>
      </c>
      <c r="BI132" s="688" t="s">
        <v>927</v>
      </c>
      <c r="BJ132" s="145">
        <v>131.0</v>
      </c>
      <c r="BL132" s="692" t="s">
        <v>223</v>
      </c>
      <c r="BM132" s="216">
        <v>131.0</v>
      </c>
    </row>
    <row r="133">
      <c r="A133" s="41" t="s">
        <v>259</v>
      </c>
      <c r="B133" s="307">
        <v>132.0</v>
      </c>
      <c r="C133" s="41"/>
      <c r="D133" s="41" t="s">
        <v>2652</v>
      </c>
      <c r="E133" s="307">
        <v>132.0</v>
      </c>
      <c r="F133" s="41"/>
      <c r="G133" s="41" t="s">
        <v>2659</v>
      </c>
      <c r="H133" s="307">
        <v>132.0</v>
      </c>
      <c r="I133" s="41"/>
      <c r="J133" s="41" t="s">
        <v>2646</v>
      </c>
      <c r="K133" s="307">
        <v>132.0</v>
      </c>
      <c r="L133" s="41"/>
      <c r="M133" s="41" t="s">
        <v>270</v>
      </c>
      <c r="N133" s="307">
        <v>132.0</v>
      </c>
      <c r="O133" s="41"/>
      <c r="P133" s="41" t="s">
        <v>2090</v>
      </c>
      <c r="Q133" s="307">
        <v>132.0</v>
      </c>
      <c r="R133" s="41"/>
      <c r="S133" s="41" t="s">
        <v>2393</v>
      </c>
      <c r="T133" s="307">
        <v>132.0</v>
      </c>
      <c r="U133" s="41"/>
      <c r="V133" s="41" t="s">
        <v>222</v>
      </c>
      <c r="W133" s="307">
        <v>132.0</v>
      </c>
      <c r="X133" s="41"/>
      <c r="Y133" s="682" t="s">
        <v>2637</v>
      </c>
      <c r="Z133" s="307">
        <v>132.0</v>
      </c>
      <c r="AA133" s="41"/>
      <c r="AB133" s="683" t="s">
        <v>2640</v>
      </c>
      <c r="AC133" s="307">
        <v>132.0</v>
      </c>
      <c r="AD133" s="79"/>
      <c r="AE133" s="690" t="s">
        <v>2319</v>
      </c>
      <c r="AF133" s="307">
        <v>132.0</v>
      </c>
      <c r="AH133" s="687" t="s">
        <v>2640</v>
      </c>
      <c r="AI133" s="307">
        <v>132.0</v>
      </c>
      <c r="AK133" s="687" t="s">
        <v>2616</v>
      </c>
      <c r="AL133" s="307">
        <v>132.0</v>
      </c>
      <c r="AN133" s="687" t="s">
        <v>999</v>
      </c>
      <c r="AO133" s="307">
        <v>132.0</v>
      </c>
      <c r="AQ133" s="687" t="s">
        <v>2617</v>
      </c>
      <c r="AR133" s="307">
        <v>132.0</v>
      </c>
      <c r="AT133" s="687" t="s">
        <v>2653</v>
      </c>
      <c r="AU133" s="307">
        <v>132.0</v>
      </c>
      <c r="AW133" s="687" t="s">
        <v>2657</v>
      </c>
      <c r="AX133" s="307">
        <v>132.0</v>
      </c>
      <c r="AZ133" s="687" t="s">
        <v>2352</v>
      </c>
      <c r="BA133" s="307">
        <v>132.0</v>
      </c>
      <c r="BC133" s="691" t="s">
        <v>2657</v>
      </c>
      <c r="BD133" s="307">
        <v>132.0</v>
      </c>
      <c r="BF133" s="687" t="s">
        <v>2635</v>
      </c>
      <c r="BG133" s="145">
        <v>132.0</v>
      </c>
      <c r="BI133" s="688" t="s">
        <v>223</v>
      </c>
      <c r="BJ133" s="145">
        <v>132.0</v>
      </c>
      <c r="BL133" s="692" t="s">
        <v>2260</v>
      </c>
      <c r="BM133" s="216">
        <v>132.0</v>
      </c>
    </row>
    <row r="134">
      <c r="A134" s="41" t="s">
        <v>931</v>
      </c>
      <c r="B134" s="307">
        <v>133.0</v>
      </c>
      <c r="C134" s="41"/>
      <c r="D134" s="41" t="s">
        <v>317</v>
      </c>
      <c r="E134" s="307">
        <v>133.0</v>
      </c>
      <c r="F134" s="41"/>
      <c r="G134" s="41" t="s">
        <v>2642</v>
      </c>
      <c r="H134" s="307">
        <v>133.0</v>
      </c>
      <c r="I134" s="41"/>
      <c r="J134" s="41" t="s">
        <v>82</v>
      </c>
      <c r="K134" s="307">
        <v>133.0</v>
      </c>
      <c r="L134" s="41"/>
      <c r="M134" s="41" t="s">
        <v>217</v>
      </c>
      <c r="N134" s="307">
        <v>133.0</v>
      </c>
      <c r="O134" s="41"/>
      <c r="P134" s="41" t="s">
        <v>2324</v>
      </c>
      <c r="Q134" s="307">
        <v>133.0</v>
      </c>
      <c r="R134" s="41"/>
      <c r="S134" s="41" t="s">
        <v>222</v>
      </c>
      <c r="T134" s="307">
        <v>133.0</v>
      </c>
      <c r="U134" s="41"/>
      <c r="V134" s="41" t="s">
        <v>2287</v>
      </c>
      <c r="W134" s="307">
        <v>133.0</v>
      </c>
      <c r="X134" s="41"/>
      <c r="Y134" s="682" t="s">
        <v>2622</v>
      </c>
      <c r="Z134" s="307">
        <v>133.0</v>
      </c>
      <c r="AA134" s="41"/>
      <c r="AB134" s="683" t="s">
        <v>2319</v>
      </c>
      <c r="AC134" s="307">
        <v>133.0</v>
      </c>
      <c r="AD134" s="79"/>
      <c r="AE134" s="690" t="s">
        <v>2287</v>
      </c>
      <c r="AF134" s="307">
        <v>133.0</v>
      </c>
      <c r="AH134" s="687" t="s">
        <v>2647</v>
      </c>
      <c r="AI134" s="307">
        <v>133.0</v>
      </c>
      <c r="AK134" s="687" t="s">
        <v>2615</v>
      </c>
      <c r="AL134" s="307">
        <v>133.0</v>
      </c>
      <c r="AN134" s="687" t="s">
        <v>2193</v>
      </c>
      <c r="AO134" s="307">
        <v>133.0</v>
      </c>
      <c r="AQ134" s="687" t="s">
        <v>2653</v>
      </c>
      <c r="AR134" s="307">
        <v>133.0</v>
      </c>
      <c r="AT134" s="687" t="s">
        <v>2593</v>
      </c>
      <c r="AU134" s="307">
        <v>133.0</v>
      </c>
      <c r="AW134" s="687" t="s">
        <v>2296</v>
      </c>
      <c r="AX134" s="307">
        <v>133.0</v>
      </c>
      <c r="AZ134" s="687" t="s">
        <v>2640</v>
      </c>
      <c r="BA134" s="307">
        <v>133.0</v>
      </c>
      <c r="BC134" s="691" t="s">
        <v>2296</v>
      </c>
      <c r="BD134" s="307">
        <v>133.0</v>
      </c>
      <c r="BF134" s="687" t="s">
        <v>260</v>
      </c>
      <c r="BG134" s="145">
        <v>133.0</v>
      </c>
      <c r="BI134" s="688" t="s">
        <v>2655</v>
      </c>
      <c r="BJ134" s="145">
        <v>133.0</v>
      </c>
      <c r="BL134" s="692" t="s">
        <v>2257</v>
      </c>
      <c r="BM134" s="216">
        <v>133.0</v>
      </c>
    </row>
    <row r="135">
      <c r="A135" s="41" t="s">
        <v>2303</v>
      </c>
      <c r="B135" s="307">
        <v>134.0</v>
      </c>
      <c r="C135" s="41"/>
      <c r="D135" s="41" t="s">
        <v>2276</v>
      </c>
      <c r="E135" s="307">
        <v>134.0</v>
      </c>
      <c r="F135" s="41"/>
      <c r="G135" s="41" t="s">
        <v>298</v>
      </c>
      <c r="H135" s="307">
        <v>134.0</v>
      </c>
      <c r="I135" s="41"/>
      <c r="J135" s="41" t="s">
        <v>2152</v>
      </c>
      <c r="K135" s="307">
        <v>134.0</v>
      </c>
      <c r="L135" s="41"/>
      <c r="M135" s="41" t="s">
        <v>2614</v>
      </c>
      <c r="N135" s="307">
        <v>134.0</v>
      </c>
      <c r="O135" s="41"/>
      <c r="P135" s="41" t="s">
        <v>2659</v>
      </c>
      <c r="Q135" s="307">
        <v>134.0</v>
      </c>
      <c r="R135" s="41"/>
      <c r="S135" s="41" t="s">
        <v>2659</v>
      </c>
      <c r="T135" s="307">
        <v>134.0</v>
      </c>
      <c r="U135" s="41"/>
      <c r="V135" s="41" t="s">
        <v>76</v>
      </c>
      <c r="W135" s="307">
        <v>134.0</v>
      </c>
      <c r="X135" s="41"/>
      <c r="Y135" s="682" t="s">
        <v>76</v>
      </c>
      <c r="Z135" s="307">
        <v>134.0</v>
      </c>
      <c r="AA135" s="41"/>
      <c r="AB135" s="683" t="s">
        <v>2287</v>
      </c>
      <c r="AC135" s="307">
        <v>134.0</v>
      </c>
      <c r="AD135" s="79"/>
      <c r="AE135" s="690" t="s">
        <v>2292</v>
      </c>
      <c r="AF135" s="307">
        <v>134.0</v>
      </c>
      <c r="AH135" s="687" t="s">
        <v>2622</v>
      </c>
      <c r="AI135" s="307">
        <v>134.0</v>
      </c>
      <c r="AK135" s="687" t="s">
        <v>2622</v>
      </c>
      <c r="AL135" s="307">
        <v>134.0</v>
      </c>
      <c r="AN135" s="687" t="s">
        <v>2198</v>
      </c>
      <c r="AO135" s="307">
        <v>134.0</v>
      </c>
      <c r="AQ135" s="687" t="s">
        <v>2296</v>
      </c>
      <c r="AR135" s="307">
        <v>134.0</v>
      </c>
      <c r="AT135" s="687" t="s">
        <v>2657</v>
      </c>
      <c r="AU135" s="307">
        <v>134.0</v>
      </c>
      <c r="AW135" s="687" t="s">
        <v>248</v>
      </c>
      <c r="AX135" s="307">
        <v>134.0</v>
      </c>
      <c r="AZ135" s="687" t="s">
        <v>2623</v>
      </c>
      <c r="BA135" s="307">
        <v>134.0</v>
      </c>
      <c r="BC135" s="691" t="s">
        <v>253</v>
      </c>
      <c r="BD135" s="307">
        <v>134.0</v>
      </c>
      <c r="BF135" s="687" t="s">
        <v>2303</v>
      </c>
      <c r="BG135" s="145">
        <v>134.0</v>
      </c>
      <c r="BI135" s="688" t="s">
        <v>2623</v>
      </c>
      <c r="BJ135" s="145">
        <v>134.0</v>
      </c>
      <c r="BL135" s="692" t="s">
        <v>2330</v>
      </c>
      <c r="BM135" s="216">
        <v>134.0</v>
      </c>
    </row>
    <row r="136">
      <c r="A136" s="41" t="s">
        <v>255</v>
      </c>
      <c r="B136" s="307">
        <v>135.0</v>
      </c>
      <c r="C136" s="41"/>
      <c r="D136" s="41" t="s">
        <v>2395</v>
      </c>
      <c r="E136" s="307">
        <v>135.0</v>
      </c>
      <c r="F136" s="41"/>
      <c r="G136" s="41" t="s">
        <v>317</v>
      </c>
      <c r="H136" s="307">
        <v>135.0</v>
      </c>
      <c r="I136" s="41"/>
      <c r="J136" s="41" t="s">
        <v>217</v>
      </c>
      <c r="K136" s="307">
        <v>135.0</v>
      </c>
      <c r="L136" s="41"/>
      <c r="M136" s="41" t="s">
        <v>2276</v>
      </c>
      <c r="N136" s="307">
        <v>135.0</v>
      </c>
      <c r="O136" s="41"/>
      <c r="P136" s="41" t="s">
        <v>270</v>
      </c>
      <c r="Q136" s="307">
        <v>135.0</v>
      </c>
      <c r="R136" s="41"/>
      <c r="S136" s="41" t="s">
        <v>2090</v>
      </c>
      <c r="T136" s="307">
        <v>135.0</v>
      </c>
      <c r="U136" s="41"/>
      <c r="V136" s="41" t="s">
        <v>2656</v>
      </c>
      <c r="W136" s="307">
        <v>135.0</v>
      </c>
      <c r="X136" s="41"/>
      <c r="Y136" s="682" t="s">
        <v>2289</v>
      </c>
      <c r="Z136" s="307">
        <v>135.0</v>
      </c>
      <c r="AA136" s="41"/>
      <c r="AB136" s="683" t="s">
        <v>2292</v>
      </c>
      <c r="AC136" s="307">
        <v>135.0</v>
      </c>
      <c r="AD136" s="79"/>
      <c r="AE136" s="690" t="s">
        <v>2152</v>
      </c>
      <c r="AF136" s="307">
        <v>135.0</v>
      </c>
      <c r="AH136" s="687" t="s">
        <v>2182</v>
      </c>
      <c r="AI136" s="307">
        <v>135.0</v>
      </c>
      <c r="AK136" s="687" t="s">
        <v>2296</v>
      </c>
      <c r="AL136" s="307">
        <v>135.0</v>
      </c>
      <c r="AN136" s="687" t="s">
        <v>2297</v>
      </c>
      <c r="AO136" s="307">
        <v>135.0</v>
      </c>
      <c r="AQ136" s="687" t="s">
        <v>248</v>
      </c>
      <c r="AR136" s="307">
        <v>135.0</v>
      </c>
      <c r="AT136" s="687" t="s">
        <v>2296</v>
      </c>
      <c r="AU136" s="307">
        <v>135.0</v>
      </c>
      <c r="AW136" s="687" t="s">
        <v>2352</v>
      </c>
      <c r="AX136" s="307">
        <v>135.0</v>
      </c>
      <c r="AZ136" s="687" t="s">
        <v>2296</v>
      </c>
      <c r="BA136" s="307">
        <v>135.0</v>
      </c>
      <c r="BC136" s="691" t="s">
        <v>2193</v>
      </c>
      <c r="BD136" s="307">
        <v>135.0</v>
      </c>
      <c r="BF136" s="687" t="s">
        <v>2615</v>
      </c>
      <c r="BG136" s="145">
        <v>135.0</v>
      </c>
      <c r="BI136" s="688" t="s">
        <v>2278</v>
      </c>
      <c r="BJ136" s="145">
        <v>135.0</v>
      </c>
      <c r="BL136" s="692" t="s">
        <v>2218</v>
      </c>
      <c r="BM136" s="216">
        <v>135.0</v>
      </c>
    </row>
    <row r="137">
      <c r="A137" s="41" t="s">
        <v>2393</v>
      </c>
      <c r="B137" s="307">
        <v>136.0</v>
      </c>
      <c r="C137" s="41"/>
      <c r="D137" s="41" t="s">
        <v>2660</v>
      </c>
      <c r="E137" s="307">
        <v>136.0</v>
      </c>
      <c r="F137" s="41"/>
      <c r="G137" s="41" t="s">
        <v>2624</v>
      </c>
      <c r="H137" s="307">
        <v>136.0</v>
      </c>
      <c r="I137" s="41"/>
      <c r="J137" s="41" t="s">
        <v>2276</v>
      </c>
      <c r="K137" s="307">
        <v>136.0</v>
      </c>
      <c r="L137" s="41"/>
      <c r="M137" s="41" t="s">
        <v>2303</v>
      </c>
      <c r="N137" s="307">
        <v>136.0</v>
      </c>
      <c r="O137" s="41"/>
      <c r="P137" s="41" t="s">
        <v>76</v>
      </c>
      <c r="Q137" s="307">
        <v>136.0</v>
      </c>
      <c r="R137" s="41"/>
      <c r="S137" s="41" t="s">
        <v>2289</v>
      </c>
      <c r="T137" s="307">
        <v>136.0</v>
      </c>
      <c r="U137" s="41"/>
      <c r="V137" s="41" t="s">
        <v>2289</v>
      </c>
      <c r="W137" s="307">
        <v>136.0</v>
      </c>
      <c r="X137" s="41"/>
      <c r="Y137" s="682" t="s">
        <v>817</v>
      </c>
      <c r="Z137" s="307">
        <v>136.0</v>
      </c>
      <c r="AA137" s="41"/>
      <c r="AB137" s="683" t="s">
        <v>907</v>
      </c>
      <c r="AC137" s="307">
        <v>136.0</v>
      </c>
      <c r="AD137" s="79"/>
      <c r="AE137" s="690" t="s">
        <v>2646</v>
      </c>
      <c r="AF137" s="307">
        <v>136.0</v>
      </c>
      <c r="AH137" s="687" t="s">
        <v>2193</v>
      </c>
      <c r="AI137" s="307">
        <v>136.0</v>
      </c>
      <c r="AK137" s="687" t="s">
        <v>2640</v>
      </c>
      <c r="AL137" s="307">
        <v>136.0</v>
      </c>
      <c r="AN137" s="687" t="s">
        <v>2616</v>
      </c>
      <c r="AO137" s="307">
        <v>136.0</v>
      </c>
      <c r="AQ137" s="687" t="s">
        <v>2623</v>
      </c>
      <c r="AR137" s="307">
        <v>136.0</v>
      </c>
      <c r="AT137" s="687" t="s">
        <v>248</v>
      </c>
      <c r="AU137" s="307">
        <v>136.0</v>
      </c>
      <c r="AW137" s="687" t="s">
        <v>2623</v>
      </c>
      <c r="AX137" s="307">
        <v>136.0</v>
      </c>
      <c r="AZ137" s="687" t="s">
        <v>248</v>
      </c>
      <c r="BA137" s="307">
        <v>136.0</v>
      </c>
      <c r="BC137" s="691" t="s">
        <v>248</v>
      </c>
      <c r="BD137" s="307">
        <v>136.0</v>
      </c>
      <c r="BF137" s="687" t="s">
        <v>2655</v>
      </c>
      <c r="BG137" s="145">
        <v>136.0</v>
      </c>
      <c r="BI137" s="688" t="s">
        <v>248</v>
      </c>
      <c r="BJ137" s="145">
        <v>136.0</v>
      </c>
      <c r="BL137" s="692" t="s">
        <v>824</v>
      </c>
      <c r="BM137" s="216">
        <v>136.0</v>
      </c>
    </row>
    <row r="138">
      <c r="A138" s="41" t="s">
        <v>947</v>
      </c>
      <c r="B138" s="307">
        <v>137.0</v>
      </c>
      <c r="C138" s="41"/>
      <c r="D138" s="41" t="s">
        <v>1240</v>
      </c>
      <c r="E138" s="307">
        <v>137.0</v>
      </c>
      <c r="F138" s="41"/>
      <c r="G138" s="41" t="s">
        <v>2589</v>
      </c>
      <c r="H138" s="307">
        <v>137.0</v>
      </c>
      <c r="I138" s="41"/>
      <c r="J138" s="41" t="s">
        <v>2303</v>
      </c>
      <c r="K138" s="307">
        <v>137.0</v>
      </c>
      <c r="L138" s="41"/>
      <c r="M138" s="41" t="s">
        <v>2090</v>
      </c>
      <c r="N138" s="307">
        <v>137.0</v>
      </c>
      <c r="O138" s="41"/>
      <c r="P138" s="41" t="s">
        <v>2614</v>
      </c>
      <c r="Q138" s="307">
        <v>137.0</v>
      </c>
      <c r="R138" s="41"/>
      <c r="S138" s="41" t="s">
        <v>2636</v>
      </c>
      <c r="T138" s="307">
        <v>137.0</v>
      </c>
      <c r="U138" s="41"/>
      <c r="V138" s="41" t="s">
        <v>2324</v>
      </c>
      <c r="W138" s="307">
        <v>137.0</v>
      </c>
      <c r="X138" s="41"/>
      <c r="Y138" s="682" t="s">
        <v>2640</v>
      </c>
      <c r="Z138" s="307">
        <v>137.0</v>
      </c>
      <c r="AA138" s="41"/>
      <c r="AB138" s="683" t="s">
        <v>2152</v>
      </c>
      <c r="AC138" s="307">
        <v>137.0</v>
      </c>
      <c r="AD138" s="79"/>
      <c r="AE138" s="690" t="s">
        <v>2198</v>
      </c>
      <c r="AF138" s="307">
        <v>137.0</v>
      </c>
      <c r="AH138" s="687" t="s">
        <v>222</v>
      </c>
      <c r="AI138" s="307">
        <v>137.0</v>
      </c>
      <c r="AK138" s="687" t="s">
        <v>817</v>
      </c>
      <c r="AL138" s="307">
        <v>137.0</v>
      </c>
      <c r="AN138" s="687" t="s">
        <v>2615</v>
      </c>
      <c r="AO138" s="307">
        <v>137.0</v>
      </c>
      <c r="AQ138" s="687" t="s">
        <v>260</v>
      </c>
      <c r="AR138" s="307">
        <v>137.0</v>
      </c>
      <c r="AT138" s="687" t="s">
        <v>2623</v>
      </c>
      <c r="AU138" s="307">
        <v>137.0</v>
      </c>
      <c r="AW138" s="687" t="s">
        <v>2635</v>
      </c>
      <c r="AX138" s="307">
        <v>137.0</v>
      </c>
      <c r="AZ138" s="687" t="s">
        <v>2617</v>
      </c>
      <c r="BA138" s="307">
        <v>137.0</v>
      </c>
      <c r="BC138" s="691" t="s">
        <v>2635</v>
      </c>
      <c r="BD138" s="307">
        <v>137.0</v>
      </c>
      <c r="BF138" s="687" t="s">
        <v>1240</v>
      </c>
      <c r="BG138" s="145">
        <v>137.0</v>
      </c>
      <c r="BI138" s="688" t="s">
        <v>259</v>
      </c>
      <c r="BJ138" s="145">
        <v>137.0</v>
      </c>
      <c r="BL138" s="692" t="s">
        <v>838</v>
      </c>
      <c r="BM138" s="216">
        <v>137.0</v>
      </c>
    </row>
    <row r="139">
      <c r="A139" s="41" t="s">
        <v>2646</v>
      </c>
      <c r="B139" s="307">
        <v>138.0</v>
      </c>
      <c r="C139" s="41"/>
      <c r="D139" s="41" t="s">
        <v>2615</v>
      </c>
      <c r="E139" s="307">
        <v>138.0</v>
      </c>
      <c r="F139" s="41"/>
      <c r="G139" s="41" t="s">
        <v>2617</v>
      </c>
      <c r="H139" s="307">
        <v>138.0</v>
      </c>
      <c r="I139" s="41"/>
      <c r="J139" s="41" t="s">
        <v>2642</v>
      </c>
      <c r="K139" s="307">
        <v>138.0</v>
      </c>
      <c r="L139" s="41"/>
      <c r="M139" s="41" t="s">
        <v>2324</v>
      </c>
      <c r="N139" s="307">
        <v>138.0</v>
      </c>
      <c r="O139" s="41"/>
      <c r="P139" s="41" t="s">
        <v>2289</v>
      </c>
      <c r="Q139" s="307">
        <v>138.0</v>
      </c>
      <c r="R139" s="41"/>
      <c r="S139" s="41" t="s">
        <v>2324</v>
      </c>
      <c r="T139" s="307">
        <v>138.0</v>
      </c>
      <c r="U139" s="41"/>
      <c r="V139" s="41" t="s">
        <v>2640</v>
      </c>
      <c r="W139" s="307">
        <v>138.0</v>
      </c>
      <c r="X139" s="41"/>
      <c r="Y139" s="682" t="s">
        <v>2198</v>
      </c>
      <c r="Z139" s="307">
        <v>138.0</v>
      </c>
      <c r="AA139" s="41"/>
      <c r="AB139" s="683" t="s">
        <v>2646</v>
      </c>
      <c r="AC139" s="307">
        <v>138.0</v>
      </c>
      <c r="AD139" s="79"/>
      <c r="AE139" s="690" t="s">
        <v>907</v>
      </c>
      <c r="AF139" s="307">
        <v>138.0</v>
      </c>
      <c r="AH139" s="687" t="s">
        <v>2659</v>
      </c>
      <c r="AI139" s="307">
        <v>138.0</v>
      </c>
      <c r="AK139" s="687" t="s">
        <v>248</v>
      </c>
      <c r="AL139" s="307">
        <v>138.0</v>
      </c>
      <c r="AN139" s="687" t="s">
        <v>2622</v>
      </c>
      <c r="AO139" s="307">
        <v>138.0</v>
      </c>
      <c r="AQ139" s="687" t="s">
        <v>2657</v>
      </c>
      <c r="AR139" s="307">
        <v>138.0</v>
      </c>
      <c r="AT139" s="687" t="s">
        <v>75</v>
      </c>
      <c r="AU139" s="307">
        <v>138.0</v>
      </c>
      <c r="AW139" s="687" t="s">
        <v>75</v>
      </c>
      <c r="AX139" s="307">
        <v>138.0</v>
      </c>
      <c r="AZ139" s="687" t="s">
        <v>2635</v>
      </c>
      <c r="BA139" s="307">
        <v>138.0</v>
      </c>
      <c r="BC139" s="691" t="s">
        <v>260</v>
      </c>
      <c r="BD139" s="307">
        <v>138.0</v>
      </c>
      <c r="BF139" s="687" t="s">
        <v>2408</v>
      </c>
      <c r="BG139" s="145">
        <v>138.0</v>
      </c>
      <c r="BI139" s="688" t="s">
        <v>824</v>
      </c>
      <c r="BJ139" s="145">
        <v>138.0</v>
      </c>
      <c r="BL139" s="692" t="s">
        <v>2278</v>
      </c>
      <c r="BM139" s="216">
        <v>138.0</v>
      </c>
    </row>
    <row r="140">
      <c r="A140" s="41" t="s">
        <v>212</v>
      </c>
      <c r="B140" s="307">
        <v>139.0</v>
      </c>
      <c r="C140" s="41"/>
      <c r="D140" s="41" t="s">
        <v>2646</v>
      </c>
      <c r="E140" s="307">
        <v>139.0</v>
      </c>
      <c r="F140" s="41"/>
      <c r="G140" s="41" t="s">
        <v>2615</v>
      </c>
      <c r="H140" s="307">
        <v>139.0</v>
      </c>
      <c r="I140" s="41"/>
      <c r="J140" s="41" t="s">
        <v>2324</v>
      </c>
      <c r="K140" s="307">
        <v>139.0</v>
      </c>
      <c r="L140" s="41"/>
      <c r="M140" s="41" t="s">
        <v>2659</v>
      </c>
      <c r="N140" s="307">
        <v>139.0</v>
      </c>
      <c r="O140" s="41"/>
      <c r="P140" s="41" t="s">
        <v>2198</v>
      </c>
      <c r="Q140" s="307">
        <v>139.0</v>
      </c>
      <c r="R140" s="41"/>
      <c r="S140" s="41" t="s">
        <v>261</v>
      </c>
      <c r="T140" s="307">
        <v>139.0</v>
      </c>
      <c r="U140" s="41"/>
      <c r="V140" s="41" t="s">
        <v>2198</v>
      </c>
      <c r="W140" s="307">
        <v>139.0</v>
      </c>
      <c r="X140" s="41"/>
      <c r="Y140" s="682" t="s">
        <v>2642</v>
      </c>
      <c r="Z140" s="307">
        <v>139.0</v>
      </c>
      <c r="AA140" s="41"/>
      <c r="AB140" s="683" t="s">
        <v>2198</v>
      </c>
      <c r="AC140" s="307">
        <v>139.0</v>
      </c>
      <c r="AD140" s="79"/>
      <c r="AE140" s="690" t="s">
        <v>222</v>
      </c>
      <c r="AF140" s="307">
        <v>139.0</v>
      </c>
      <c r="AH140" s="687" t="s">
        <v>927</v>
      </c>
      <c r="AI140" s="307">
        <v>139.0</v>
      </c>
      <c r="AK140" s="687" t="s">
        <v>260</v>
      </c>
      <c r="AL140" s="307">
        <v>139.0</v>
      </c>
      <c r="AN140" s="687" t="s">
        <v>2296</v>
      </c>
      <c r="AO140" s="307">
        <v>139.0</v>
      </c>
      <c r="AQ140" s="687" t="s">
        <v>254</v>
      </c>
      <c r="AR140" s="307">
        <v>139.0</v>
      </c>
      <c r="AT140" s="687" t="s">
        <v>260</v>
      </c>
      <c r="AU140" s="307">
        <v>139.0</v>
      </c>
      <c r="AW140" s="687" t="s">
        <v>260</v>
      </c>
      <c r="AX140" s="307">
        <v>139.0</v>
      </c>
      <c r="AZ140" s="687" t="s">
        <v>75</v>
      </c>
      <c r="BA140" s="307">
        <v>139.0</v>
      </c>
      <c r="BC140" s="691" t="s">
        <v>2303</v>
      </c>
      <c r="BD140" s="307">
        <v>139.0</v>
      </c>
      <c r="BF140" s="687" t="s">
        <v>2282</v>
      </c>
      <c r="BG140" s="145">
        <v>139.0</v>
      </c>
      <c r="BI140" s="688" t="s">
        <v>2206</v>
      </c>
      <c r="BJ140" s="145">
        <v>139.0</v>
      </c>
      <c r="BL140" s="692" t="s">
        <v>259</v>
      </c>
      <c r="BM140" s="216">
        <v>139.0</v>
      </c>
    </row>
    <row r="141">
      <c r="A141" s="41" t="s">
        <v>2189</v>
      </c>
      <c r="B141" s="307">
        <v>140.0</v>
      </c>
      <c r="C141" s="41"/>
      <c r="D141" s="41" t="s">
        <v>2303</v>
      </c>
      <c r="E141" s="307">
        <v>140.0</v>
      </c>
      <c r="F141" s="41"/>
      <c r="G141" s="41" t="s">
        <v>858</v>
      </c>
      <c r="H141" s="307">
        <v>140.0</v>
      </c>
      <c r="I141" s="41"/>
      <c r="J141" s="41" t="s">
        <v>2624</v>
      </c>
      <c r="K141" s="307">
        <v>140.0</v>
      </c>
      <c r="L141" s="41"/>
      <c r="M141" s="41" t="s">
        <v>76</v>
      </c>
      <c r="N141" s="307">
        <v>140.0</v>
      </c>
      <c r="O141" s="41"/>
      <c r="P141" s="41" t="s">
        <v>2276</v>
      </c>
      <c r="Q141" s="307">
        <v>140.0</v>
      </c>
      <c r="R141" s="41"/>
      <c r="S141" s="41" t="s">
        <v>217</v>
      </c>
      <c r="T141" s="307">
        <v>140.0</v>
      </c>
      <c r="U141" s="41"/>
      <c r="V141" s="41" t="s">
        <v>2193</v>
      </c>
      <c r="W141" s="307">
        <v>140.0</v>
      </c>
      <c r="X141" s="41"/>
      <c r="Y141" s="682" t="s">
        <v>222</v>
      </c>
      <c r="Z141" s="307">
        <v>140.0</v>
      </c>
      <c r="AA141" s="41"/>
      <c r="AB141" s="683" t="s">
        <v>222</v>
      </c>
      <c r="AC141" s="307">
        <v>140.0</v>
      </c>
      <c r="AD141" s="79"/>
      <c r="AE141" s="690" t="s">
        <v>999</v>
      </c>
      <c r="AF141" s="307">
        <v>140.0</v>
      </c>
      <c r="AH141" s="687" t="s">
        <v>2637</v>
      </c>
      <c r="AI141" s="307">
        <v>140.0</v>
      </c>
      <c r="AK141" s="687" t="s">
        <v>254</v>
      </c>
      <c r="AL141" s="307">
        <v>140.0</v>
      </c>
      <c r="AN141" s="687" t="s">
        <v>2640</v>
      </c>
      <c r="AO141" s="307">
        <v>140.0</v>
      </c>
      <c r="AQ141" s="687" t="s">
        <v>75</v>
      </c>
      <c r="AR141" s="307">
        <v>140.0</v>
      </c>
      <c r="AT141" s="687" t="s">
        <v>233</v>
      </c>
      <c r="AU141" s="307">
        <v>140.0</v>
      </c>
      <c r="AW141" s="687" t="s">
        <v>233</v>
      </c>
      <c r="AX141" s="307">
        <v>140.0</v>
      </c>
      <c r="AZ141" s="687" t="s">
        <v>260</v>
      </c>
      <c r="BA141" s="307">
        <v>140.0</v>
      </c>
      <c r="BC141" s="691" t="s">
        <v>2615</v>
      </c>
      <c r="BD141" s="307">
        <v>140.0</v>
      </c>
      <c r="BF141" s="687" t="s">
        <v>217</v>
      </c>
      <c r="BG141" s="145">
        <v>140.0</v>
      </c>
      <c r="BI141" s="688" t="s">
        <v>2408</v>
      </c>
      <c r="BJ141" s="145">
        <v>140.0</v>
      </c>
      <c r="BL141" s="692" t="s">
        <v>1240</v>
      </c>
      <c r="BM141" s="216">
        <v>140.0</v>
      </c>
    </row>
    <row r="142">
      <c r="A142" s="41" t="s">
        <v>222</v>
      </c>
      <c r="B142" s="307">
        <v>141.0</v>
      </c>
      <c r="C142" s="41"/>
      <c r="D142" s="41" t="s">
        <v>86</v>
      </c>
      <c r="E142" s="307">
        <v>141.0</v>
      </c>
      <c r="F142" s="41"/>
      <c r="G142" s="41" t="s">
        <v>2644</v>
      </c>
      <c r="H142" s="307">
        <v>141.0</v>
      </c>
      <c r="I142" s="41"/>
      <c r="J142" s="41" t="s">
        <v>2643</v>
      </c>
      <c r="K142" s="307">
        <v>141.0</v>
      </c>
      <c r="L142" s="41"/>
      <c r="M142" s="41" t="s">
        <v>2393</v>
      </c>
      <c r="N142" s="307">
        <v>141.0</v>
      </c>
      <c r="O142" s="41"/>
      <c r="P142" s="41" t="s">
        <v>1041</v>
      </c>
      <c r="Q142" s="307">
        <v>141.0</v>
      </c>
      <c r="R142" s="41"/>
      <c r="S142" s="41" t="s">
        <v>2198</v>
      </c>
      <c r="T142" s="307">
        <v>141.0</v>
      </c>
      <c r="U142" s="41"/>
      <c r="V142" s="41" t="s">
        <v>2614</v>
      </c>
      <c r="W142" s="307">
        <v>141.0</v>
      </c>
      <c r="X142" s="41"/>
      <c r="Y142" s="682" t="s">
        <v>2324</v>
      </c>
      <c r="Z142" s="307">
        <v>141.0</v>
      </c>
      <c r="AA142" s="41"/>
      <c r="AB142" s="683" t="s">
        <v>2324</v>
      </c>
      <c r="AC142" s="307">
        <v>141.0</v>
      </c>
      <c r="AD142" s="79"/>
      <c r="AE142" s="690" t="s">
        <v>2182</v>
      </c>
      <c r="AF142" s="307">
        <v>141.0</v>
      </c>
      <c r="AH142" s="687" t="s">
        <v>2352</v>
      </c>
      <c r="AI142" s="307">
        <v>141.0</v>
      </c>
      <c r="AK142" s="687" t="s">
        <v>907</v>
      </c>
      <c r="AL142" s="307">
        <v>141.0</v>
      </c>
      <c r="AN142" s="687" t="s">
        <v>248</v>
      </c>
      <c r="AO142" s="307">
        <v>141.0</v>
      </c>
      <c r="AQ142" s="687" t="s">
        <v>910</v>
      </c>
      <c r="AR142" s="307">
        <v>141.0</v>
      </c>
      <c r="AT142" s="687" t="s">
        <v>254</v>
      </c>
      <c r="AU142" s="307">
        <v>141.0</v>
      </c>
      <c r="AW142" s="687" t="s">
        <v>254</v>
      </c>
      <c r="AX142" s="307">
        <v>141.0</v>
      </c>
      <c r="AZ142" s="687" t="s">
        <v>233</v>
      </c>
      <c r="BA142" s="307">
        <v>141.0</v>
      </c>
      <c r="BC142" s="691" t="s">
        <v>2655</v>
      </c>
      <c r="BD142" s="307">
        <v>141.0</v>
      </c>
      <c r="BF142" s="687" t="s">
        <v>259</v>
      </c>
      <c r="BG142" s="145">
        <v>141.0</v>
      </c>
      <c r="BI142" s="688" t="s">
        <v>2651</v>
      </c>
      <c r="BJ142" s="145">
        <v>141.0</v>
      </c>
      <c r="BL142" s="692" t="s">
        <v>841</v>
      </c>
      <c r="BM142" s="216">
        <v>141.0</v>
      </c>
    </row>
    <row r="143">
      <c r="A143" s="41" t="s">
        <v>298</v>
      </c>
      <c r="B143" s="307">
        <v>142.0</v>
      </c>
      <c r="C143" s="41"/>
      <c r="D143" s="41" t="s">
        <v>2658</v>
      </c>
      <c r="E143" s="307">
        <v>142.0</v>
      </c>
      <c r="F143" s="41"/>
      <c r="G143" s="41" t="s">
        <v>2637</v>
      </c>
      <c r="H143" s="307">
        <v>142.0</v>
      </c>
      <c r="I143" s="41"/>
      <c r="J143" s="41" t="s">
        <v>76</v>
      </c>
      <c r="K143" s="307">
        <v>142.0</v>
      </c>
      <c r="L143" s="41"/>
      <c r="M143" s="41" t="s">
        <v>907</v>
      </c>
      <c r="N143" s="307">
        <v>142.0</v>
      </c>
      <c r="O143" s="41"/>
      <c r="P143" s="41" t="s">
        <v>2642</v>
      </c>
      <c r="Q143" s="307">
        <v>142.0</v>
      </c>
      <c r="R143" s="41"/>
      <c r="S143" s="41" t="s">
        <v>2646</v>
      </c>
      <c r="T143" s="307">
        <v>142.0</v>
      </c>
      <c r="U143" s="41"/>
      <c r="V143" s="41" t="s">
        <v>2622</v>
      </c>
      <c r="W143" s="307">
        <v>142.0</v>
      </c>
      <c r="X143" s="41"/>
      <c r="Y143" s="682" t="s">
        <v>2614</v>
      </c>
      <c r="Z143" s="307">
        <v>142.0</v>
      </c>
      <c r="AA143" s="41"/>
      <c r="AB143" s="683" t="s">
        <v>2614</v>
      </c>
      <c r="AC143" s="307">
        <v>142.0</v>
      </c>
      <c r="AD143" s="79"/>
      <c r="AE143" s="690" t="s">
        <v>2637</v>
      </c>
      <c r="AF143" s="307">
        <v>142.0</v>
      </c>
      <c r="AH143" s="687" t="s">
        <v>260</v>
      </c>
      <c r="AI143" s="307">
        <v>142.0</v>
      </c>
      <c r="AK143" s="687" t="s">
        <v>75</v>
      </c>
      <c r="AL143" s="307">
        <v>142.0</v>
      </c>
      <c r="AN143" s="687" t="s">
        <v>260</v>
      </c>
      <c r="AO143" s="307">
        <v>142.0</v>
      </c>
      <c r="AQ143" s="687" t="s">
        <v>1059</v>
      </c>
      <c r="AR143" s="307">
        <v>142.0</v>
      </c>
      <c r="AT143" s="687" t="s">
        <v>910</v>
      </c>
      <c r="AU143" s="307">
        <v>142.0</v>
      </c>
      <c r="AW143" s="687" t="s">
        <v>2324</v>
      </c>
      <c r="AX143" s="307">
        <v>142.0</v>
      </c>
      <c r="AZ143" s="687" t="s">
        <v>254</v>
      </c>
      <c r="BA143" s="307">
        <v>142.0</v>
      </c>
      <c r="BC143" s="691" t="s">
        <v>1240</v>
      </c>
      <c r="BD143" s="307">
        <v>142.0</v>
      </c>
      <c r="BF143" s="687" t="s">
        <v>824</v>
      </c>
      <c r="BG143" s="145">
        <v>142.0</v>
      </c>
      <c r="BI143" s="688" t="s">
        <v>214</v>
      </c>
      <c r="BJ143" s="145">
        <v>142.0</v>
      </c>
      <c r="BL143" s="692" t="s">
        <v>214</v>
      </c>
      <c r="BM143" s="216">
        <v>142.0</v>
      </c>
    </row>
    <row r="144">
      <c r="A144" s="41" t="s">
        <v>2287</v>
      </c>
      <c r="B144" s="307">
        <v>143.0</v>
      </c>
      <c r="C144" s="41"/>
      <c r="D144" s="41" t="s">
        <v>81</v>
      </c>
      <c r="E144" s="307">
        <v>143.0</v>
      </c>
      <c r="F144" s="41"/>
      <c r="G144" s="41" t="s">
        <v>2393</v>
      </c>
      <c r="H144" s="307">
        <v>143.0</v>
      </c>
      <c r="I144" s="41"/>
      <c r="J144" s="41" t="s">
        <v>2393</v>
      </c>
      <c r="K144" s="307">
        <v>143.0</v>
      </c>
      <c r="L144" s="41"/>
      <c r="M144" s="41" t="s">
        <v>2340</v>
      </c>
      <c r="N144" s="307">
        <v>143.0</v>
      </c>
      <c r="O144" s="41"/>
      <c r="P144" s="41" t="s">
        <v>222</v>
      </c>
      <c r="Q144" s="307">
        <v>143.0</v>
      </c>
      <c r="R144" s="41"/>
      <c r="S144" s="41" t="s">
        <v>2276</v>
      </c>
      <c r="T144" s="307">
        <v>143.0</v>
      </c>
      <c r="U144" s="41"/>
      <c r="V144" s="41" t="s">
        <v>2417</v>
      </c>
      <c r="W144" s="307">
        <v>143.0</v>
      </c>
      <c r="X144" s="41"/>
      <c r="Y144" s="682" t="s">
        <v>75</v>
      </c>
      <c r="Z144" s="307">
        <v>143.0</v>
      </c>
      <c r="AA144" s="41"/>
      <c r="AB144" s="683" t="s">
        <v>2182</v>
      </c>
      <c r="AC144" s="307">
        <v>143.0</v>
      </c>
      <c r="AD144" s="79"/>
      <c r="AE144" s="690" t="s">
        <v>2614</v>
      </c>
      <c r="AF144" s="307">
        <v>143.0</v>
      </c>
      <c r="AH144" s="687" t="s">
        <v>2296</v>
      </c>
      <c r="AI144" s="307">
        <v>143.0</v>
      </c>
      <c r="AK144" s="687" t="s">
        <v>259</v>
      </c>
      <c r="AL144" s="307">
        <v>143.0</v>
      </c>
      <c r="AN144" s="687" t="s">
        <v>254</v>
      </c>
      <c r="AO144" s="307">
        <v>143.0</v>
      </c>
      <c r="AQ144" s="687" t="s">
        <v>2640</v>
      </c>
      <c r="AR144" s="307">
        <v>143.0</v>
      </c>
      <c r="AT144" s="687" t="s">
        <v>1059</v>
      </c>
      <c r="AU144" s="307">
        <v>143.0</v>
      </c>
      <c r="AW144" s="687" t="s">
        <v>910</v>
      </c>
      <c r="AX144" s="307">
        <v>143.0</v>
      </c>
      <c r="AZ144" s="687" t="s">
        <v>2324</v>
      </c>
      <c r="BA144" s="307">
        <v>143.0</v>
      </c>
      <c r="BC144" s="691" t="s">
        <v>2408</v>
      </c>
      <c r="BD144" s="307">
        <v>143.0</v>
      </c>
      <c r="BF144" s="687" t="s">
        <v>255</v>
      </c>
      <c r="BG144" s="145">
        <v>143.0</v>
      </c>
      <c r="BI144" s="688" t="s">
        <v>2653</v>
      </c>
      <c r="BJ144" s="145">
        <v>143.0</v>
      </c>
      <c r="BL144" s="692" t="s">
        <v>2653</v>
      </c>
      <c r="BM144" s="216">
        <v>143.0</v>
      </c>
    </row>
    <row r="145">
      <c r="A145" s="41" t="s">
        <v>317</v>
      </c>
      <c r="B145" s="307">
        <v>144.0</v>
      </c>
      <c r="C145" s="41"/>
      <c r="D145" s="41" t="s">
        <v>2644</v>
      </c>
      <c r="E145" s="307">
        <v>144.0</v>
      </c>
      <c r="F145" s="41"/>
      <c r="G145" s="41" t="s">
        <v>2395</v>
      </c>
      <c r="H145" s="307">
        <v>144.0</v>
      </c>
      <c r="I145" s="41"/>
      <c r="J145" s="41" t="s">
        <v>60</v>
      </c>
      <c r="K145" s="307">
        <v>144.0</v>
      </c>
      <c r="L145" s="41"/>
      <c r="M145" s="41" t="s">
        <v>2289</v>
      </c>
      <c r="N145" s="307">
        <v>144.0</v>
      </c>
      <c r="O145" s="41"/>
      <c r="P145" s="41" t="s">
        <v>907</v>
      </c>
      <c r="Q145" s="307">
        <v>144.0</v>
      </c>
      <c r="R145" s="41"/>
      <c r="S145" s="41" t="s">
        <v>2193</v>
      </c>
      <c r="T145" s="307">
        <v>144.0</v>
      </c>
      <c r="U145" s="41"/>
      <c r="V145" s="41" t="s">
        <v>85</v>
      </c>
      <c r="W145" s="307">
        <v>144.0</v>
      </c>
      <c r="X145" s="41"/>
      <c r="Y145" s="682" t="s">
        <v>2319</v>
      </c>
      <c r="Z145" s="307">
        <v>144.0</v>
      </c>
      <c r="AA145" s="41"/>
      <c r="AB145" s="683" t="s">
        <v>2637</v>
      </c>
      <c r="AC145" s="307">
        <v>144.0</v>
      </c>
      <c r="AD145" s="79"/>
      <c r="AE145" s="690" t="s">
        <v>2382</v>
      </c>
      <c r="AF145" s="307">
        <v>144.0</v>
      </c>
      <c r="AH145" s="687" t="s">
        <v>817</v>
      </c>
      <c r="AI145" s="307">
        <v>144.0</v>
      </c>
      <c r="AK145" s="687" t="s">
        <v>222</v>
      </c>
      <c r="AL145" s="307">
        <v>144.0</v>
      </c>
      <c r="AN145" s="687" t="s">
        <v>75</v>
      </c>
      <c r="AO145" s="307">
        <v>144.0</v>
      </c>
      <c r="AQ145" s="687" t="s">
        <v>2650</v>
      </c>
      <c r="AR145" s="307">
        <v>144.0</v>
      </c>
      <c r="AT145" s="687" t="s">
        <v>2640</v>
      </c>
      <c r="AU145" s="307">
        <v>144.0</v>
      </c>
      <c r="AW145" s="687" t="s">
        <v>1059</v>
      </c>
      <c r="AX145" s="307">
        <v>144.0</v>
      </c>
      <c r="AZ145" s="687" t="s">
        <v>910</v>
      </c>
      <c r="BA145" s="307">
        <v>144.0</v>
      </c>
      <c r="BC145" s="691" t="s">
        <v>2282</v>
      </c>
      <c r="BD145" s="307">
        <v>144.0</v>
      </c>
      <c r="BF145" s="687" t="s">
        <v>2206</v>
      </c>
      <c r="BG145" s="145">
        <v>144.0</v>
      </c>
      <c r="BI145" s="688" t="s">
        <v>2289</v>
      </c>
      <c r="BJ145" s="145">
        <v>144.0</v>
      </c>
      <c r="BL145" s="692" t="s">
        <v>235</v>
      </c>
      <c r="BM145" s="216">
        <v>144.0</v>
      </c>
    </row>
    <row r="146">
      <c r="A146" s="41" t="s">
        <v>75</v>
      </c>
      <c r="B146" s="307">
        <v>145.0</v>
      </c>
      <c r="C146" s="41"/>
      <c r="D146" s="41" t="s">
        <v>2617</v>
      </c>
      <c r="E146" s="307">
        <v>145.0</v>
      </c>
      <c r="F146" s="41"/>
      <c r="G146" s="41" t="s">
        <v>86</v>
      </c>
      <c r="H146" s="307">
        <v>145.0</v>
      </c>
      <c r="I146" s="41"/>
      <c r="J146" s="41" t="s">
        <v>2622</v>
      </c>
      <c r="K146" s="307">
        <v>145.0</v>
      </c>
      <c r="L146" s="41"/>
      <c r="M146" s="41" t="s">
        <v>2198</v>
      </c>
      <c r="N146" s="307">
        <v>145.0</v>
      </c>
      <c r="O146" s="41"/>
      <c r="P146" s="41" t="s">
        <v>2640</v>
      </c>
      <c r="Q146" s="307">
        <v>145.0</v>
      </c>
      <c r="R146" s="41"/>
      <c r="S146" s="41" t="s">
        <v>2614</v>
      </c>
      <c r="T146" s="307">
        <v>145.0</v>
      </c>
      <c r="U146" s="41"/>
      <c r="V146" s="41" t="s">
        <v>2643</v>
      </c>
      <c r="W146" s="307">
        <v>145.0</v>
      </c>
      <c r="X146" s="41"/>
      <c r="Y146" s="682" t="s">
        <v>85</v>
      </c>
      <c r="Z146" s="307">
        <v>145.0</v>
      </c>
      <c r="AA146" s="41"/>
      <c r="AB146" s="683" t="s">
        <v>2382</v>
      </c>
      <c r="AC146" s="307">
        <v>145.0</v>
      </c>
      <c r="AD146" s="79"/>
      <c r="AE146" s="690" t="s">
        <v>85</v>
      </c>
      <c r="AF146" s="307">
        <v>145.0</v>
      </c>
      <c r="AH146" s="687" t="s">
        <v>2382</v>
      </c>
      <c r="AI146" s="307">
        <v>145.0</v>
      </c>
      <c r="AK146" s="687" t="s">
        <v>2650</v>
      </c>
      <c r="AL146" s="307">
        <v>145.0</v>
      </c>
      <c r="AN146" s="687" t="s">
        <v>817</v>
      </c>
      <c r="AO146" s="307">
        <v>145.0</v>
      </c>
      <c r="AQ146" s="687" t="s">
        <v>2382</v>
      </c>
      <c r="AR146" s="307">
        <v>145.0</v>
      </c>
      <c r="AT146" s="687" t="s">
        <v>251</v>
      </c>
      <c r="AU146" s="307">
        <v>145.0</v>
      </c>
      <c r="AW146" s="687" t="s">
        <v>2640</v>
      </c>
      <c r="AX146" s="307">
        <v>145.0</v>
      </c>
      <c r="AZ146" s="687" t="s">
        <v>251</v>
      </c>
      <c r="BA146" s="307">
        <v>145.0</v>
      </c>
      <c r="BC146" s="691" t="s">
        <v>1059</v>
      </c>
      <c r="BD146" s="307">
        <v>145.0</v>
      </c>
      <c r="BF146" s="687" t="s">
        <v>927</v>
      </c>
      <c r="BG146" s="145">
        <v>145.0</v>
      </c>
      <c r="BI146" s="688" t="s">
        <v>2282</v>
      </c>
      <c r="BJ146" s="145">
        <v>145.0</v>
      </c>
      <c r="BL146" s="692" t="s">
        <v>220</v>
      </c>
      <c r="BM146" s="216">
        <v>145.0</v>
      </c>
    </row>
    <row r="147">
      <c r="A147" s="41" t="s">
        <v>2661</v>
      </c>
      <c r="B147" s="307">
        <v>146.0</v>
      </c>
      <c r="C147" s="41"/>
      <c r="D147" s="41" t="s">
        <v>2189</v>
      </c>
      <c r="E147" s="307">
        <v>146.0</v>
      </c>
      <c r="F147" s="41"/>
      <c r="G147" s="41" t="s">
        <v>2619</v>
      </c>
      <c r="H147" s="307">
        <v>146.0</v>
      </c>
      <c r="I147" s="41"/>
      <c r="J147" s="41" t="s">
        <v>907</v>
      </c>
      <c r="K147" s="307">
        <v>146.0</v>
      </c>
      <c r="L147" s="41"/>
      <c r="M147" s="41" t="s">
        <v>1041</v>
      </c>
      <c r="N147" s="307">
        <v>146.0</v>
      </c>
      <c r="O147" s="41"/>
      <c r="P147" s="41" t="s">
        <v>2303</v>
      </c>
      <c r="Q147" s="307">
        <v>146.0</v>
      </c>
      <c r="R147" s="41"/>
      <c r="S147" s="41" t="s">
        <v>2640</v>
      </c>
      <c r="T147" s="307">
        <v>146.0</v>
      </c>
      <c r="U147" s="41"/>
      <c r="V147" s="41" t="s">
        <v>254</v>
      </c>
      <c r="W147" s="307">
        <v>146.0</v>
      </c>
      <c r="X147" s="41"/>
      <c r="Y147" s="682" t="s">
        <v>254</v>
      </c>
      <c r="Z147" s="307">
        <v>146.0</v>
      </c>
      <c r="AA147" s="41"/>
      <c r="AB147" s="683" t="s">
        <v>85</v>
      </c>
      <c r="AC147" s="307">
        <v>146.0</v>
      </c>
      <c r="AD147" s="79"/>
      <c r="AE147" s="690" t="s">
        <v>841</v>
      </c>
      <c r="AF147" s="307">
        <v>146.0</v>
      </c>
      <c r="AH147" s="687" t="s">
        <v>2642</v>
      </c>
      <c r="AI147" s="307">
        <v>146.0</v>
      </c>
      <c r="AK147" s="687" t="s">
        <v>2382</v>
      </c>
      <c r="AL147" s="307">
        <v>146.0</v>
      </c>
      <c r="AN147" s="687" t="s">
        <v>2650</v>
      </c>
      <c r="AO147" s="307">
        <v>146.0</v>
      </c>
      <c r="AQ147" s="687" t="s">
        <v>251</v>
      </c>
      <c r="AR147" s="307">
        <v>146.0</v>
      </c>
      <c r="AT147" s="687" t="s">
        <v>1080</v>
      </c>
      <c r="AU147" s="307">
        <v>146.0</v>
      </c>
      <c r="AW147" s="687" t="s">
        <v>251</v>
      </c>
      <c r="AX147" s="307">
        <v>146.0</v>
      </c>
      <c r="AZ147" s="687" t="s">
        <v>1080</v>
      </c>
      <c r="BA147" s="307">
        <v>146.0</v>
      </c>
      <c r="BC147" s="691" t="s">
        <v>217</v>
      </c>
      <c r="BD147" s="307">
        <v>146.0</v>
      </c>
      <c r="BF147" s="687" t="s">
        <v>2657</v>
      </c>
      <c r="BG147" s="145">
        <v>146.0</v>
      </c>
      <c r="BI147" s="688" t="s">
        <v>241</v>
      </c>
      <c r="BJ147" s="145">
        <v>146.0</v>
      </c>
      <c r="BL147" s="692" t="s">
        <v>2289</v>
      </c>
      <c r="BM147" s="216">
        <v>146.0</v>
      </c>
    </row>
    <row r="148">
      <c r="A148" s="41" t="s">
        <v>2395</v>
      </c>
      <c r="B148" s="307">
        <v>147.0</v>
      </c>
      <c r="C148" s="41"/>
      <c r="D148" s="41" t="s">
        <v>2637</v>
      </c>
      <c r="E148" s="307">
        <v>147.0</v>
      </c>
      <c r="F148" s="41"/>
      <c r="G148" s="41" t="s">
        <v>2662</v>
      </c>
      <c r="H148" s="307">
        <v>147.0</v>
      </c>
      <c r="I148" s="41"/>
      <c r="J148" s="41" t="s">
        <v>2656</v>
      </c>
      <c r="K148" s="307">
        <v>147.0</v>
      </c>
      <c r="L148" s="41"/>
      <c r="M148" s="41" t="s">
        <v>2642</v>
      </c>
      <c r="N148" s="307">
        <v>147.0</v>
      </c>
      <c r="O148" s="41"/>
      <c r="P148" s="41" t="s">
        <v>2622</v>
      </c>
      <c r="Q148" s="307">
        <v>147.0</v>
      </c>
      <c r="R148" s="41"/>
      <c r="S148" s="41" t="s">
        <v>2622</v>
      </c>
      <c r="T148" s="307">
        <v>147.0</v>
      </c>
      <c r="U148" s="41"/>
      <c r="V148" s="41" t="s">
        <v>2182</v>
      </c>
      <c r="W148" s="307">
        <v>147.0</v>
      </c>
      <c r="X148" s="41"/>
      <c r="Y148" s="682" t="s">
        <v>2182</v>
      </c>
      <c r="Z148" s="307">
        <v>147.0</v>
      </c>
      <c r="AA148" s="41"/>
      <c r="AB148" s="683" t="s">
        <v>841</v>
      </c>
      <c r="AC148" s="307">
        <v>147.0</v>
      </c>
      <c r="AD148" s="79"/>
      <c r="AE148" s="690" t="s">
        <v>2324</v>
      </c>
      <c r="AF148" s="307">
        <v>147.0</v>
      </c>
      <c r="AH148" s="687" t="s">
        <v>254</v>
      </c>
      <c r="AI148" s="307">
        <v>147.0</v>
      </c>
      <c r="AK148" s="687" t="s">
        <v>2642</v>
      </c>
      <c r="AL148" s="307">
        <v>147.0</v>
      </c>
      <c r="AN148" s="687" t="s">
        <v>2382</v>
      </c>
      <c r="AO148" s="307">
        <v>147.0</v>
      </c>
      <c r="AQ148" s="687" t="s">
        <v>1080</v>
      </c>
      <c r="AR148" s="307">
        <v>147.0</v>
      </c>
      <c r="AT148" s="687" t="s">
        <v>235</v>
      </c>
      <c r="AU148" s="307">
        <v>147.0</v>
      </c>
      <c r="AW148" s="687" t="s">
        <v>1080</v>
      </c>
      <c r="AX148" s="307">
        <v>147.0</v>
      </c>
      <c r="AZ148" s="687" t="s">
        <v>235</v>
      </c>
      <c r="BA148" s="307">
        <v>147.0</v>
      </c>
      <c r="BC148" s="691" t="s">
        <v>259</v>
      </c>
      <c r="BD148" s="307">
        <v>147.0</v>
      </c>
      <c r="BF148" s="687" t="s">
        <v>2653</v>
      </c>
      <c r="BG148" s="145">
        <v>147.0</v>
      </c>
      <c r="BI148" s="688" t="s">
        <v>2218</v>
      </c>
      <c r="BJ148" s="145">
        <v>147.0</v>
      </c>
      <c r="BL148" s="692" t="s">
        <v>2282</v>
      </c>
      <c r="BM148" s="216">
        <v>147.0</v>
      </c>
    </row>
    <row r="149">
      <c r="A149" s="41" t="s">
        <v>2608</v>
      </c>
      <c r="B149" s="307">
        <v>148.0</v>
      </c>
      <c r="C149" s="41"/>
      <c r="D149" s="41" t="s">
        <v>212</v>
      </c>
      <c r="E149" s="307">
        <v>148.0</v>
      </c>
      <c r="F149" s="41"/>
      <c r="G149" s="41" t="s">
        <v>259</v>
      </c>
      <c r="H149" s="307">
        <v>148.0</v>
      </c>
      <c r="I149" s="41"/>
      <c r="J149" s="41" t="s">
        <v>2340</v>
      </c>
      <c r="K149" s="307">
        <v>148.0</v>
      </c>
      <c r="L149" s="41"/>
      <c r="M149" s="41" t="s">
        <v>2640</v>
      </c>
      <c r="N149" s="307">
        <v>148.0</v>
      </c>
      <c r="O149" s="41"/>
      <c r="P149" s="41" t="s">
        <v>2287</v>
      </c>
      <c r="Q149" s="307">
        <v>148.0</v>
      </c>
      <c r="R149" s="41"/>
      <c r="S149" s="41" t="s">
        <v>85</v>
      </c>
      <c r="T149" s="307">
        <v>148.0</v>
      </c>
      <c r="U149" s="41"/>
      <c r="V149" s="41" t="s">
        <v>2260</v>
      </c>
      <c r="W149" s="307">
        <v>148.0</v>
      </c>
      <c r="X149" s="41"/>
      <c r="Y149" s="682" t="s">
        <v>218</v>
      </c>
      <c r="Z149" s="307">
        <v>148.0</v>
      </c>
      <c r="AA149" s="41"/>
      <c r="AB149" s="683" t="s">
        <v>2622</v>
      </c>
      <c r="AC149" s="307">
        <v>148.0</v>
      </c>
      <c r="AD149" s="79"/>
      <c r="AE149" s="690" t="s">
        <v>2622</v>
      </c>
      <c r="AF149" s="307">
        <v>148.0</v>
      </c>
      <c r="AH149" s="687" t="s">
        <v>907</v>
      </c>
      <c r="AI149" s="307">
        <v>148.0</v>
      </c>
      <c r="AK149" s="687" t="s">
        <v>251</v>
      </c>
      <c r="AL149" s="307">
        <v>148.0</v>
      </c>
      <c r="AN149" s="687" t="s">
        <v>910</v>
      </c>
      <c r="AO149" s="307">
        <v>148.0</v>
      </c>
      <c r="AQ149" s="687" t="s">
        <v>235</v>
      </c>
      <c r="AR149" s="307">
        <v>148.0</v>
      </c>
      <c r="AT149" s="687" t="s">
        <v>2352</v>
      </c>
      <c r="AU149" s="307">
        <v>148.0</v>
      </c>
      <c r="AW149" s="687" t="s">
        <v>235</v>
      </c>
      <c r="AX149" s="307">
        <v>148.0</v>
      </c>
      <c r="AZ149" s="687" t="s">
        <v>817</v>
      </c>
      <c r="BA149" s="307">
        <v>148.0</v>
      </c>
      <c r="BC149" s="691" t="s">
        <v>824</v>
      </c>
      <c r="BD149" s="307">
        <v>148.0</v>
      </c>
      <c r="BF149" s="687" t="s">
        <v>2651</v>
      </c>
      <c r="BG149" s="145">
        <v>148.0</v>
      </c>
      <c r="BI149" s="688" t="s">
        <v>1250</v>
      </c>
      <c r="BJ149" s="145">
        <v>148.0</v>
      </c>
      <c r="BL149" s="692" t="s">
        <v>241</v>
      </c>
      <c r="BM149" s="216">
        <v>148.0</v>
      </c>
    </row>
    <row r="150">
      <c r="A150" s="41" t="s">
        <v>2660</v>
      </c>
      <c r="B150" s="307">
        <v>149.0</v>
      </c>
      <c r="C150" s="41"/>
      <c r="D150" s="41" t="s">
        <v>60</v>
      </c>
      <c r="E150" s="307">
        <v>149.0</v>
      </c>
      <c r="F150" s="41"/>
      <c r="G150" s="41" t="s">
        <v>2276</v>
      </c>
      <c r="H150" s="307">
        <v>149.0</v>
      </c>
      <c r="I150" s="41"/>
      <c r="J150" s="41" t="s">
        <v>2289</v>
      </c>
      <c r="K150" s="307">
        <v>149.0</v>
      </c>
      <c r="L150" s="41"/>
      <c r="M150" s="41" t="s">
        <v>2663</v>
      </c>
      <c r="N150" s="307">
        <v>149.0</v>
      </c>
      <c r="O150" s="41"/>
      <c r="P150" s="41" t="s">
        <v>931</v>
      </c>
      <c r="Q150" s="307">
        <v>149.0</v>
      </c>
      <c r="R150" s="41"/>
      <c r="S150" s="41" t="s">
        <v>2287</v>
      </c>
      <c r="T150" s="307">
        <v>149.0</v>
      </c>
      <c r="U150" s="41"/>
      <c r="V150" s="41" t="s">
        <v>75</v>
      </c>
      <c r="W150" s="307">
        <v>149.0</v>
      </c>
      <c r="X150" s="41"/>
      <c r="Y150" s="682" t="s">
        <v>2663</v>
      </c>
      <c r="Z150" s="307">
        <v>149.0</v>
      </c>
      <c r="AA150" s="41"/>
      <c r="AB150" s="683" t="s">
        <v>260</v>
      </c>
      <c r="AC150" s="307">
        <v>149.0</v>
      </c>
      <c r="AD150" s="79"/>
      <c r="AE150" s="690" t="s">
        <v>260</v>
      </c>
      <c r="AF150" s="307">
        <v>149.0</v>
      </c>
      <c r="AH150" s="687" t="s">
        <v>251</v>
      </c>
      <c r="AI150" s="307">
        <v>149.0</v>
      </c>
      <c r="AK150" s="687" t="s">
        <v>2647</v>
      </c>
      <c r="AL150" s="307">
        <v>149.0</v>
      </c>
      <c r="AN150" s="687" t="s">
        <v>251</v>
      </c>
      <c r="AO150" s="307">
        <v>149.0</v>
      </c>
      <c r="AQ150" s="687" t="s">
        <v>2352</v>
      </c>
      <c r="AR150" s="307">
        <v>149.0</v>
      </c>
      <c r="AT150" s="687" t="s">
        <v>817</v>
      </c>
      <c r="AU150" s="307">
        <v>149.0</v>
      </c>
      <c r="AW150" s="687" t="s">
        <v>817</v>
      </c>
      <c r="AX150" s="307">
        <v>149.0</v>
      </c>
      <c r="AZ150" s="687" t="s">
        <v>2282</v>
      </c>
      <c r="BA150" s="307">
        <v>149.0</v>
      </c>
      <c r="BC150" s="691" t="s">
        <v>2206</v>
      </c>
      <c r="BD150" s="307">
        <v>149.0</v>
      </c>
      <c r="BF150" s="687" t="s">
        <v>248</v>
      </c>
      <c r="BG150" s="145">
        <v>149.0</v>
      </c>
      <c r="BI150" s="688" t="s">
        <v>253</v>
      </c>
      <c r="BJ150" s="145">
        <v>149.0</v>
      </c>
      <c r="BL150" s="692" t="s">
        <v>212</v>
      </c>
      <c r="BM150" s="216">
        <v>149.0</v>
      </c>
    </row>
    <row r="151">
      <c r="A151" s="41" t="s">
        <v>1041</v>
      </c>
      <c r="B151" s="307">
        <v>150.0</v>
      </c>
      <c r="C151" s="41"/>
      <c r="D151" s="41" t="s">
        <v>2397</v>
      </c>
      <c r="E151" s="307">
        <v>150.0</v>
      </c>
      <c r="F151" s="41"/>
      <c r="G151" s="41" t="s">
        <v>60</v>
      </c>
      <c r="H151" s="307">
        <v>150.0</v>
      </c>
      <c r="I151" s="41"/>
      <c r="J151" s="41" t="s">
        <v>2198</v>
      </c>
      <c r="K151" s="307">
        <v>150.0</v>
      </c>
      <c r="L151" s="41"/>
      <c r="M151" s="41" t="s">
        <v>2643</v>
      </c>
      <c r="N151" s="307">
        <v>150.0</v>
      </c>
      <c r="O151" s="41"/>
      <c r="P151" s="41" t="s">
        <v>2371</v>
      </c>
      <c r="Q151" s="307">
        <v>150.0</v>
      </c>
      <c r="R151" s="41"/>
      <c r="S151" s="41" t="s">
        <v>1041</v>
      </c>
      <c r="T151" s="307">
        <v>150.0</v>
      </c>
      <c r="U151" s="41"/>
      <c r="V151" s="41" t="s">
        <v>2663</v>
      </c>
      <c r="W151" s="307">
        <v>150.0</v>
      </c>
      <c r="X151" s="41"/>
      <c r="Y151" s="682" t="s">
        <v>2656</v>
      </c>
      <c r="Z151" s="307">
        <v>150.0</v>
      </c>
      <c r="AA151" s="41"/>
      <c r="AB151" s="683" t="s">
        <v>999</v>
      </c>
      <c r="AC151" s="307">
        <v>150.0</v>
      </c>
      <c r="AD151" s="79"/>
      <c r="AE151" s="690" t="s">
        <v>2653</v>
      </c>
      <c r="AF151" s="307">
        <v>150.0</v>
      </c>
      <c r="AH151" s="687" t="s">
        <v>71</v>
      </c>
      <c r="AI151" s="307">
        <v>150.0</v>
      </c>
      <c r="AK151" s="687" t="s">
        <v>2324</v>
      </c>
      <c r="AL151" s="307">
        <v>150.0</v>
      </c>
      <c r="AN151" s="687" t="s">
        <v>235</v>
      </c>
      <c r="AO151" s="307">
        <v>150.0</v>
      </c>
      <c r="AQ151" s="687" t="s">
        <v>817</v>
      </c>
      <c r="AR151" s="307">
        <v>150.0</v>
      </c>
      <c r="AT151" s="687" t="s">
        <v>2282</v>
      </c>
      <c r="AU151" s="307">
        <v>150.0</v>
      </c>
      <c r="AW151" s="687" t="s">
        <v>2282</v>
      </c>
      <c r="AX151" s="307">
        <v>150.0</v>
      </c>
      <c r="AZ151" s="687" t="s">
        <v>2636</v>
      </c>
      <c r="BA151" s="307">
        <v>150.0</v>
      </c>
      <c r="BC151" s="691" t="s">
        <v>927</v>
      </c>
      <c r="BD151" s="307">
        <v>150.0</v>
      </c>
      <c r="BF151" s="687" t="s">
        <v>241</v>
      </c>
      <c r="BG151" s="145">
        <v>150.0</v>
      </c>
      <c r="BI151" s="688" t="s">
        <v>255</v>
      </c>
      <c r="BJ151" s="145">
        <v>150.0</v>
      </c>
      <c r="BL151" s="692" t="s">
        <v>1250</v>
      </c>
      <c r="BM151" s="216">
        <v>150.0</v>
      </c>
    </row>
    <row r="152">
      <c r="A152" s="41" t="s">
        <v>2297</v>
      </c>
      <c r="B152" s="307">
        <v>151.0</v>
      </c>
      <c r="C152" s="41"/>
      <c r="D152" s="41" t="s">
        <v>1245</v>
      </c>
      <c r="E152" s="307">
        <v>151.0</v>
      </c>
      <c r="F152" s="41"/>
      <c r="G152" s="41" t="s">
        <v>82</v>
      </c>
      <c r="H152" s="307">
        <v>151.0</v>
      </c>
      <c r="I152" s="41"/>
      <c r="J152" s="41" t="s">
        <v>1041</v>
      </c>
      <c r="K152" s="307">
        <v>151.0</v>
      </c>
      <c r="L152" s="41"/>
      <c r="M152" s="41" t="s">
        <v>212</v>
      </c>
      <c r="N152" s="307">
        <v>151.0</v>
      </c>
      <c r="O152" s="41"/>
      <c r="P152" s="41" t="s">
        <v>251</v>
      </c>
      <c r="Q152" s="307">
        <v>151.0</v>
      </c>
      <c r="R152" s="41"/>
      <c r="S152" s="41" t="s">
        <v>2260</v>
      </c>
      <c r="T152" s="307">
        <v>151.0</v>
      </c>
      <c r="U152" s="41"/>
      <c r="V152" s="41" t="s">
        <v>217</v>
      </c>
      <c r="W152" s="307">
        <v>151.0</v>
      </c>
      <c r="X152" s="41"/>
      <c r="Y152" s="682" t="s">
        <v>999</v>
      </c>
      <c r="Z152" s="307">
        <v>151.0</v>
      </c>
      <c r="AA152" s="41"/>
      <c r="AB152" s="683" t="s">
        <v>2653</v>
      </c>
      <c r="AC152" s="307">
        <v>151.0</v>
      </c>
      <c r="AD152" s="79"/>
      <c r="AE152" s="690" t="s">
        <v>2663</v>
      </c>
      <c r="AF152" s="307">
        <v>151.0</v>
      </c>
      <c r="AH152" s="687" t="s">
        <v>259</v>
      </c>
      <c r="AI152" s="307">
        <v>151.0</v>
      </c>
      <c r="AK152" s="687" t="s">
        <v>71</v>
      </c>
      <c r="AL152" s="307">
        <v>151.0</v>
      </c>
      <c r="AN152" s="687" t="s">
        <v>2352</v>
      </c>
      <c r="AO152" s="307">
        <v>151.0</v>
      </c>
      <c r="AQ152" s="687" t="s">
        <v>2282</v>
      </c>
      <c r="AR152" s="307">
        <v>151.0</v>
      </c>
      <c r="AT152" s="687" t="s">
        <v>2636</v>
      </c>
      <c r="AU152" s="307">
        <v>151.0</v>
      </c>
      <c r="AW152" s="687" t="s">
        <v>2636</v>
      </c>
      <c r="AX152" s="307">
        <v>151.0</v>
      </c>
      <c r="AZ152" s="687" t="s">
        <v>1059</v>
      </c>
      <c r="BA152" s="307">
        <v>151.0</v>
      </c>
      <c r="BC152" s="691" t="s">
        <v>926</v>
      </c>
      <c r="BD152" s="307">
        <v>151.0</v>
      </c>
      <c r="BF152" s="687" t="s">
        <v>922</v>
      </c>
      <c r="BG152" s="145">
        <v>151.0</v>
      </c>
      <c r="BI152" s="688" t="s">
        <v>2662</v>
      </c>
      <c r="BJ152" s="145">
        <v>151.0</v>
      </c>
      <c r="BL152" s="692" t="s">
        <v>929</v>
      </c>
      <c r="BM152" s="216">
        <v>151.0</v>
      </c>
    </row>
    <row r="153">
      <c r="A153" s="41" t="s">
        <v>2152</v>
      </c>
      <c r="B153" s="307">
        <v>152.0</v>
      </c>
      <c r="C153" s="41"/>
      <c r="D153" s="41" t="s">
        <v>2178</v>
      </c>
      <c r="E153" s="307">
        <v>152.0</v>
      </c>
      <c r="F153" s="41"/>
      <c r="G153" s="41" t="s">
        <v>2663</v>
      </c>
      <c r="H153" s="307">
        <v>152.0</v>
      </c>
      <c r="I153" s="41"/>
      <c r="J153" s="41" t="s">
        <v>2659</v>
      </c>
      <c r="K153" s="307">
        <v>152.0</v>
      </c>
      <c r="L153" s="41"/>
      <c r="M153" s="41" t="s">
        <v>2633</v>
      </c>
      <c r="N153" s="307">
        <v>152.0</v>
      </c>
      <c r="O153" s="41"/>
      <c r="P153" s="41" t="s">
        <v>2133</v>
      </c>
      <c r="Q153" s="307">
        <v>152.0</v>
      </c>
      <c r="R153" s="41"/>
      <c r="S153" s="41" t="s">
        <v>817</v>
      </c>
      <c r="T153" s="307">
        <v>152.0</v>
      </c>
      <c r="U153" s="41"/>
      <c r="V153" s="41" t="s">
        <v>999</v>
      </c>
      <c r="W153" s="307">
        <v>152.0</v>
      </c>
      <c r="X153" s="41"/>
      <c r="Y153" s="682" t="s">
        <v>2193</v>
      </c>
      <c r="Z153" s="307">
        <v>152.0</v>
      </c>
      <c r="AA153" s="41"/>
      <c r="AB153" s="683" t="s">
        <v>2663</v>
      </c>
      <c r="AC153" s="307">
        <v>152.0</v>
      </c>
      <c r="AD153" s="79"/>
      <c r="AE153" s="690" t="s">
        <v>2193</v>
      </c>
      <c r="AF153" s="307">
        <v>152.0</v>
      </c>
      <c r="AH153" s="687" t="s">
        <v>270</v>
      </c>
      <c r="AI153" s="307">
        <v>152.0</v>
      </c>
      <c r="AK153" s="687" t="s">
        <v>235</v>
      </c>
      <c r="AL153" s="307">
        <v>152.0</v>
      </c>
      <c r="AN153" s="687" t="s">
        <v>1059</v>
      </c>
      <c r="AO153" s="307">
        <v>152.0</v>
      </c>
      <c r="AQ153" s="687" t="s">
        <v>2636</v>
      </c>
      <c r="AR153" s="307">
        <v>152.0</v>
      </c>
      <c r="AT153" s="687" t="s">
        <v>2664</v>
      </c>
      <c r="AU153" s="307">
        <v>152.0</v>
      </c>
      <c r="AW153" s="687" t="s">
        <v>2664</v>
      </c>
      <c r="AX153" s="307">
        <v>152.0</v>
      </c>
      <c r="AZ153" s="687" t="s">
        <v>2655</v>
      </c>
      <c r="BA153" s="307">
        <v>152.0</v>
      </c>
      <c r="BC153" s="691" t="s">
        <v>2651</v>
      </c>
      <c r="BD153" s="307">
        <v>152.0</v>
      </c>
      <c r="BF153" s="687" t="s">
        <v>1245</v>
      </c>
      <c r="BG153" s="145">
        <v>152.0</v>
      </c>
      <c r="BI153" s="688" t="s">
        <v>841</v>
      </c>
      <c r="BJ153" s="145">
        <v>152.0</v>
      </c>
      <c r="BL153" s="692" t="s">
        <v>236</v>
      </c>
      <c r="BM153" s="216">
        <v>152.0</v>
      </c>
    </row>
    <row r="154">
      <c r="A154" s="41" t="s">
        <v>86</v>
      </c>
      <c r="B154" s="307">
        <v>153.0</v>
      </c>
      <c r="C154" s="41"/>
      <c r="D154" s="41" t="s">
        <v>858</v>
      </c>
      <c r="E154" s="307">
        <v>153.0</v>
      </c>
      <c r="F154" s="41"/>
      <c r="G154" s="41" t="s">
        <v>2363</v>
      </c>
      <c r="H154" s="307">
        <v>153.0</v>
      </c>
      <c r="I154" s="41"/>
      <c r="J154" s="41" t="s">
        <v>2640</v>
      </c>
      <c r="K154" s="307">
        <v>153.0</v>
      </c>
      <c r="L154" s="41"/>
      <c r="M154" s="41" t="s">
        <v>854</v>
      </c>
      <c r="N154" s="307">
        <v>153.0</v>
      </c>
      <c r="O154" s="41"/>
      <c r="P154" s="41" t="s">
        <v>2260</v>
      </c>
      <c r="Q154" s="307">
        <v>153.0</v>
      </c>
      <c r="R154" s="41"/>
      <c r="S154" s="41" t="s">
        <v>75</v>
      </c>
      <c r="T154" s="307">
        <v>153.0</v>
      </c>
      <c r="U154" s="41"/>
      <c r="V154" s="41" t="s">
        <v>2665</v>
      </c>
      <c r="W154" s="307">
        <v>153.0</v>
      </c>
      <c r="X154" s="41"/>
      <c r="Y154" s="682" t="s">
        <v>2665</v>
      </c>
      <c r="Z154" s="307">
        <v>153.0</v>
      </c>
      <c r="AA154" s="41"/>
      <c r="AB154" s="683" t="s">
        <v>2193</v>
      </c>
      <c r="AC154" s="307">
        <v>153.0</v>
      </c>
      <c r="AD154" s="79"/>
      <c r="AE154" s="690" t="s">
        <v>254</v>
      </c>
      <c r="AF154" s="307">
        <v>153.0</v>
      </c>
      <c r="AH154" s="687" t="s">
        <v>2646</v>
      </c>
      <c r="AI154" s="307">
        <v>153.0</v>
      </c>
      <c r="AK154" s="687" t="s">
        <v>2352</v>
      </c>
      <c r="AL154" s="307">
        <v>153.0</v>
      </c>
      <c r="AN154" s="687" t="s">
        <v>2653</v>
      </c>
      <c r="AO154" s="307">
        <v>153.0</v>
      </c>
      <c r="AQ154" s="687" t="s">
        <v>2664</v>
      </c>
      <c r="AR154" s="307">
        <v>153.0</v>
      </c>
      <c r="AT154" s="687" t="s">
        <v>262</v>
      </c>
      <c r="AU154" s="307">
        <v>153.0</v>
      </c>
      <c r="AW154" s="687" t="s">
        <v>262</v>
      </c>
      <c r="AX154" s="307">
        <v>153.0</v>
      </c>
      <c r="AZ154" s="687" t="s">
        <v>253</v>
      </c>
      <c r="BA154" s="307">
        <v>153.0</v>
      </c>
      <c r="BC154" s="691" t="s">
        <v>241</v>
      </c>
      <c r="BD154" s="307">
        <v>153.0</v>
      </c>
      <c r="BF154" s="687" t="s">
        <v>2666</v>
      </c>
      <c r="BG154" s="145">
        <v>153.0</v>
      </c>
      <c r="BI154" s="688" t="s">
        <v>1245</v>
      </c>
      <c r="BJ154" s="145">
        <v>153.0</v>
      </c>
      <c r="BL154" s="692" t="s">
        <v>255</v>
      </c>
      <c r="BM154" s="216">
        <v>153.0</v>
      </c>
    </row>
    <row r="155">
      <c r="A155" s="41" t="s">
        <v>2644</v>
      </c>
      <c r="B155" s="307">
        <v>154.0</v>
      </c>
      <c r="C155" s="41"/>
      <c r="D155" s="41" t="s">
        <v>2663</v>
      </c>
      <c r="E155" s="307">
        <v>154.0</v>
      </c>
      <c r="F155" s="41"/>
      <c r="G155" s="41" t="s">
        <v>2667</v>
      </c>
      <c r="H155" s="307">
        <v>154.0</v>
      </c>
      <c r="I155" s="41"/>
      <c r="J155" s="41" t="s">
        <v>2663</v>
      </c>
      <c r="K155" s="307">
        <v>154.0</v>
      </c>
      <c r="L155" s="41"/>
      <c r="M155" s="41" t="s">
        <v>2622</v>
      </c>
      <c r="N155" s="307">
        <v>154.0</v>
      </c>
      <c r="O155" s="41"/>
      <c r="P155" s="41" t="s">
        <v>85</v>
      </c>
      <c r="Q155" s="307">
        <v>154.0</v>
      </c>
      <c r="R155" s="41"/>
      <c r="S155" s="41" t="s">
        <v>2663</v>
      </c>
      <c r="T155" s="307">
        <v>154.0</v>
      </c>
      <c r="U155" s="41"/>
      <c r="V155" s="41" t="s">
        <v>259</v>
      </c>
      <c r="W155" s="307">
        <v>154.0</v>
      </c>
      <c r="X155" s="41"/>
      <c r="Y155" s="682" t="s">
        <v>259</v>
      </c>
      <c r="Z155" s="307">
        <v>154.0</v>
      </c>
      <c r="AA155" s="41"/>
      <c r="AB155" s="683" t="s">
        <v>254</v>
      </c>
      <c r="AC155" s="307">
        <v>154.0</v>
      </c>
      <c r="AD155" s="79"/>
      <c r="AE155" s="690" t="s">
        <v>824</v>
      </c>
      <c r="AF155" s="307">
        <v>154.0</v>
      </c>
      <c r="AH155" s="687" t="s">
        <v>841</v>
      </c>
      <c r="AI155" s="307">
        <v>154.0</v>
      </c>
      <c r="AK155" s="687" t="s">
        <v>1059</v>
      </c>
      <c r="AL155" s="307">
        <v>154.0</v>
      </c>
      <c r="AN155" s="687" t="s">
        <v>2282</v>
      </c>
      <c r="AO155" s="307">
        <v>154.0</v>
      </c>
      <c r="AQ155" s="687" t="s">
        <v>262</v>
      </c>
      <c r="AR155" s="307">
        <v>154.0</v>
      </c>
      <c r="AT155" s="687" t="s">
        <v>2303</v>
      </c>
      <c r="AU155" s="307">
        <v>154.0</v>
      </c>
      <c r="AW155" s="687" t="s">
        <v>2303</v>
      </c>
      <c r="AX155" s="307">
        <v>154.0</v>
      </c>
      <c r="AZ155" s="687" t="s">
        <v>217</v>
      </c>
      <c r="BA155" s="307">
        <v>154.0</v>
      </c>
      <c r="BC155" s="691" t="s">
        <v>2273</v>
      </c>
      <c r="BD155" s="307">
        <v>154.0</v>
      </c>
      <c r="BF155" s="687" t="s">
        <v>841</v>
      </c>
      <c r="BG155" s="145">
        <v>154.0</v>
      </c>
      <c r="BI155" s="688" t="s">
        <v>835</v>
      </c>
      <c r="BJ155" s="145">
        <v>154.0</v>
      </c>
      <c r="BL155" s="692" t="s">
        <v>2662</v>
      </c>
      <c r="BM155" s="216">
        <v>154.0</v>
      </c>
    </row>
    <row r="156">
      <c r="A156" s="41" t="s">
        <v>2617</v>
      </c>
      <c r="B156" s="307">
        <v>155.0</v>
      </c>
      <c r="C156" s="41"/>
      <c r="D156" s="41" t="s">
        <v>2363</v>
      </c>
      <c r="E156" s="307">
        <v>155.0</v>
      </c>
      <c r="F156" s="41"/>
      <c r="G156" s="41" t="s">
        <v>2270</v>
      </c>
      <c r="H156" s="307">
        <v>155.0</v>
      </c>
      <c r="I156" s="41"/>
      <c r="J156" s="41" t="s">
        <v>212</v>
      </c>
      <c r="K156" s="307">
        <v>155.0</v>
      </c>
      <c r="L156" s="41"/>
      <c r="M156" s="41" t="s">
        <v>2287</v>
      </c>
      <c r="N156" s="307">
        <v>155.0</v>
      </c>
      <c r="O156" s="41"/>
      <c r="P156" s="41" t="s">
        <v>75</v>
      </c>
      <c r="Q156" s="307">
        <v>155.0</v>
      </c>
      <c r="R156" s="41"/>
      <c r="S156" s="41" t="s">
        <v>1245</v>
      </c>
      <c r="T156" s="307">
        <v>155.0</v>
      </c>
      <c r="U156" s="41"/>
      <c r="V156" s="41" t="s">
        <v>2292</v>
      </c>
      <c r="W156" s="307">
        <v>155.0</v>
      </c>
      <c r="X156" s="41"/>
      <c r="Y156" s="682" t="s">
        <v>2292</v>
      </c>
      <c r="Z156" s="307">
        <v>155.0</v>
      </c>
      <c r="AA156" s="41"/>
      <c r="AB156" s="683" t="s">
        <v>2665</v>
      </c>
      <c r="AC156" s="307">
        <v>155.0</v>
      </c>
      <c r="AD156" s="79"/>
      <c r="AE156" s="690" t="s">
        <v>927</v>
      </c>
      <c r="AF156" s="307">
        <v>155.0</v>
      </c>
      <c r="AH156" s="687" t="s">
        <v>2650</v>
      </c>
      <c r="AI156" s="307">
        <v>155.0</v>
      </c>
      <c r="AK156" s="687" t="s">
        <v>2653</v>
      </c>
      <c r="AL156" s="307">
        <v>155.0</v>
      </c>
      <c r="AN156" s="687" t="s">
        <v>2636</v>
      </c>
      <c r="AO156" s="307">
        <v>155.0</v>
      </c>
      <c r="AQ156" s="687" t="s">
        <v>841</v>
      </c>
      <c r="AR156" s="307">
        <v>155.0</v>
      </c>
      <c r="AT156" s="687" t="s">
        <v>2655</v>
      </c>
      <c r="AU156" s="307">
        <v>155.0</v>
      </c>
      <c r="AW156" s="687" t="s">
        <v>2655</v>
      </c>
      <c r="AX156" s="307">
        <v>155.0</v>
      </c>
      <c r="AZ156" s="687" t="s">
        <v>824</v>
      </c>
      <c r="BA156" s="307">
        <v>155.0</v>
      </c>
      <c r="BC156" s="691" t="s">
        <v>922</v>
      </c>
      <c r="BD156" s="307">
        <v>155.0</v>
      </c>
      <c r="BF156" s="687" t="s">
        <v>2664</v>
      </c>
      <c r="BG156" s="145">
        <v>155.0</v>
      </c>
      <c r="BI156" s="688" t="s">
        <v>856</v>
      </c>
      <c r="BJ156" s="145">
        <v>155.0</v>
      </c>
      <c r="BL156" s="692" t="s">
        <v>2668</v>
      </c>
      <c r="BM156" s="216">
        <v>155.0</v>
      </c>
    </row>
    <row r="157">
      <c r="A157" s="41" t="s">
        <v>60</v>
      </c>
      <c r="B157" s="307">
        <v>156.0</v>
      </c>
      <c r="C157" s="41"/>
      <c r="D157" s="41" t="s">
        <v>2659</v>
      </c>
      <c r="E157" s="307">
        <v>156.0</v>
      </c>
      <c r="F157" s="41"/>
      <c r="G157" s="41" t="s">
        <v>2604</v>
      </c>
      <c r="H157" s="307">
        <v>156.0</v>
      </c>
      <c r="I157" s="41"/>
      <c r="J157" s="41" t="s">
        <v>854</v>
      </c>
      <c r="K157" s="307">
        <v>156.0</v>
      </c>
      <c r="L157" s="41"/>
      <c r="M157" s="41" t="s">
        <v>931</v>
      </c>
      <c r="N157" s="307">
        <v>156.0</v>
      </c>
      <c r="O157" s="41"/>
      <c r="P157" s="41" t="s">
        <v>2663</v>
      </c>
      <c r="Q157" s="307">
        <v>156.0</v>
      </c>
      <c r="R157" s="41"/>
      <c r="S157" s="41" t="s">
        <v>999</v>
      </c>
      <c r="T157" s="307">
        <v>156.0</v>
      </c>
      <c r="U157" s="41"/>
      <c r="V157" s="41" t="s">
        <v>2297</v>
      </c>
      <c r="W157" s="307">
        <v>156.0</v>
      </c>
      <c r="X157" s="41"/>
      <c r="Y157" s="682" t="s">
        <v>907</v>
      </c>
      <c r="Z157" s="307">
        <v>156.0</v>
      </c>
      <c r="AA157" s="41"/>
      <c r="AB157" s="683" t="s">
        <v>927</v>
      </c>
      <c r="AC157" s="307">
        <v>156.0</v>
      </c>
      <c r="AD157" s="79"/>
      <c r="AE157" s="690" t="s">
        <v>251</v>
      </c>
      <c r="AF157" s="307">
        <v>156.0</v>
      </c>
      <c r="AH157" s="687" t="s">
        <v>1059</v>
      </c>
      <c r="AI157" s="307">
        <v>156.0</v>
      </c>
      <c r="AK157" s="687" t="s">
        <v>2282</v>
      </c>
      <c r="AL157" s="307">
        <v>156.0</v>
      </c>
      <c r="AN157" s="687" t="s">
        <v>2664</v>
      </c>
      <c r="AO157" s="307">
        <v>156.0</v>
      </c>
      <c r="AQ157" s="687" t="s">
        <v>2303</v>
      </c>
      <c r="AR157" s="307">
        <v>156.0</v>
      </c>
      <c r="AT157" s="687" t="s">
        <v>253</v>
      </c>
      <c r="AU157" s="307">
        <v>156.0</v>
      </c>
      <c r="AW157" s="687" t="s">
        <v>253</v>
      </c>
      <c r="AX157" s="307">
        <v>156.0</v>
      </c>
      <c r="AZ157" s="687" t="s">
        <v>927</v>
      </c>
      <c r="BA157" s="307">
        <v>156.0</v>
      </c>
      <c r="BC157" s="691" t="s">
        <v>1245</v>
      </c>
      <c r="BD157" s="307">
        <v>156.0</v>
      </c>
      <c r="BF157" s="687" t="s">
        <v>1250</v>
      </c>
      <c r="BG157" s="145">
        <v>156.0</v>
      </c>
      <c r="BI157" s="688" t="s">
        <v>2640</v>
      </c>
      <c r="BJ157" s="145">
        <v>156.0</v>
      </c>
      <c r="BL157" s="692" t="s">
        <v>1245</v>
      </c>
      <c r="BM157" s="216">
        <v>156.0</v>
      </c>
    </row>
    <row r="158">
      <c r="A158" s="41" t="s">
        <v>2657</v>
      </c>
      <c r="B158" s="307">
        <v>157.0</v>
      </c>
      <c r="C158" s="41"/>
      <c r="D158" s="41" t="s">
        <v>2654</v>
      </c>
      <c r="E158" s="307">
        <v>157.0</v>
      </c>
      <c r="F158" s="41"/>
      <c r="G158" s="41" t="s">
        <v>999</v>
      </c>
      <c r="H158" s="307">
        <v>157.0</v>
      </c>
      <c r="I158" s="41"/>
      <c r="J158" s="41" t="s">
        <v>2287</v>
      </c>
      <c r="K158" s="307">
        <v>157.0</v>
      </c>
      <c r="L158" s="41"/>
      <c r="M158" s="41" t="s">
        <v>2371</v>
      </c>
      <c r="N158" s="307">
        <v>157.0</v>
      </c>
      <c r="O158" s="41"/>
      <c r="P158" s="41" t="s">
        <v>2643</v>
      </c>
      <c r="Q158" s="307">
        <v>157.0</v>
      </c>
      <c r="R158" s="41"/>
      <c r="S158" s="41" t="s">
        <v>2665</v>
      </c>
      <c r="T158" s="307">
        <v>157.0</v>
      </c>
      <c r="U158" s="41"/>
      <c r="V158" s="41" t="s">
        <v>2653</v>
      </c>
      <c r="W158" s="307">
        <v>157.0</v>
      </c>
      <c r="X158" s="41"/>
      <c r="Y158" s="682" t="s">
        <v>2653</v>
      </c>
      <c r="Z158" s="307">
        <v>157.0</v>
      </c>
      <c r="AA158" s="41"/>
      <c r="AB158" s="683" t="s">
        <v>251</v>
      </c>
      <c r="AC158" s="307">
        <v>157.0</v>
      </c>
      <c r="AD158" s="79"/>
      <c r="AE158" s="690" t="s">
        <v>71</v>
      </c>
      <c r="AF158" s="307">
        <v>157.0</v>
      </c>
      <c r="AH158" s="687" t="s">
        <v>235</v>
      </c>
      <c r="AI158" s="307">
        <v>157.0</v>
      </c>
      <c r="AK158" s="687" t="s">
        <v>2636</v>
      </c>
      <c r="AL158" s="307">
        <v>157.0</v>
      </c>
      <c r="AN158" s="687" t="s">
        <v>2657</v>
      </c>
      <c r="AO158" s="307">
        <v>157.0</v>
      </c>
      <c r="AQ158" s="687" t="s">
        <v>2655</v>
      </c>
      <c r="AR158" s="307">
        <v>157.0</v>
      </c>
      <c r="AT158" s="687" t="s">
        <v>217</v>
      </c>
      <c r="AU158" s="307">
        <v>157.0</v>
      </c>
      <c r="AW158" s="687" t="s">
        <v>217</v>
      </c>
      <c r="AX158" s="307">
        <v>157.0</v>
      </c>
      <c r="AZ158" s="687" t="s">
        <v>926</v>
      </c>
      <c r="BA158" s="307">
        <v>157.0</v>
      </c>
      <c r="BC158" s="691" t="s">
        <v>2666</v>
      </c>
      <c r="BD158" s="307">
        <v>157.0</v>
      </c>
      <c r="BF158" s="687" t="s">
        <v>223</v>
      </c>
      <c r="BG158" s="145">
        <v>157.0</v>
      </c>
      <c r="BI158" s="688" t="s">
        <v>260</v>
      </c>
      <c r="BJ158" s="145">
        <v>157.0</v>
      </c>
      <c r="BL158" s="692" t="s">
        <v>835</v>
      </c>
      <c r="BM158" s="216">
        <v>157.0</v>
      </c>
    </row>
    <row r="159">
      <c r="A159" s="41" t="s">
        <v>2397</v>
      </c>
      <c r="B159" s="307">
        <v>158.0</v>
      </c>
      <c r="C159" s="41"/>
      <c r="D159" s="41" t="s">
        <v>2669</v>
      </c>
      <c r="E159" s="307">
        <v>158.0</v>
      </c>
      <c r="F159" s="41"/>
      <c r="G159" s="41" t="s">
        <v>251</v>
      </c>
      <c r="H159" s="307">
        <v>158.0</v>
      </c>
      <c r="I159" s="41"/>
      <c r="J159" s="41" t="s">
        <v>931</v>
      </c>
      <c r="K159" s="307">
        <v>158.0</v>
      </c>
      <c r="L159" s="41"/>
      <c r="M159" s="41" t="s">
        <v>2363</v>
      </c>
      <c r="N159" s="307">
        <v>158.0</v>
      </c>
      <c r="O159" s="41"/>
      <c r="P159" s="41" t="s">
        <v>261</v>
      </c>
      <c r="Q159" s="307">
        <v>158.0</v>
      </c>
      <c r="R159" s="41"/>
      <c r="S159" s="41" t="s">
        <v>259</v>
      </c>
      <c r="T159" s="307">
        <v>158.0</v>
      </c>
      <c r="U159" s="41"/>
      <c r="V159" s="41" t="s">
        <v>71</v>
      </c>
      <c r="W159" s="307">
        <v>158.0</v>
      </c>
      <c r="X159" s="41"/>
      <c r="Y159" s="682" t="s">
        <v>71</v>
      </c>
      <c r="Z159" s="307">
        <v>158.0</v>
      </c>
      <c r="AA159" s="41"/>
      <c r="AB159" s="683" t="s">
        <v>71</v>
      </c>
      <c r="AC159" s="307">
        <v>158.0</v>
      </c>
      <c r="AD159" s="79"/>
      <c r="AE159" s="690" t="s">
        <v>259</v>
      </c>
      <c r="AF159" s="307">
        <v>158.0</v>
      </c>
      <c r="AH159" s="687" t="s">
        <v>2664</v>
      </c>
      <c r="AI159" s="307">
        <v>158.0</v>
      </c>
      <c r="AK159" s="687" t="s">
        <v>2664</v>
      </c>
      <c r="AL159" s="307">
        <v>158.0</v>
      </c>
      <c r="AN159" s="687" t="s">
        <v>262</v>
      </c>
      <c r="AO159" s="307">
        <v>158.0</v>
      </c>
      <c r="AQ159" s="687" t="s">
        <v>217</v>
      </c>
      <c r="AR159" s="307">
        <v>158.0</v>
      </c>
      <c r="AT159" s="687" t="s">
        <v>824</v>
      </c>
      <c r="AU159" s="307">
        <v>158.0</v>
      </c>
      <c r="AW159" s="687" t="s">
        <v>824</v>
      </c>
      <c r="AX159" s="307">
        <v>158.0</v>
      </c>
      <c r="AZ159" s="687" t="s">
        <v>259</v>
      </c>
      <c r="BA159" s="307">
        <v>158.0</v>
      </c>
      <c r="BC159" s="691" t="s">
        <v>2664</v>
      </c>
      <c r="BD159" s="307">
        <v>158.0</v>
      </c>
      <c r="BF159" s="687" t="s">
        <v>2662</v>
      </c>
      <c r="BG159" s="145">
        <v>158.0</v>
      </c>
      <c r="BI159" s="688" t="s">
        <v>236</v>
      </c>
      <c r="BJ159" s="145">
        <v>158.0</v>
      </c>
      <c r="BL159" s="692" t="s">
        <v>2650</v>
      </c>
      <c r="BM159" s="216">
        <v>158.0</v>
      </c>
    </row>
    <row r="160">
      <c r="A160" s="41" t="s">
        <v>2637</v>
      </c>
      <c r="B160" s="307">
        <v>159.0</v>
      </c>
      <c r="C160" s="41"/>
      <c r="D160" s="41" t="s">
        <v>2270</v>
      </c>
      <c r="E160" s="307">
        <v>159.0</v>
      </c>
      <c r="F160" s="41"/>
      <c r="G160" s="41" t="s">
        <v>2640</v>
      </c>
      <c r="H160" s="307">
        <v>159.0</v>
      </c>
      <c r="I160" s="41"/>
      <c r="J160" s="41" t="s">
        <v>2371</v>
      </c>
      <c r="K160" s="307">
        <v>159.0</v>
      </c>
      <c r="L160" s="41"/>
      <c r="M160" s="41" t="s">
        <v>251</v>
      </c>
      <c r="N160" s="307">
        <v>159.0</v>
      </c>
      <c r="O160" s="41"/>
      <c r="P160" s="41" t="s">
        <v>999</v>
      </c>
      <c r="Q160" s="307">
        <v>159.0</v>
      </c>
      <c r="R160" s="41"/>
      <c r="S160" s="41" t="s">
        <v>841</v>
      </c>
      <c r="T160" s="307">
        <v>159.0</v>
      </c>
      <c r="U160" s="41"/>
      <c r="V160" s="41" t="s">
        <v>2636</v>
      </c>
      <c r="W160" s="307">
        <v>159.0</v>
      </c>
      <c r="X160" s="41"/>
      <c r="Y160" s="682" t="s">
        <v>2636</v>
      </c>
      <c r="Z160" s="307">
        <v>159.0</v>
      </c>
      <c r="AA160" s="41"/>
      <c r="AB160" s="683" t="s">
        <v>259</v>
      </c>
      <c r="AC160" s="307">
        <v>159.0</v>
      </c>
      <c r="AD160" s="79"/>
      <c r="AE160" s="690" t="s">
        <v>2657</v>
      </c>
      <c r="AF160" s="307">
        <v>159.0</v>
      </c>
      <c r="AH160" s="687" t="s">
        <v>2657</v>
      </c>
      <c r="AI160" s="307">
        <v>159.0</v>
      </c>
      <c r="AK160" s="687" t="s">
        <v>2657</v>
      </c>
      <c r="AL160" s="307">
        <v>159.0</v>
      </c>
      <c r="AN160" s="687" t="s">
        <v>841</v>
      </c>
      <c r="AO160" s="307">
        <v>159.0</v>
      </c>
      <c r="AQ160" s="687" t="s">
        <v>824</v>
      </c>
      <c r="AR160" s="307">
        <v>159.0</v>
      </c>
      <c r="AT160" s="687" t="s">
        <v>926</v>
      </c>
      <c r="AU160" s="307">
        <v>159.0</v>
      </c>
      <c r="AW160" s="687" t="s">
        <v>927</v>
      </c>
      <c r="AX160" s="307">
        <v>159.0</v>
      </c>
      <c r="AZ160" s="687" t="s">
        <v>2651</v>
      </c>
      <c r="BA160" s="307">
        <v>159.0</v>
      </c>
      <c r="BC160" s="691" t="s">
        <v>1250</v>
      </c>
      <c r="BD160" s="307">
        <v>159.0</v>
      </c>
      <c r="BF160" s="687" t="s">
        <v>262</v>
      </c>
      <c r="BG160" s="145">
        <v>159.0</v>
      </c>
      <c r="BI160" s="688" t="s">
        <v>254</v>
      </c>
      <c r="BJ160" s="145">
        <v>159.0</v>
      </c>
      <c r="BL160" s="692" t="s">
        <v>2206</v>
      </c>
      <c r="BM160" s="216">
        <v>159.0</v>
      </c>
    </row>
    <row r="161">
      <c r="A161" s="41" t="s">
        <v>2178</v>
      </c>
      <c r="B161" s="307">
        <v>160.0</v>
      </c>
      <c r="C161" s="41"/>
      <c r="D161" s="41" t="s">
        <v>999</v>
      </c>
      <c r="E161" s="307">
        <v>160.0</v>
      </c>
      <c r="F161" s="41"/>
      <c r="G161" s="41" t="s">
        <v>252</v>
      </c>
      <c r="H161" s="307">
        <v>160.0</v>
      </c>
      <c r="I161" s="41"/>
      <c r="J161" s="41" t="s">
        <v>2363</v>
      </c>
      <c r="K161" s="307">
        <v>160.0</v>
      </c>
      <c r="L161" s="41"/>
      <c r="M161" s="41" t="s">
        <v>2133</v>
      </c>
      <c r="N161" s="307">
        <v>160.0</v>
      </c>
      <c r="O161" s="41"/>
      <c r="P161" s="41" t="s">
        <v>259</v>
      </c>
      <c r="Q161" s="307">
        <v>160.0</v>
      </c>
      <c r="R161" s="41"/>
      <c r="S161" s="41" t="s">
        <v>2292</v>
      </c>
      <c r="T161" s="307">
        <v>160.0</v>
      </c>
      <c r="U161" s="41"/>
      <c r="V161" s="41" t="s">
        <v>2420</v>
      </c>
      <c r="W161" s="307">
        <v>160.0</v>
      </c>
      <c r="X161" s="41"/>
      <c r="Y161" s="682" t="s">
        <v>2657</v>
      </c>
      <c r="Z161" s="307">
        <v>160.0</v>
      </c>
      <c r="AA161" s="41"/>
      <c r="AB161" s="683" t="s">
        <v>2657</v>
      </c>
      <c r="AC161" s="307">
        <v>160.0</v>
      </c>
      <c r="AD161" s="79"/>
      <c r="AE161" s="690" t="s">
        <v>262</v>
      </c>
      <c r="AF161" s="307">
        <v>160.0</v>
      </c>
      <c r="AH161" s="687" t="s">
        <v>2653</v>
      </c>
      <c r="AI161" s="307">
        <v>160.0</v>
      </c>
      <c r="AK161" s="687" t="s">
        <v>262</v>
      </c>
      <c r="AL161" s="307">
        <v>160.0</v>
      </c>
      <c r="AN161" s="687" t="s">
        <v>1080</v>
      </c>
      <c r="AO161" s="307">
        <v>160.0</v>
      </c>
      <c r="AQ161" s="687" t="s">
        <v>259</v>
      </c>
      <c r="AR161" s="307">
        <v>160.0</v>
      </c>
      <c r="AT161" s="687" t="s">
        <v>259</v>
      </c>
      <c r="AU161" s="307">
        <v>160.0</v>
      </c>
      <c r="AW161" s="687" t="s">
        <v>926</v>
      </c>
      <c r="AX161" s="307">
        <v>160.0</v>
      </c>
      <c r="AZ161" s="687" t="s">
        <v>241</v>
      </c>
      <c r="BA161" s="307">
        <v>160.0</v>
      </c>
      <c r="BC161" s="691" t="s">
        <v>223</v>
      </c>
      <c r="BD161" s="307">
        <v>160.0</v>
      </c>
      <c r="BF161" s="687" t="s">
        <v>1005</v>
      </c>
      <c r="BG161" s="145">
        <v>160.0</v>
      </c>
      <c r="BI161" s="688" t="s">
        <v>906</v>
      </c>
      <c r="BJ161" s="145">
        <v>160.0</v>
      </c>
      <c r="BL161" s="692" t="s">
        <v>254</v>
      </c>
      <c r="BM161" s="216">
        <v>160.0</v>
      </c>
    </row>
    <row r="162">
      <c r="A162" s="41" t="s">
        <v>2670</v>
      </c>
      <c r="B162" s="307">
        <v>161.0</v>
      </c>
      <c r="C162" s="41"/>
      <c r="D162" s="41" t="s">
        <v>2657</v>
      </c>
      <c r="E162" s="307">
        <v>161.0</v>
      </c>
      <c r="F162" s="41"/>
      <c r="G162" s="41" t="s">
        <v>2670</v>
      </c>
      <c r="H162" s="307">
        <v>161.0</v>
      </c>
      <c r="I162" s="41"/>
      <c r="J162" s="41" t="s">
        <v>251</v>
      </c>
      <c r="K162" s="307">
        <v>161.0</v>
      </c>
      <c r="L162" s="41"/>
      <c r="M162" s="41" t="s">
        <v>2260</v>
      </c>
      <c r="N162" s="307">
        <v>161.0</v>
      </c>
      <c r="O162" s="41"/>
      <c r="P162" s="41" t="s">
        <v>841</v>
      </c>
      <c r="Q162" s="307">
        <v>161.0</v>
      </c>
      <c r="R162" s="41"/>
      <c r="S162" s="41" t="s">
        <v>2297</v>
      </c>
      <c r="T162" s="307">
        <v>161.0</v>
      </c>
      <c r="U162" s="41"/>
      <c r="V162" s="41" t="s">
        <v>2382</v>
      </c>
      <c r="W162" s="307">
        <v>161.0</v>
      </c>
      <c r="X162" s="41"/>
      <c r="Y162" s="682" t="s">
        <v>2420</v>
      </c>
      <c r="Z162" s="307">
        <v>161.0</v>
      </c>
      <c r="AA162" s="41"/>
      <c r="AB162" s="683" t="s">
        <v>262</v>
      </c>
      <c r="AC162" s="307">
        <v>161.0</v>
      </c>
      <c r="AD162" s="79"/>
      <c r="AE162" s="690" t="s">
        <v>2352</v>
      </c>
      <c r="AF162" s="307">
        <v>161.0</v>
      </c>
      <c r="AH162" s="687" t="s">
        <v>2614</v>
      </c>
      <c r="AI162" s="307">
        <v>161.0</v>
      </c>
      <c r="AK162" s="687" t="s">
        <v>841</v>
      </c>
      <c r="AL162" s="307">
        <v>161.0</v>
      </c>
      <c r="AN162" s="687" t="s">
        <v>2303</v>
      </c>
      <c r="AO162" s="307">
        <v>161.0</v>
      </c>
      <c r="AQ162" s="687" t="s">
        <v>2651</v>
      </c>
      <c r="AR162" s="307">
        <v>161.0</v>
      </c>
      <c r="AT162" s="687" t="s">
        <v>2651</v>
      </c>
      <c r="AU162" s="307">
        <v>161.0</v>
      </c>
      <c r="AW162" s="687" t="s">
        <v>259</v>
      </c>
      <c r="AX162" s="307">
        <v>161.0</v>
      </c>
      <c r="AZ162" s="687" t="s">
        <v>2273</v>
      </c>
      <c r="BA162" s="307">
        <v>161.0</v>
      </c>
      <c r="BC162" s="691" t="s">
        <v>2662</v>
      </c>
      <c r="BD162" s="307">
        <v>161.0</v>
      </c>
      <c r="BF162" s="687" t="s">
        <v>1059</v>
      </c>
      <c r="BG162" s="145">
        <v>161.0</v>
      </c>
      <c r="BI162" s="688" t="s">
        <v>262</v>
      </c>
      <c r="BJ162" s="145">
        <v>161.0</v>
      </c>
      <c r="BL162" s="692" t="s">
        <v>906</v>
      </c>
      <c r="BM162" s="216">
        <v>161.0</v>
      </c>
    </row>
    <row r="163">
      <c r="A163" s="41" t="s">
        <v>2589</v>
      </c>
      <c r="B163" s="307">
        <v>162.0</v>
      </c>
      <c r="C163" s="41"/>
      <c r="D163" s="41" t="s">
        <v>251</v>
      </c>
      <c r="E163" s="307">
        <v>162.0</v>
      </c>
      <c r="F163" s="41"/>
      <c r="G163" s="41" t="s">
        <v>2289</v>
      </c>
      <c r="H163" s="307">
        <v>162.0</v>
      </c>
      <c r="I163" s="41"/>
      <c r="J163" s="41" t="s">
        <v>2133</v>
      </c>
      <c r="K163" s="307">
        <v>162.0</v>
      </c>
      <c r="L163" s="41"/>
      <c r="M163" s="41" t="s">
        <v>85</v>
      </c>
      <c r="N163" s="307">
        <v>162.0</v>
      </c>
      <c r="O163" s="41"/>
      <c r="P163" s="41" t="s">
        <v>2193</v>
      </c>
      <c r="Q163" s="307">
        <v>162.0</v>
      </c>
      <c r="R163" s="41"/>
      <c r="S163" s="41" t="s">
        <v>2182</v>
      </c>
      <c r="T163" s="307">
        <v>162.0</v>
      </c>
      <c r="U163" s="41"/>
      <c r="V163" s="41" t="s">
        <v>260</v>
      </c>
      <c r="W163" s="307">
        <v>162.0</v>
      </c>
      <c r="X163" s="41"/>
      <c r="Y163" s="682" t="s">
        <v>2382</v>
      </c>
      <c r="Z163" s="307">
        <v>162.0</v>
      </c>
      <c r="AA163" s="41"/>
      <c r="AB163" s="683" t="s">
        <v>2352</v>
      </c>
      <c r="AC163" s="307">
        <v>162.0</v>
      </c>
      <c r="AD163" s="79"/>
      <c r="AE163" s="690" t="s">
        <v>2659</v>
      </c>
      <c r="AF163" s="307">
        <v>162.0</v>
      </c>
      <c r="AH163" s="687" t="s">
        <v>2282</v>
      </c>
      <c r="AI163" s="307">
        <v>162.0</v>
      </c>
      <c r="AK163" s="687" t="s">
        <v>270</v>
      </c>
      <c r="AL163" s="307">
        <v>162.0</v>
      </c>
      <c r="AN163" s="687" t="s">
        <v>2655</v>
      </c>
      <c r="AO163" s="307">
        <v>162.0</v>
      </c>
      <c r="AQ163" s="687" t="s">
        <v>2273</v>
      </c>
      <c r="AR163" s="307">
        <v>162.0</v>
      </c>
      <c r="AT163" s="687" t="s">
        <v>2273</v>
      </c>
      <c r="AU163" s="307">
        <v>162.0</v>
      </c>
      <c r="AW163" s="687" t="s">
        <v>2651</v>
      </c>
      <c r="AX163" s="307">
        <v>162.0</v>
      </c>
      <c r="AZ163" s="687" t="s">
        <v>2289</v>
      </c>
      <c r="BA163" s="307">
        <v>162.0</v>
      </c>
      <c r="BC163" s="691" t="s">
        <v>262</v>
      </c>
      <c r="BD163" s="307">
        <v>162.0</v>
      </c>
      <c r="BF163" s="687" t="s">
        <v>253</v>
      </c>
      <c r="BG163" s="145">
        <v>162.0</v>
      </c>
      <c r="BI163" s="688" t="s">
        <v>1005</v>
      </c>
      <c r="BJ163" s="145">
        <v>162.0</v>
      </c>
      <c r="BL163" s="692" t="s">
        <v>2671</v>
      </c>
      <c r="BM163" s="216">
        <v>162.0</v>
      </c>
    </row>
    <row r="164">
      <c r="A164" s="41" t="s">
        <v>2363</v>
      </c>
      <c r="B164" s="307">
        <v>163.0</v>
      </c>
      <c r="C164" s="41"/>
      <c r="D164" s="41" t="s">
        <v>2670</v>
      </c>
      <c r="E164" s="307">
        <v>163.0</v>
      </c>
      <c r="F164" s="41"/>
      <c r="G164" s="41" t="s">
        <v>854</v>
      </c>
      <c r="H164" s="307">
        <v>163.0</v>
      </c>
      <c r="I164" s="41"/>
      <c r="J164" s="41" t="s">
        <v>1122</v>
      </c>
      <c r="K164" s="307">
        <v>163.0</v>
      </c>
      <c r="L164" s="41"/>
      <c r="M164" s="41" t="s">
        <v>2375</v>
      </c>
      <c r="N164" s="307">
        <v>163.0</v>
      </c>
      <c r="O164" s="41"/>
      <c r="P164" s="41" t="s">
        <v>2297</v>
      </c>
      <c r="Q164" s="307">
        <v>163.0</v>
      </c>
      <c r="R164" s="41"/>
      <c r="S164" s="41" t="s">
        <v>254</v>
      </c>
      <c r="T164" s="307">
        <v>163.0</v>
      </c>
      <c r="U164" s="41"/>
      <c r="V164" s="41" t="s">
        <v>1245</v>
      </c>
      <c r="W164" s="307">
        <v>163.0</v>
      </c>
      <c r="X164" s="41"/>
      <c r="Y164" s="682" t="s">
        <v>262</v>
      </c>
      <c r="Z164" s="307">
        <v>163.0</v>
      </c>
      <c r="AA164" s="41"/>
      <c r="AB164" s="683" t="s">
        <v>2659</v>
      </c>
      <c r="AC164" s="307">
        <v>163.0</v>
      </c>
      <c r="AD164" s="79"/>
      <c r="AE164" s="690" t="s">
        <v>1059</v>
      </c>
      <c r="AF164" s="307">
        <v>163.0</v>
      </c>
      <c r="AH164" s="687" t="s">
        <v>2324</v>
      </c>
      <c r="AI164" s="307">
        <v>163.0</v>
      </c>
      <c r="AK164" s="687" t="s">
        <v>910</v>
      </c>
      <c r="AL164" s="307">
        <v>163.0</v>
      </c>
      <c r="AN164" s="687" t="s">
        <v>217</v>
      </c>
      <c r="AO164" s="307">
        <v>163.0</v>
      </c>
      <c r="AQ164" s="687" t="s">
        <v>1245</v>
      </c>
      <c r="AR164" s="307">
        <v>163.0</v>
      </c>
      <c r="AT164" s="687" t="s">
        <v>1245</v>
      </c>
      <c r="AU164" s="307">
        <v>163.0</v>
      </c>
      <c r="AW164" s="687" t="s">
        <v>2273</v>
      </c>
      <c r="AX164" s="307">
        <v>163.0</v>
      </c>
      <c r="AZ164" s="687" t="s">
        <v>262</v>
      </c>
      <c r="BA164" s="307">
        <v>163.0</v>
      </c>
      <c r="BC164" s="691" t="s">
        <v>1005</v>
      </c>
      <c r="BD164" s="307">
        <v>163.0</v>
      </c>
      <c r="BF164" s="687" t="s">
        <v>2250</v>
      </c>
      <c r="BG164" s="145">
        <v>163.0</v>
      </c>
      <c r="BI164" s="688" t="s">
        <v>217</v>
      </c>
      <c r="BJ164" s="145">
        <v>163.0</v>
      </c>
      <c r="BL164" s="692" t="s">
        <v>262</v>
      </c>
      <c r="BM164" s="216">
        <v>163.0</v>
      </c>
    </row>
    <row r="165">
      <c r="A165" s="41" t="s">
        <v>2591</v>
      </c>
      <c r="B165" s="307">
        <v>164.0</v>
      </c>
      <c r="C165" s="41"/>
      <c r="D165" s="41" t="s">
        <v>1059</v>
      </c>
      <c r="E165" s="307">
        <v>164.0</v>
      </c>
      <c r="F165" s="41"/>
      <c r="G165" s="41" t="s">
        <v>2198</v>
      </c>
      <c r="H165" s="307">
        <v>164.0</v>
      </c>
      <c r="I165" s="41"/>
      <c r="J165" s="41" t="s">
        <v>2260</v>
      </c>
      <c r="K165" s="307">
        <v>164.0</v>
      </c>
      <c r="L165" s="41"/>
      <c r="M165" s="41" t="s">
        <v>75</v>
      </c>
      <c r="N165" s="307">
        <v>164.0</v>
      </c>
      <c r="O165" s="41"/>
      <c r="P165" s="41" t="s">
        <v>2182</v>
      </c>
      <c r="Q165" s="307">
        <v>164.0</v>
      </c>
      <c r="R165" s="41"/>
      <c r="S165" s="41" t="s">
        <v>71</v>
      </c>
      <c r="T165" s="307">
        <v>164.0</v>
      </c>
      <c r="U165" s="41"/>
      <c r="V165" s="41" t="s">
        <v>907</v>
      </c>
      <c r="W165" s="307">
        <v>164.0</v>
      </c>
      <c r="X165" s="41"/>
      <c r="Y165" s="682" t="s">
        <v>260</v>
      </c>
      <c r="Z165" s="307">
        <v>164.0</v>
      </c>
      <c r="AA165" s="41"/>
      <c r="AB165" s="683" t="s">
        <v>1059</v>
      </c>
      <c r="AC165" s="307">
        <v>164.0</v>
      </c>
      <c r="AD165" s="79"/>
      <c r="AE165" s="690" t="s">
        <v>2664</v>
      </c>
      <c r="AF165" s="307">
        <v>164.0</v>
      </c>
      <c r="AH165" s="687" t="s">
        <v>824</v>
      </c>
      <c r="AI165" s="307">
        <v>164.0</v>
      </c>
      <c r="AK165" s="687" t="s">
        <v>1080</v>
      </c>
      <c r="AL165" s="307">
        <v>164.0</v>
      </c>
      <c r="AN165" s="687" t="s">
        <v>824</v>
      </c>
      <c r="AO165" s="307">
        <v>164.0</v>
      </c>
      <c r="AQ165" s="687" t="s">
        <v>1240</v>
      </c>
      <c r="AR165" s="307">
        <v>164.0</v>
      </c>
      <c r="AT165" s="687" t="s">
        <v>2666</v>
      </c>
      <c r="AU165" s="307">
        <v>164.0</v>
      </c>
      <c r="AW165" s="687" t="s">
        <v>1245</v>
      </c>
      <c r="AX165" s="307">
        <v>164.0</v>
      </c>
      <c r="AZ165" s="687" t="s">
        <v>1245</v>
      </c>
      <c r="BA165" s="307">
        <v>164.0</v>
      </c>
      <c r="BC165" s="691" t="s">
        <v>817</v>
      </c>
      <c r="BD165" s="307">
        <v>164.0</v>
      </c>
      <c r="BF165" s="687" t="s">
        <v>2646</v>
      </c>
      <c r="BG165" s="145">
        <v>164.0</v>
      </c>
      <c r="BI165" s="688" t="s">
        <v>2309</v>
      </c>
      <c r="BJ165" s="145">
        <v>164.0</v>
      </c>
      <c r="BL165" s="692" t="s">
        <v>1005</v>
      </c>
      <c r="BM165" s="216">
        <v>164.0</v>
      </c>
    </row>
    <row r="166">
      <c r="A166" s="41" t="s">
        <v>2669</v>
      </c>
      <c r="B166" s="307">
        <v>165.0</v>
      </c>
      <c r="C166" s="41"/>
      <c r="D166" s="41" t="s">
        <v>75</v>
      </c>
      <c r="E166" s="307">
        <v>165.0</v>
      </c>
      <c r="F166" s="41"/>
      <c r="G166" s="41" t="s">
        <v>1245</v>
      </c>
      <c r="H166" s="307">
        <v>165.0</v>
      </c>
      <c r="I166" s="41"/>
      <c r="J166" s="41" t="s">
        <v>85</v>
      </c>
      <c r="K166" s="307">
        <v>165.0</v>
      </c>
      <c r="L166" s="41"/>
      <c r="M166" s="41" t="s">
        <v>261</v>
      </c>
      <c r="N166" s="307">
        <v>165.0</v>
      </c>
      <c r="O166" s="41"/>
      <c r="P166" s="41" t="s">
        <v>254</v>
      </c>
      <c r="Q166" s="307">
        <v>165.0</v>
      </c>
      <c r="R166" s="41"/>
      <c r="S166" s="41" t="s">
        <v>2657</v>
      </c>
      <c r="T166" s="307">
        <v>165.0</v>
      </c>
      <c r="U166" s="41"/>
      <c r="V166" s="41" t="s">
        <v>2648</v>
      </c>
      <c r="W166" s="307">
        <v>165.0</v>
      </c>
      <c r="X166" s="41"/>
      <c r="Y166" s="682" t="s">
        <v>2659</v>
      </c>
      <c r="Z166" s="307">
        <v>165.0</v>
      </c>
      <c r="AA166" s="41"/>
      <c r="AB166" s="683" t="s">
        <v>2664</v>
      </c>
      <c r="AC166" s="307">
        <v>165.0</v>
      </c>
      <c r="AD166" s="79"/>
      <c r="AE166" s="690" t="s">
        <v>2282</v>
      </c>
      <c r="AF166" s="307">
        <v>165.0</v>
      </c>
      <c r="AH166" s="687" t="s">
        <v>2636</v>
      </c>
      <c r="AI166" s="307">
        <v>165.0</v>
      </c>
      <c r="AK166" s="687" t="s">
        <v>2303</v>
      </c>
      <c r="AL166" s="307">
        <v>165.0</v>
      </c>
      <c r="AN166" s="687" t="s">
        <v>259</v>
      </c>
      <c r="AO166" s="307">
        <v>165.0</v>
      </c>
      <c r="AQ166" s="687" t="s">
        <v>2666</v>
      </c>
      <c r="AR166" s="307">
        <v>165.0</v>
      </c>
      <c r="AT166" s="687" t="s">
        <v>223</v>
      </c>
      <c r="AU166" s="307">
        <v>165.0</v>
      </c>
      <c r="AW166" s="687" t="s">
        <v>2666</v>
      </c>
      <c r="AX166" s="307">
        <v>165.0</v>
      </c>
      <c r="AZ166" s="687" t="s">
        <v>2666</v>
      </c>
      <c r="BA166" s="307">
        <v>165.0</v>
      </c>
      <c r="BC166" s="691" t="s">
        <v>251</v>
      </c>
      <c r="BD166" s="307">
        <v>165.0</v>
      </c>
      <c r="BF166" s="687" t="s">
        <v>2449</v>
      </c>
      <c r="BG166" s="145">
        <v>165.0</v>
      </c>
      <c r="BI166" s="688" t="s">
        <v>2250</v>
      </c>
      <c r="BJ166" s="145">
        <v>165.0</v>
      </c>
      <c r="BL166" s="692" t="s">
        <v>2250</v>
      </c>
      <c r="BM166" s="216">
        <v>165.0</v>
      </c>
    </row>
    <row r="167">
      <c r="A167" s="41" t="s">
        <v>2615</v>
      </c>
      <c r="B167" s="307">
        <v>166.0</v>
      </c>
      <c r="C167" s="41"/>
      <c r="D167" s="41" t="s">
        <v>2672</v>
      </c>
      <c r="E167" s="307">
        <v>166.0</v>
      </c>
      <c r="F167" s="41"/>
      <c r="G167" s="41" t="s">
        <v>2090</v>
      </c>
      <c r="H167" s="307">
        <v>166.0</v>
      </c>
      <c r="I167" s="41"/>
      <c r="J167" s="41" t="s">
        <v>2673</v>
      </c>
      <c r="K167" s="307">
        <v>166.0</v>
      </c>
      <c r="L167" s="41"/>
      <c r="M167" s="41" t="s">
        <v>999</v>
      </c>
      <c r="N167" s="307">
        <v>166.0</v>
      </c>
      <c r="O167" s="41"/>
      <c r="P167" s="41" t="s">
        <v>71</v>
      </c>
      <c r="Q167" s="307">
        <v>166.0</v>
      </c>
      <c r="R167" s="41"/>
      <c r="S167" s="41" t="s">
        <v>2303</v>
      </c>
      <c r="T167" s="307">
        <v>166.0</v>
      </c>
      <c r="U167" s="41"/>
      <c r="V167" s="41" t="s">
        <v>1059</v>
      </c>
      <c r="W167" s="307">
        <v>166.0</v>
      </c>
      <c r="X167" s="41"/>
      <c r="Y167" s="682" t="s">
        <v>2648</v>
      </c>
      <c r="Z167" s="307">
        <v>166.0</v>
      </c>
      <c r="AA167" s="41"/>
      <c r="AB167" s="683" t="s">
        <v>2282</v>
      </c>
      <c r="AC167" s="307">
        <v>166.0</v>
      </c>
      <c r="AD167" s="79"/>
      <c r="AE167" s="690" t="s">
        <v>2296</v>
      </c>
      <c r="AF167" s="307">
        <v>166.0</v>
      </c>
      <c r="AH167" s="687" t="s">
        <v>852</v>
      </c>
      <c r="AI167" s="307">
        <v>166.0</v>
      </c>
      <c r="AK167" s="687" t="s">
        <v>2655</v>
      </c>
      <c r="AL167" s="307">
        <v>166.0</v>
      </c>
      <c r="AN167" s="687" t="s">
        <v>2651</v>
      </c>
      <c r="AO167" s="307">
        <v>166.0</v>
      </c>
      <c r="AQ167" s="687" t="s">
        <v>223</v>
      </c>
      <c r="AR167" s="307">
        <v>166.0</v>
      </c>
      <c r="AT167" s="687" t="s">
        <v>815</v>
      </c>
      <c r="AU167" s="307">
        <v>166.0</v>
      </c>
      <c r="AW167" s="687" t="s">
        <v>1240</v>
      </c>
      <c r="AX167" s="307">
        <v>166.0</v>
      </c>
      <c r="AZ167" s="687" t="s">
        <v>2664</v>
      </c>
      <c r="BA167" s="307">
        <v>166.0</v>
      </c>
      <c r="BC167" s="691" t="s">
        <v>2250</v>
      </c>
      <c r="BD167" s="307">
        <v>166.0</v>
      </c>
      <c r="BF167" s="687" t="s">
        <v>929</v>
      </c>
      <c r="BG167" s="145">
        <v>166.0</v>
      </c>
      <c r="BI167" s="688" t="s">
        <v>2646</v>
      </c>
      <c r="BJ167" s="145">
        <v>166.0</v>
      </c>
      <c r="BL167" s="692" t="s">
        <v>2646</v>
      </c>
      <c r="BM167" s="216">
        <v>166.0</v>
      </c>
    </row>
    <row r="168">
      <c r="A168" s="41" t="s">
        <v>268</v>
      </c>
      <c r="B168" s="307">
        <v>167.0</v>
      </c>
      <c r="C168" s="41"/>
      <c r="D168" s="41" t="s">
        <v>2640</v>
      </c>
      <c r="E168" s="307">
        <v>167.0</v>
      </c>
      <c r="F168" s="41"/>
      <c r="G168" s="41" t="s">
        <v>2340</v>
      </c>
      <c r="H168" s="307">
        <v>167.0</v>
      </c>
      <c r="I168" s="41"/>
      <c r="J168" s="41" t="s">
        <v>75</v>
      </c>
      <c r="K168" s="307">
        <v>167.0</v>
      </c>
      <c r="L168" s="41"/>
      <c r="M168" s="41" t="s">
        <v>259</v>
      </c>
      <c r="N168" s="307">
        <v>167.0</v>
      </c>
      <c r="O168" s="41"/>
      <c r="P168" s="41" t="s">
        <v>2657</v>
      </c>
      <c r="Q168" s="307">
        <v>167.0</v>
      </c>
      <c r="R168" s="41"/>
      <c r="S168" s="41" t="s">
        <v>260</v>
      </c>
      <c r="T168" s="307">
        <v>167.0</v>
      </c>
      <c r="U168" s="41"/>
      <c r="V168" s="41" t="s">
        <v>2282</v>
      </c>
      <c r="W168" s="307">
        <v>167.0</v>
      </c>
      <c r="X168" s="41"/>
      <c r="Y168" s="682" t="s">
        <v>1059</v>
      </c>
      <c r="Z168" s="307">
        <v>167.0</v>
      </c>
      <c r="AA168" s="41"/>
      <c r="AB168" s="683" t="s">
        <v>2296</v>
      </c>
      <c r="AC168" s="307">
        <v>167.0</v>
      </c>
      <c r="AD168" s="79"/>
      <c r="AE168" s="690" t="s">
        <v>2636</v>
      </c>
      <c r="AF168" s="307">
        <v>167.0</v>
      </c>
      <c r="AH168" s="687" t="s">
        <v>2662</v>
      </c>
      <c r="AI168" s="307">
        <v>167.0</v>
      </c>
      <c r="AK168" s="687" t="s">
        <v>2614</v>
      </c>
      <c r="AL168" s="307">
        <v>167.0</v>
      </c>
      <c r="AN168" s="687" t="s">
        <v>2273</v>
      </c>
      <c r="AO168" s="307">
        <v>167.0</v>
      </c>
      <c r="AQ168" s="687" t="s">
        <v>815</v>
      </c>
      <c r="AR168" s="307">
        <v>167.0</v>
      </c>
      <c r="AT168" s="687" t="s">
        <v>2662</v>
      </c>
      <c r="AU168" s="307">
        <v>167.0</v>
      </c>
      <c r="AW168" s="687" t="s">
        <v>223</v>
      </c>
      <c r="AX168" s="307">
        <v>167.0</v>
      </c>
      <c r="AZ168" s="687" t="s">
        <v>1240</v>
      </c>
      <c r="BA168" s="307">
        <v>167.0</v>
      </c>
      <c r="BC168" s="691" t="s">
        <v>2646</v>
      </c>
      <c r="BD168" s="307">
        <v>167.0</v>
      </c>
      <c r="BF168" s="687" t="s">
        <v>913</v>
      </c>
      <c r="BG168" s="145">
        <v>167.0</v>
      </c>
      <c r="BI168" s="688" t="s">
        <v>2449</v>
      </c>
      <c r="BJ168" s="145">
        <v>167.0</v>
      </c>
      <c r="BL168" s="692" t="s">
        <v>2449</v>
      </c>
      <c r="BM168" s="216">
        <v>167.0</v>
      </c>
    </row>
    <row r="169">
      <c r="A169" s="41" t="s">
        <v>1245</v>
      </c>
      <c r="B169" s="307">
        <v>168.0</v>
      </c>
      <c r="C169" s="41"/>
      <c r="D169" s="41" t="s">
        <v>1041</v>
      </c>
      <c r="E169" s="307">
        <v>168.0</v>
      </c>
      <c r="F169" s="41"/>
      <c r="G169" s="41" t="s">
        <v>1041</v>
      </c>
      <c r="H169" s="307">
        <v>168.0</v>
      </c>
      <c r="I169" s="41"/>
      <c r="J169" s="41" t="s">
        <v>261</v>
      </c>
      <c r="K169" s="307">
        <v>168.0</v>
      </c>
      <c r="L169" s="41"/>
      <c r="M169" s="41" t="s">
        <v>841</v>
      </c>
      <c r="N169" s="307">
        <v>168.0</v>
      </c>
      <c r="O169" s="41"/>
      <c r="P169" s="41" t="s">
        <v>260</v>
      </c>
      <c r="Q169" s="307">
        <v>168.0</v>
      </c>
      <c r="R169" s="41"/>
      <c r="S169" s="41" t="s">
        <v>907</v>
      </c>
      <c r="T169" s="307">
        <v>168.0</v>
      </c>
      <c r="U169" s="41"/>
      <c r="V169" s="41" t="s">
        <v>908</v>
      </c>
      <c r="W169" s="307">
        <v>168.0</v>
      </c>
      <c r="X169" s="41"/>
      <c r="Y169" s="682" t="s">
        <v>2282</v>
      </c>
      <c r="Z169" s="307">
        <v>168.0</v>
      </c>
      <c r="AA169" s="41"/>
      <c r="AB169" s="683" t="s">
        <v>2636</v>
      </c>
      <c r="AC169" s="307">
        <v>168.0</v>
      </c>
      <c r="AD169" s="79"/>
      <c r="AE169" s="690" t="s">
        <v>852</v>
      </c>
      <c r="AF169" s="307">
        <v>168.0</v>
      </c>
      <c r="AH169" s="687" t="s">
        <v>2303</v>
      </c>
      <c r="AI169" s="307">
        <v>168.0</v>
      </c>
      <c r="AK169" s="687" t="s">
        <v>217</v>
      </c>
      <c r="AL169" s="307">
        <v>168.0</v>
      </c>
      <c r="AN169" s="687" t="s">
        <v>1245</v>
      </c>
      <c r="AO169" s="307">
        <v>168.0</v>
      </c>
      <c r="AQ169" s="687" t="s">
        <v>2662</v>
      </c>
      <c r="AR169" s="307">
        <v>168.0</v>
      </c>
      <c r="AT169" s="687" t="s">
        <v>1005</v>
      </c>
      <c r="AU169" s="307">
        <v>168.0</v>
      </c>
      <c r="AW169" s="687" t="s">
        <v>815</v>
      </c>
      <c r="AX169" s="307">
        <v>168.0</v>
      </c>
      <c r="AZ169" s="687" t="s">
        <v>223</v>
      </c>
      <c r="BA169" s="307">
        <v>168.0</v>
      </c>
      <c r="BC169" s="691" t="s">
        <v>254</v>
      </c>
      <c r="BD169" s="307">
        <v>168.0</v>
      </c>
      <c r="BF169" s="687" t="s">
        <v>236</v>
      </c>
      <c r="BG169" s="145">
        <v>168.0</v>
      </c>
      <c r="BI169" s="688" t="s">
        <v>838</v>
      </c>
      <c r="BJ169" s="145">
        <v>168.0</v>
      </c>
      <c r="BL169" s="692" t="s">
        <v>2452</v>
      </c>
      <c r="BM169" s="216">
        <v>168.0</v>
      </c>
    </row>
    <row r="170">
      <c r="A170" s="41" t="s">
        <v>2674</v>
      </c>
      <c r="B170" s="307">
        <v>169.0</v>
      </c>
      <c r="C170" s="41"/>
      <c r="D170" s="41" t="s">
        <v>947</v>
      </c>
      <c r="E170" s="307">
        <v>169.0</v>
      </c>
      <c r="F170" s="41"/>
      <c r="G170" s="41" t="s">
        <v>2675</v>
      </c>
      <c r="H170" s="307">
        <v>169.0</v>
      </c>
      <c r="I170" s="41"/>
      <c r="J170" s="41" t="s">
        <v>999</v>
      </c>
      <c r="K170" s="307">
        <v>169.0</v>
      </c>
      <c r="L170" s="41"/>
      <c r="M170" s="41" t="s">
        <v>2193</v>
      </c>
      <c r="N170" s="307">
        <v>169.0</v>
      </c>
      <c r="O170" s="41"/>
      <c r="P170" s="41" t="s">
        <v>1245</v>
      </c>
      <c r="Q170" s="307">
        <v>169.0</v>
      </c>
      <c r="R170" s="41"/>
      <c r="S170" s="41" t="s">
        <v>2643</v>
      </c>
      <c r="T170" s="307">
        <v>169.0</v>
      </c>
      <c r="U170" s="41"/>
      <c r="V170" s="41" t="s">
        <v>852</v>
      </c>
      <c r="W170" s="307">
        <v>169.0</v>
      </c>
      <c r="X170" s="41"/>
      <c r="Y170" s="682" t="s">
        <v>908</v>
      </c>
      <c r="Z170" s="307">
        <v>169.0</v>
      </c>
      <c r="AA170" s="41"/>
      <c r="AB170" s="683" t="s">
        <v>852</v>
      </c>
      <c r="AC170" s="307">
        <v>169.0</v>
      </c>
      <c r="AD170" s="79"/>
      <c r="AE170" s="690" t="s">
        <v>1080</v>
      </c>
      <c r="AF170" s="307">
        <v>169.0</v>
      </c>
      <c r="AH170" s="687" t="s">
        <v>1080</v>
      </c>
      <c r="AI170" s="307">
        <v>169.0</v>
      </c>
      <c r="AK170" s="687" t="s">
        <v>824</v>
      </c>
      <c r="AL170" s="307">
        <v>169.0</v>
      </c>
      <c r="AN170" s="687" t="s">
        <v>1240</v>
      </c>
      <c r="AO170" s="307">
        <v>169.0</v>
      </c>
      <c r="AQ170" s="687" t="s">
        <v>1005</v>
      </c>
      <c r="AR170" s="307">
        <v>169.0</v>
      </c>
      <c r="AT170" s="687" t="s">
        <v>927</v>
      </c>
      <c r="AU170" s="307">
        <v>169.0</v>
      </c>
      <c r="AW170" s="687" t="s">
        <v>2662</v>
      </c>
      <c r="AX170" s="307">
        <v>169.0</v>
      </c>
      <c r="AZ170" s="687" t="s">
        <v>2303</v>
      </c>
      <c r="BA170" s="307">
        <v>169.0</v>
      </c>
      <c r="BC170" s="691" t="s">
        <v>2449</v>
      </c>
      <c r="BD170" s="307">
        <v>169.0</v>
      </c>
      <c r="BF170" s="687" t="s">
        <v>906</v>
      </c>
      <c r="BG170" s="145">
        <v>169.0</v>
      </c>
      <c r="BI170" s="688" t="s">
        <v>929</v>
      </c>
      <c r="BJ170" s="145">
        <v>169.0</v>
      </c>
      <c r="BL170" s="692" t="s">
        <v>2640</v>
      </c>
      <c r="BM170" s="216">
        <v>169.0</v>
      </c>
    </row>
    <row r="171">
      <c r="A171" s="41" t="s">
        <v>1059</v>
      </c>
      <c r="B171" s="307">
        <v>170.0</v>
      </c>
      <c r="C171" s="41"/>
      <c r="D171" s="41" t="s">
        <v>2661</v>
      </c>
      <c r="E171" s="307">
        <v>170.0</v>
      </c>
      <c r="F171" s="41"/>
      <c r="G171" s="41" t="s">
        <v>212</v>
      </c>
      <c r="H171" s="307">
        <v>170.0</v>
      </c>
      <c r="I171" s="41"/>
      <c r="J171" s="41" t="s">
        <v>259</v>
      </c>
      <c r="K171" s="307">
        <v>170.0</v>
      </c>
      <c r="L171" s="41"/>
      <c r="M171" s="41" t="s">
        <v>271</v>
      </c>
      <c r="N171" s="307">
        <v>170.0</v>
      </c>
      <c r="O171" s="41"/>
      <c r="P171" s="41" t="s">
        <v>271</v>
      </c>
      <c r="Q171" s="307">
        <v>170.0</v>
      </c>
      <c r="R171" s="41"/>
      <c r="S171" s="41" t="s">
        <v>214</v>
      </c>
      <c r="T171" s="307">
        <v>170.0</v>
      </c>
      <c r="U171" s="41"/>
      <c r="V171" s="41" t="s">
        <v>2418</v>
      </c>
      <c r="W171" s="307">
        <v>170.0</v>
      </c>
      <c r="X171" s="41"/>
      <c r="Y171" s="682" t="s">
        <v>248</v>
      </c>
      <c r="Z171" s="307">
        <v>170.0</v>
      </c>
      <c r="AA171" s="41"/>
      <c r="AB171" s="683" t="s">
        <v>2418</v>
      </c>
      <c r="AC171" s="307">
        <v>170.0</v>
      </c>
      <c r="AD171" s="79"/>
      <c r="AE171" s="690" t="s">
        <v>2668</v>
      </c>
      <c r="AF171" s="307">
        <v>170.0</v>
      </c>
      <c r="AH171" s="687" t="s">
        <v>262</v>
      </c>
      <c r="AI171" s="307">
        <v>170.0</v>
      </c>
      <c r="AK171" s="687" t="s">
        <v>2663</v>
      </c>
      <c r="AL171" s="307">
        <v>170.0</v>
      </c>
      <c r="AN171" s="687" t="s">
        <v>2666</v>
      </c>
      <c r="AO171" s="307">
        <v>170.0</v>
      </c>
      <c r="AQ171" s="687" t="s">
        <v>927</v>
      </c>
      <c r="AR171" s="307">
        <v>170.0</v>
      </c>
      <c r="AT171" s="687" t="s">
        <v>838</v>
      </c>
      <c r="AU171" s="307">
        <v>170.0</v>
      </c>
      <c r="AW171" s="687" t="s">
        <v>1005</v>
      </c>
      <c r="AX171" s="307">
        <v>170.0</v>
      </c>
      <c r="AZ171" s="687" t="s">
        <v>2662</v>
      </c>
      <c r="BA171" s="307">
        <v>170.0</v>
      </c>
      <c r="BC171" s="691" t="s">
        <v>929</v>
      </c>
      <c r="BD171" s="307">
        <v>170.0</v>
      </c>
      <c r="BF171" s="687" t="s">
        <v>240</v>
      </c>
      <c r="BG171" s="145">
        <v>170.0</v>
      </c>
      <c r="BI171" s="688" t="s">
        <v>1059</v>
      </c>
      <c r="BJ171" s="145">
        <v>170.0</v>
      </c>
      <c r="BL171" s="692" t="s">
        <v>846</v>
      </c>
      <c r="BM171" s="216">
        <v>170.0</v>
      </c>
    </row>
    <row r="172">
      <c r="A172" s="41" t="s">
        <v>2640</v>
      </c>
      <c r="B172" s="307">
        <v>171.0</v>
      </c>
      <c r="C172" s="41"/>
      <c r="D172" s="41" t="s">
        <v>2287</v>
      </c>
      <c r="E172" s="307">
        <v>171.0</v>
      </c>
      <c r="F172" s="41"/>
      <c r="G172" s="41" t="s">
        <v>2401</v>
      </c>
      <c r="H172" s="307">
        <v>171.0</v>
      </c>
      <c r="I172" s="41"/>
      <c r="J172" s="41" t="s">
        <v>841</v>
      </c>
      <c r="K172" s="307">
        <v>171.0</v>
      </c>
      <c r="L172" s="41"/>
      <c r="M172" s="41" t="s">
        <v>2405</v>
      </c>
      <c r="N172" s="307">
        <v>171.0</v>
      </c>
      <c r="O172" s="41"/>
      <c r="P172" s="41" t="s">
        <v>817</v>
      </c>
      <c r="Q172" s="307">
        <v>171.0</v>
      </c>
      <c r="R172" s="41"/>
      <c r="S172" s="41" t="s">
        <v>852</v>
      </c>
      <c r="T172" s="307">
        <v>171.0</v>
      </c>
      <c r="U172" s="41"/>
      <c r="V172" s="41" t="s">
        <v>2405</v>
      </c>
      <c r="W172" s="307">
        <v>171.0</v>
      </c>
      <c r="X172" s="41"/>
      <c r="Y172" s="682" t="s">
        <v>852</v>
      </c>
      <c r="Z172" s="307">
        <v>171.0</v>
      </c>
      <c r="AA172" s="41"/>
      <c r="AB172" s="683" t="s">
        <v>2656</v>
      </c>
      <c r="AC172" s="307">
        <v>171.0</v>
      </c>
      <c r="AD172" s="79"/>
      <c r="AE172" s="690" t="s">
        <v>248</v>
      </c>
      <c r="AF172" s="307">
        <v>171.0</v>
      </c>
      <c r="AH172" s="687" t="s">
        <v>75</v>
      </c>
      <c r="AI172" s="307">
        <v>171.0</v>
      </c>
      <c r="AK172" s="687" t="s">
        <v>2651</v>
      </c>
      <c r="AL172" s="307">
        <v>171.0</v>
      </c>
      <c r="AN172" s="687" t="s">
        <v>852</v>
      </c>
      <c r="AO172" s="307">
        <v>171.0</v>
      </c>
      <c r="AQ172" s="687" t="s">
        <v>838</v>
      </c>
      <c r="AR172" s="307">
        <v>171.0</v>
      </c>
      <c r="AT172" s="687" t="s">
        <v>236</v>
      </c>
      <c r="AU172" s="307">
        <v>171.0</v>
      </c>
      <c r="AW172" s="687" t="s">
        <v>838</v>
      </c>
      <c r="AX172" s="307">
        <v>171.0</v>
      </c>
      <c r="AZ172" s="687" t="s">
        <v>1005</v>
      </c>
      <c r="BA172" s="307">
        <v>171.0</v>
      </c>
      <c r="BC172" s="691" t="s">
        <v>913</v>
      </c>
      <c r="BD172" s="307">
        <v>171.0</v>
      </c>
      <c r="BF172" s="687" t="s">
        <v>2273</v>
      </c>
      <c r="BG172" s="145">
        <v>171.0</v>
      </c>
      <c r="BI172" s="688" t="s">
        <v>240</v>
      </c>
      <c r="BJ172" s="145">
        <v>171.0</v>
      </c>
      <c r="BL172" s="692" t="s">
        <v>2487</v>
      </c>
      <c r="BM172" s="216">
        <v>171.0</v>
      </c>
    </row>
    <row r="173">
      <c r="A173" s="41" t="s">
        <v>2666</v>
      </c>
      <c r="B173" s="307">
        <v>172.0</v>
      </c>
      <c r="C173" s="41"/>
      <c r="D173" s="41" t="s">
        <v>2619</v>
      </c>
      <c r="E173" s="307">
        <v>172.0</v>
      </c>
      <c r="F173" s="41"/>
      <c r="G173" s="41" t="s">
        <v>2672</v>
      </c>
      <c r="H173" s="307">
        <v>172.0</v>
      </c>
      <c r="I173" s="41"/>
      <c r="J173" s="41" t="s">
        <v>77</v>
      </c>
      <c r="K173" s="307">
        <v>172.0</v>
      </c>
      <c r="L173" s="41"/>
      <c r="M173" s="41" t="s">
        <v>2297</v>
      </c>
      <c r="N173" s="307">
        <v>172.0</v>
      </c>
      <c r="O173" s="41"/>
      <c r="P173" s="41" t="s">
        <v>927</v>
      </c>
      <c r="Q173" s="307">
        <v>172.0</v>
      </c>
      <c r="R173" s="41"/>
      <c r="S173" s="41" t="s">
        <v>1059</v>
      </c>
      <c r="T173" s="307">
        <v>172.0</v>
      </c>
      <c r="U173" s="41"/>
      <c r="V173" s="41" t="s">
        <v>1041</v>
      </c>
      <c r="W173" s="307">
        <v>172.0</v>
      </c>
      <c r="X173" s="41"/>
      <c r="Y173" s="682" t="s">
        <v>2418</v>
      </c>
      <c r="Z173" s="307">
        <v>172.0</v>
      </c>
      <c r="AA173" s="41"/>
      <c r="AB173" s="683" t="s">
        <v>2668</v>
      </c>
      <c r="AC173" s="307">
        <v>172.0</v>
      </c>
      <c r="AD173" s="79"/>
      <c r="AE173" s="690" t="s">
        <v>2669</v>
      </c>
      <c r="AF173" s="307">
        <v>172.0</v>
      </c>
      <c r="AH173" s="687" t="s">
        <v>217</v>
      </c>
      <c r="AI173" s="307">
        <v>172.0</v>
      </c>
      <c r="AK173" s="687" t="s">
        <v>2659</v>
      </c>
      <c r="AL173" s="307">
        <v>172.0</v>
      </c>
      <c r="AN173" s="687" t="s">
        <v>223</v>
      </c>
      <c r="AO173" s="307">
        <v>172.0</v>
      </c>
      <c r="AQ173" s="687" t="s">
        <v>236</v>
      </c>
      <c r="AR173" s="307">
        <v>172.0</v>
      </c>
      <c r="AT173" s="687" t="s">
        <v>2659</v>
      </c>
      <c r="AU173" s="307">
        <v>172.0</v>
      </c>
      <c r="AW173" s="687" t="s">
        <v>236</v>
      </c>
      <c r="AX173" s="307">
        <v>172.0</v>
      </c>
      <c r="AZ173" s="687" t="s">
        <v>838</v>
      </c>
      <c r="BA173" s="307">
        <v>172.0</v>
      </c>
      <c r="BC173" s="691" t="s">
        <v>236</v>
      </c>
      <c r="BD173" s="307">
        <v>172.0</v>
      </c>
      <c r="BF173" s="687" t="s">
        <v>838</v>
      </c>
      <c r="BG173" s="145">
        <v>172.0</v>
      </c>
      <c r="BI173" s="688" t="s">
        <v>846</v>
      </c>
      <c r="BJ173" s="145">
        <v>172.0</v>
      </c>
      <c r="BL173" s="692" t="s">
        <v>927</v>
      </c>
      <c r="BM173" s="216">
        <v>172.0</v>
      </c>
    </row>
    <row r="174">
      <c r="A174" s="41" t="s">
        <v>2676</v>
      </c>
      <c r="B174" s="307">
        <v>173.0</v>
      </c>
      <c r="C174" s="41"/>
      <c r="D174" s="41" t="s">
        <v>2675</v>
      </c>
      <c r="E174" s="307">
        <v>173.0</v>
      </c>
      <c r="F174" s="41"/>
      <c r="G174" s="41" t="s">
        <v>2260</v>
      </c>
      <c r="H174" s="307">
        <v>173.0</v>
      </c>
      <c r="I174" s="41"/>
      <c r="J174" s="41" t="s">
        <v>271</v>
      </c>
      <c r="K174" s="307">
        <v>173.0</v>
      </c>
      <c r="L174" s="41"/>
      <c r="M174" s="41" t="s">
        <v>2182</v>
      </c>
      <c r="N174" s="307">
        <v>173.0</v>
      </c>
      <c r="O174" s="41"/>
      <c r="P174" s="41" t="s">
        <v>214</v>
      </c>
      <c r="Q174" s="307">
        <v>173.0</v>
      </c>
      <c r="R174" s="41"/>
      <c r="S174" s="41" t="s">
        <v>2282</v>
      </c>
      <c r="T174" s="307">
        <v>173.0</v>
      </c>
      <c r="U174" s="41"/>
      <c r="V174" s="41" t="s">
        <v>248</v>
      </c>
      <c r="W174" s="307">
        <v>173.0</v>
      </c>
      <c r="X174" s="41"/>
      <c r="Y174" s="682" t="s">
        <v>2643</v>
      </c>
      <c r="Z174" s="307">
        <v>173.0</v>
      </c>
      <c r="AA174" s="41"/>
      <c r="AB174" s="683" t="s">
        <v>2667</v>
      </c>
      <c r="AC174" s="307">
        <v>173.0</v>
      </c>
      <c r="AD174" s="79"/>
      <c r="AE174" s="690" t="s">
        <v>2303</v>
      </c>
      <c r="AF174" s="307">
        <v>173.0</v>
      </c>
      <c r="AH174" s="687" t="s">
        <v>2663</v>
      </c>
      <c r="AI174" s="307">
        <v>173.0</v>
      </c>
      <c r="AK174" s="687" t="s">
        <v>2273</v>
      </c>
      <c r="AL174" s="307">
        <v>173.0</v>
      </c>
      <c r="AN174" s="687" t="s">
        <v>815</v>
      </c>
      <c r="AO174" s="307">
        <v>173.0</v>
      </c>
      <c r="AQ174" s="687" t="s">
        <v>2659</v>
      </c>
      <c r="AR174" s="307">
        <v>173.0</v>
      </c>
      <c r="AT174" s="687" t="s">
        <v>841</v>
      </c>
      <c r="AU174" s="307">
        <v>173.0</v>
      </c>
      <c r="AW174" s="687" t="s">
        <v>2677</v>
      </c>
      <c r="AX174" s="307">
        <v>173.0</v>
      </c>
      <c r="AZ174" s="687" t="s">
        <v>2206</v>
      </c>
      <c r="BA174" s="307">
        <v>173.0</v>
      </c>
      <c r="BC174" s="691" t="s">
        <v>906</v>
      </c>
      <c r="BD174" s="307">
        <v>173.0</v>
      </c>
      <c r="BF174" s="687" t="s">
        <v>2382</v>
      </c>
      <c r="BG174" s="145">
        <v>173.0</v>
      </c>
      <c r="BI174" s="688" t="s">
        <v>2273</v>
      </c>
      <c r="BJ174" s="145">
        <v>173.0</v>
      </c>
      <c r="BL174" s="692" t="s">
        <v>815</v>
      </c>
      <c r="BM174" s="216">
        <v>173.0</v>
      </c>
    </row>
    <row r="175">
      <c r="A175" s="41" t="s">
        <v>999</v>
      </c>
      <c r="B175" s="307">
        <v>174.0</v>
      </c>
      <c r="C175" s="41"/>
      <c r="D175" s="41" t="s">
        <v>2182</v>
      </c>
      <c r="E175" s="307">
        <v>174.0</v>
      </c>
      <c r="F175" s="41"/>
      <c r="G175" s="41" t="s">
        <v>70</v>
      </c>
      <c r="H175" s="307">
        <v>174.0</v>
      </c>
      <c r="I175" s="41"/>
      <c r="J175" s="41" t="s">
        <v>2405</v>
      </c>
      <c r="K175" s="307">
        <v>174.0</v>
      </c>
      <c r="L175" s="41"/>
      <c r="M175" s="41" t="s">
        <v>252</v>
      </c>
      <c r="N175" s="307">
        <v>174.0</v>
      </c>
      <c r="O175" s="41"/>
      <c r="P175" s="41" t="s">
        <v>852</v>
      </c>
      <c r="Q175" s="307">
        <v>174.0</v>
      </c>
      <c r="R175" s="41"/>
      <c r="S175" s="41" t="s">
        <v>2382</v>
      </c>
      <c r="T175" s="307">
        <v>174.0</v>
      </c>
      <c r="U175" s="41"/>
      <c r="V175" s="41" t="s">
        <v>2408</v>
      </c>
      <c r="W175" s="307">
        <v>174.0</v>
      </c>
      <c r="X175" s="41"/>
      <c r="Y175" s="682" t="s">
        <v>1041</v>
      </c>
      <c r="Z175" s="307">
        <v>174.0</v>
      </c>
      <c r="AA175" s="41"/>
      <c r="AB175" s="683" t="s">
        <v>248</v>
      </c>
      <c r="AC175" s="307">
        <v>174.0</v>
      </c>
      <c r="AD175" s="79"/>
      <c r="AE175" s="690" t="s">
        <v>223</v>
      </c>
      <c r="AF175" s="307">
        <v>174.0</v>
      </c>
      <c r="AH175" s="687" t="s">
        <v>248</v>
      </c>
      <c r="AI175" s="307">
        <v>174.0</v>
      </c>
      <c r="AK175" s="687" t="s">
        <v>1240</v>
      </c>
      <c r="AL175" s="307">
        <v>174.0</v>
      </c>
      <c r="AN175" s="687" t="s">
        <v>2662</v>
      </c>
      <c r="AO175" s="307">
        <v>174.0</v>
      </c>
      <c r="AQ175" s="687" t="s">
        <v>2418</v>
      </c>
      <c r="AR175" s="307">
        <v>174.0</v>
      </c>
      <c r="AT175" s="687" t="s">
        <v>2294</v>
      </c>
      <c r="AU175" s="307">
        <v>174.0</v>
      </c>
      <c r="AW175" s="687" t="s">
        <v>2659</v>
      </c>
      <c r="AX175" s="307">
        <v>174.0</v>
      </c>
      <c r="AZ175" s="687" t="s">
        <v>2408</v>
      </c>
      <c r="BA175" s="307">
        <v>174.0</v>
      </c>
      <c r="BC175" s="691" t="s">
        <v>240</v>
      </c>
      <c r="BD175" s="307">
        <v>174.0</v>
      </c>
      <c r="BF175" s="687" t="s">
        <v>254</v>
      </c>
      <c r="BG175" s="145">
        <v>174.0</v>
      </c>
      <c r="BI175" s="688" t="s">
        <v>1126</v>
      </c>
      <c r="BJ175" s="145">
        <v>174.0</v>
      </c>
      <c r="BL175" s="692" t="s">
        <v>2615</v>
      </c>
      <c r="BM175" s="216">
        <v>174.0</v>
      </c>
    </row>
    <row r="176">
      <c r="A176" s="41" t="s">
        <v>254</v>
      </c>
      <c r="B176" s="307">
        <v>175.0</v>
      </c>
      <c r="C176" s="41"/>
      <c r="D176" s="41" t="s">
        <v>2366</v>
      </c>
      <c r="E176" s="307">
        <v>175.0</v>
      </c>
      <c r="F176" s="41"/>
      <c r="G176" s="41" t="s">
        <v>2656</v>
      </c>
      <c r="H176" s="307">
        <v>175.0</v>
      </c>
      <c r="I176" s="41"/>
      <c r="J176" s="41" t="s">
        <v>2090</v>
      </c>
      <c r="K176" s="307">
        <v>175.0</v>
      </c>
      <c r="L176" s="41"/>
      <c r="M176" s="41" t="s">
        <v>254</v>
      </c>
      <c r="N176" s="307">
        <v>175.0</v>
      </c>
      <c r="O176" s="41"/>
      <c r="P176" s="41" t="s">
        <v>1059</v>
      </c>
      <c r="Q176" s="307">
        <v>175.0</v>
      </c>
      <c r="R176" s="41"/>
      <c r="S176" s="41" t="s">
        <v>908</v>
      </c>
      <c r="T176" s="307">
        <v>175.0</v>
      </c>
      <c r="U176" s="41"/>
      <c r="V176" s="41" t="s">
        <v>906</v>
      </c>
      <c r="W176" s="307">
        <v>175.0</v>
      </c>
      <c r="X176" s="41"/>
      <c r="Y176" s="682" t="s">
        <v>2408</v>
      </c>
      <c r="Z176" s="307">
        <v>175.0</v>
      </c>
      <c r="AA176" s="41"/>
      <c r="AB176" s="699" t="s">
        <v>908</v>
      </c>
      <c r="AC176" s="307">
        <v>175.0</v>
      </c>
      <c r="AD176" s="79"/>
      <c r="AE176" s="690" t="s">
        <v>2650</v>
      </c>
      <c r="AF176" s="307">
        <v>175.0</v>
      </c>
      <c r="AH176" s="687" t="s">
        <v>2273</v>
      </c>
      <c r="AI176" s="307">
        <v>175.0</v>
      </c>
      <c r="AK176" s="687" t="s">
        <v>2666</v>
      </c>
      <c r="AL176" s="307">
        <v>175.0</v>
      </c>
      <c r="AN176" s="687" t="s">
        <v>1005</v>
      </c>
      <c r="AO176" s="307">
        <v>175.0</v>
      </c>
      <c r="AQ176" s="687" t="s">
        <v>233</v>
      </c>
      <c r="AR176" s="307">
        <v>175.0</v>
      </c>
      <c r="AT176" s="687" t="s">
        <v>240</v>
      </c>
      <c r="AU176" s="307">
        <v>175.0</v>
      </c>
      <c r="AW176" s="687" t="s">
        <v>240</v>
      </c>
      <c r="AX176" s="307">
        <v>175.0</v>
      </c>
      <c r="AZ176" s="687" t="s">
        <v>236</v>
      </c>
      <c r="BA176" s="307">
        <v>175.0</v>
      </c>
      <c r="BC176" s="691" t="s">
        <v>815</v>
      </c>
      <c r="BD176" s="307">
        <v>175.0</v>
      </c>
      <c r="BF176" s="687" t="s">
        <v>835</v>
      </c>
      <c r="BG176" s="145">
        <v>175.0</v>
      </c>
      <c r="BI176" s="688" t="s">
        <v>231</v>
      </c>
      <c r="BJ176" s="145">
        <v>175.0</v>
      </c>
      <c r="BL176" s="692" t="s">
        <v>907</v>
      </c>
      <c r="BM176" s="216">
        <v>175.0</v>
      </c>
    </row>
    <row r="177">
      <c r="A177" s="41" t="s">
        <v>2182</v>
      </c>
      <c r="B177" s="307">
        <v>176.0</v>
      </c>
      <c r="C177" s="41"/>
      <c r="D177" s="41" t="s">
        <v>261</v>
      </c>
      <c r="E177" s="307">
        <v>176.0</v>
      </c>
      <c r="F177" s="41"/>
      <c r="G177" s="41" t="s">
        <v>2297</v>
      </c>
      <c r="H177" s="307">
        <v>176.0</v>
      </c>
      <c r="I177" s="41"/>
      <c r="J177" s="41" t="s">
        <v>2660</v>
      </c>
      <c r="K177" s="307">
        <v>176.0</v>
      </c>
      <c r="L177" s="41"/>
      <c r="M177" s="41" t="s">
        <v>71</v>
      </c>
      <c r="N177" s="307">
        <v>176.0</v>
      </c>
      <c r="O177" s="41"/>
      <c r="P177" s="41" t="s">
        <v>2282</v>
      </c>
      <c r="Q177" s="307">
        <v>176.0</v>
      </c>
      <c r="R177" s="41"/>
      <c r="S177" s="41" t="s">
        <v>2418</v>
      </c>
      <c r="T177" s="307">
        <v>176.0</v>
      </c>
      <c r="U177" s="41"/>
      <c r="V177" s="41" t="s">
        <v>2659</v>
      </c>
      <c r="W177" s="307">
        <v>176.0</v>
      </c>
      <c r="X177" s="41"/>
      <c r="Y177" s="682" t="s">
        <v>2664</v>
      </c>
      <c r="Z177" s="307">
        <v>176.0</v>
      </c>
      <c r="AA177" s="41"/>
      <c r="AB177" s="683" t="s">
        <v>2662</v>
      </c>
      <c r="AC177" s="307">
        <v>176.0</v>
      </c>
      <c r="AD177" s="79"/>
      <c r="AE177" s="690" t="s">
        <v>2654</v>
      </c>
      <c r="AF177" s="307">
        <v>176.0</v>
      </c>
      <c r="AH177" s="687" t="s">
        <v>1005</v>
      </c>
      <c r="AI177" s="307">
        <v>176.0</v>
      </c>
      <c r="AK177" s="687" t="s">
        <v>999</v>
      </c>
      <c r="AL177" s="307">
        <v>176.0</v>
      </c>
      <c r="AN177" s="687" t="s">
        <v>907</v>
      </c>
      <c r="AO177" s="307">
        <v>176.0</v>
      </c>
      <c r="AQ177" s="687" t="s">
        <v>2294</v>
      </c>
      <c r="AR177" s="307">
        <v>176.0</v>
      </c>
      <c r="AT177" s="687" t="s">
        <v>913</v>
      </c>
      <c r="AU177" s="307">
        <v>176.0</v>
      </c>
      <c r="AW177" s="687" t="s">
        <v>913</v>
      </c>
      <c r="AX177" s="307">
        <v>176.0</v>
      </c>
      <c r="AZ177" s="687" t="s">
        <v>2449</v>
      </c>
      <c r="BA177" s="307">
        <v>176.0</v>
      </c>
      <c r="BC177" s="691" t="s">
        <v>231</v>
      </c>
      <c r="BD177" s="307">
        <v>176.0</v>
      </c>
      <c r="BF177" s="687" t="s">
        <v>231</v>
      </c>
      <c r="BG177" s="145">
        <v>176.0</v>
      </c>
      <c r="BI177" s="688" t="s">
        <v>2487</v>
      </c>
      <c r="BJ177" s="145">
        <v>176.0</v>
      </c>
      <c r="BL177" s="692" t="s">
        <v>2431</v>
      </c>
      <c r="BM177" s="216">
        <v>176.0</v>
      </c>
    </row>
    <row r="178">
      <c r="A178" s="41" t="s">
        <v>2678</v>
      </c>
      <c r="B178" s="307">
        <v>177.0</v>
      </c>
      <c r="C178" s="41"/>
      <c r="D178" s="41" t="s">
        <v>70</v>
      </c>
      <c r="E178" s="307">
        <v>177.0</v>
      </c>
      <c r="F178" s="41"/>
      <c r="G178" s="41" t="s">
        <v>907</v>
      </c>
      <c r="H178" s="307">
        <v>177.0</v>
      </c>
      <c r="I178" s="41"/>
      <c r="J178" s="41" t="s">
        <v>2667</v>
      </c>
      <c r="K178" s="307">
        <v>177.0</v>
      </c>
      <c r="L178" s="41"/>
      <c r="M178" s="41" t="s">
        <v>2657</v>
      </c>
      <c r="N178" s="307">
        <v>177.0</v>
      </c>
      <c r="O178" s="41"/>
      <c r="P178" s="41" t="s">
        <v>2382</v>
      </c>
      <c r="Q178" s="307">
        <v>177.0</v>
      </c>
      <c r="R178" s="41"/>
      <c r="S178" s="41" t="s">
        <v>2405</v>
      </c>
      <c r="T178" s="307">
        <v>177.0</v>
      </c>
      <c r="U178" s="41"/>
      <c r="V178" s="41" t="s">
        <v>2319</v>
      </c>
      <c r="W178" s="307">
        <v>177.0</v>
      </c>
      <c r="X178" s="41"/>
      <c r="Y178" s="682" t="s">
        <v>906</v>
      </c>
      <c r="Z178" s="307">
        <v>177.0</v>
      </c>
      <c r="AA178" s="41"/>
      <c r="AB178" s="699" t="s">
        <v>1080</v>
      </c>
      <c r="AC178" s="307">
        <v>177.0</v>
      </c>
      <c r="AD178" s="79"/>
      <c r="AE178" s="690" t="s">
        <v>2273</v>
      </c>
      <c r="AF178" s="307">
        <v>177.0</v>
      </c>
      <c r="AH178" s="687" t="s">
        <v>1240</v>
      </c>
      <c r="AI178" s="307">
        <v>177.0</v>
      </c>
      <c r="AK178" s="687" t="s">
        <v>852</v>
      </c>
      <c r="AL178" s="307">
        <v>177.0</v>
      </c>
      <c r="AN178" s="687" t="s">
        <v>927</v>
      </c>
      <c r="AO178" s="307">
        <v>177.0</v>
      </c>
      <c r="AQ178" s="687" t="s">
        <v>240</v>
      </c>
      <c r="AR178" s="307">
        <v>177.0</v>
      </c>
      <c r="AT178" s="687" t="s">
        <v>241</v>
      </c>
      <c r="AU178" s="307">
        <v>177.0</v>
      </c>
      <c r="AW178" s="687" t="s">
        <v>241</v>
      </c>
      <c r="AX178" s="307">
        <v>177.0</v>
      </c>
      <c r="AZ178" s="687" t="s">
        <v>2659</v>
      </c>
      <c r="BA178" s="307">
        <v>177.0</v>
      </c>
      <c r="BC178" s="691" t="s">
        <v>838</v>
      </c>
      <c r="BD178" s="307">
        <v>177.0</v>
      </c>
      <c r="BF178" s="687" t="s">
        <v>235</v>
      </c>
      <c r="BG178" s="145">
        <v>177.0</v>
      </c>
      <c r="BI178" s="688" t="s">
        <v>235</v>
      </c>
      <c r="BJ178" s="145">
        <v>177.0</v>
      </c>
      <c r="BL178" s="692" t="s">
        <v>2408</v>
      </c>
      <c r="BM178" s="216">
        <v>177.0</v>
      </c>
    </row>
    <row r="179">
      <c r="A179" s="41" t="s">
        <v>251</v>
      </c>
      <c r="B179" s="307">
        <v>178.0</v>
      </c>
      <c r="C179" s="41"/>
      <c r="D179" s="41" t="s">
        <v>2401</v>
      </c>
      <c r="E179" s="307">
        <v>178.0</v>
      </c>
      <c r="F179" s="41"/>
      <c r="G179" s="41" t="s">
        <v>1059</v>
      </c>
      <c r="H179" s="307">
        <v>178.0</v>
      </c>
      <c r="I179" s="41"/>
      <c r="J179" s="41" t="s">
        <v>2297</v>
      </c>
      <c r="K179" s="307">
        <v>178.0</v>
      </c>
      <c r="L179" s="41"/>
      <c r="M179" s="41" t="s">
        <v>260</v>
      </c>
      <c r="N179" s="307">
        <v>178.0</v>
      </c>
      <c r="O179" s="41"/>
      <c r="P179" s="41" t="s">
        <v>921</v>
      </c>
      <c r="Q179" s="307">
        <v>178.0</v>
      </c>
      <c r="R179" s="41"/>
      <c r="S179" s="41" t="s">
        <v>271</v>
      </c>
      <c r="T179" s="307">
        <v>178.0</v>
      </c>
      <c r="U179" s="41"/>
      <c r="V179" s="41" t="s">
        <v>218</v>
      </c>
      <c r="W179" s="307">
        <v>178.0</v>
      </c>
      <c r="X179" s="41"/>
      <c r="Y179" s="682" t="s">
        <v>2296</v>
      </c>
      <c r="Z179" s="307">
        <v>178.0</v>
      </c>
      <c r="AA179" s="41"/>
      <c r="AB179" s="699" t="s">
        <v>2303</v>
      </c>
      <c r="AC179" s="307">
        <v>178.0</v>
      </c>
      <c r="AD179" s="79"/>
      <c r="AE179" s="690" t="s">
        <v>231</v>
      </c>
      <c r="AF179" s="307">
        <v>178.0</v>
      </c>
      <c r="AH179" s="687" t="s">
        <v>223</v>
      </c>
      <c r="AI179" s="307">
        <v>178.0</v>
      </c>
      <c r="AK179" s="687" t="s">
        <v>223</v>
      </c>
      <c r="AL179" s="307">
        <v>178.0</v>
      </c>
      <c r="AN179" s="687" t="s">
        <v>838</v>
      </c>
      <c r="AO179" s="307">
        <v>178.0</v>
      </c>
      <c r="AQ179" s="687" t="s">
        <v>913</v>
      </c>
      <c r="AR179" s="307">
        <v>178.0</v>
      </c>
      <c r="AT179" s="687" t="s">
        <v>906</v>
      </c>
      <c r="AU179" s="307">
        <v>178.0</v>
      </c>
      <c r="AW179" s="687" t="s">
        <v>906</v>
      </c>
      <c r="AX179" s="307">
        <v>178.0</v>
      </c>
      <c r="AZ179" s="687" t="s">
        <v>815</v>
      </c>
      <c r="BA179" s="307">
        <v>178.0</v>
      </c>
      <c r="BC179" s="691" t="s">
        <v>2382</v>
      </c>
      <c r="BD179" s="307">
        <v>178.0</v>
      </c>
      <c r="BF179" s="687" t="s">
        <v>815</v>
      </c>
      <c r="BG179" s="145">
        <v>178.0</v>
      </c>
      <c r="BI179" s="688" t="s">
        <v>815</v>
      </c>
      <c r="BJ179" s="145">
        <v>178.0</v>
      </c>
      <c r="BL179" s="692" t="s">
        <v>2623</v>
      </c>
      <c r="BM179" s="216">
        <v>178.0</v>
      </c>
    </row>
    <row r="180">
      <c r="A180" s="41" t="s">
        <v>2679</v>
      </c>
      <c r="B180" s="307">
        <v>179.0</v>
      </c>
      <c r="C180" s="41"/>
      <c r="D180" s="41" t="s">
        <v>2260</v>
      </c>
      <c r="E180" s="307">
        <v>179.0</v>
      </c>
      <c r="F180" s="41"/>
      <c r="G180" s="41" t="s">
        <v>2397</v>
      </c>
      <c r="H180" s="307">
        <v>179.0</v>
      </c>
      <c r="I180" s="41"/>
      <c r="J180" s="41" t="s">
        <v>2182</v>
      </c>
      <c r="K180" s="307">
        <v>179.0</v>
      </c>
      <c r="L180" s="41"/>
      <c r="M180" s="41" t="s">
        <v>1245</v>
      </c>
      <c r="N180" s="307">
        <v>179.0</v>
      </c>
      <c r="O180" s="41"/>
      <c r="P180" s="41" t="s">
        <v>2418</v>
      </c>
      <c r="Q180" s="307">
        <v>179.0</v>
      </c>
      <c r="R180" s="41"/>
      <c r="S180" s="41" t="s">
        <v>2420</v>
      </c>
      <c r="T180" s="307">
        <v>179.0</v>
      </c>
      <c r="U180" s="41"/>
      <c r="V180" s="41" t="s">
        <v>2651</v>
      </c>
      <c r="W180" s="307">
        <v>179.0</v>
      </c>
      <c r="X180" s="41"/>
      <c r="Y180" s="682" t="s">
        <v>2651</v>
      </c>
      <c r="Z180" s="307">
        <v>179.0</v>
      </c>
      <c r="AA180" s="41"/>
      <c r="AB180" s="683" t="s">
        <v>223</v>
      </c>
      <c r="AC180" s="307">
        <v>179.0</v>
      </c>
      <c r="AD180" s="79"/>
      <c r="AE180" s="690" t="s">
        <v>1005</v>
      </c>
      <c r="AF180" s="307">
        <v>179.0</v>
      </c>
      <c r="AH180" s="687" t="s">
        <v>233</v>
      </c>
      <c r="AI180" s="307">
        <v>179.0</v>
      </c>
      <c r="AK180" s="687" t="s">
        <v>815</v>
      </c>
      <c r="AL180" s="307">
        <v>179.0</v>
      </c>
      <c r="AN180" s="687" t="s">
        <v>236</v>
      </c>
      <c r="AO180" s="307">
        <v>179.0</v>
      </c>
      <c r="AQ180" s="687" t="s">
        <v>241</v>
      </c>
      <c r="AR180" s="307">
        <v>179.0</v>
      </c>
      <c r="AT180" s="687" t="s">
        <v>71</v>
      </c>
      <c r="AU180" s="307">
        <v>179.0</v>
      </c>
      <c r="AW180" s="687" t="s">
        <v>231</v>
      </c>
      <c r="AX180" s="307">
        <v>179.0</v>
      </c>
      <c r="AZ180" s="687" t="s">
        <v>240</v>
      </c>
      <c r="BA180" s="307">
        <v>179.0</v>
      </c>
      <c r="BC180" s="691" t="s">
        <v>835</v>
      </c>
      <c r="BD180" s="307">
        <v>179.0</v>
      </c>
      <c r="BF180" s="687" t="s">
        <v>2324</v>
      </c>
      <c r="BG180" s="145">
        <v>179.0</v>
      </c>
      <c r="BI180" s="688" t="s">
        <v>2615</v>
      </c>
      <c r="BJ180" s="145">
        <v>179.0</v>
      </c>
      <c r="BL180" s="692" t="s">
        <v>922</v>
      </c>
      <c r="BM180" s="216">
        <v>179.0</v>
      </c>
    </row>
    <row r="181">
      <c r="A181" s="41" t="s">
        <v>2672</v>
      </c>
      <c r="B181" s="307">
        <v>180.0</v>
      </c>
      <c r="C181" s="41"/>
      <c r="D181" s="41" t="s">
        <v>2638</v>
      </c>
      <c r="E181" s="307">
        <v>180.0</v>
      </c>
      <c r="F181" s="41"/>
      <c r="G181" s="41" t="s">
        <v>67</v>
      </c>
      <c r="H181" s="307">
        <v>180.0</v>
      </c>
      <c r="I181" s="41"/>
      <c r="J181" s="41" t="s">
        <v>2598</v>
      </c>
      <c r="K181" s="307">
        <v>180.0</v>
      </c>
      <c r="L181" s="41"/>
      <c r="M181" s="41" t="s">
        <v>222</v>
      </c>
      <c r="N181" s="307">
        <v>180.0</v>
      </c>
      <c r="O181" s="41"/>
      <c r="P181" s="41" t="s">
        <v>2405</v>
      </c>
      <c r="Q181" s="307">
        <v>180.0</v>
      </c>
      <c r="R181" s="41"/>
      <c r="S181" s="41" t="s">
        <v>2653</v>
      </c>
      <c r="T181" s="307">
        <v>180.0</v>
      </c>
      <c r="U181" s="41"/>
      <c r="V181" s="41" t="s">
        <v>2453</v>
      </c>
      <c r="W181" s="307">
        <v>180.0</v>
      </c>
      <c r="X181" s="41"/>
      <c r="Y181" s="682" t="s">
        <v>2453</v>
      </c>
      <c r="Z181" s="307">
        <v>180.0</v>
      </c>
      <c r="AA181" s="41"/>
      <c r="AB181" s="683" t="s">
        <v>2650</v>
      </c>
      <c r="AC181" s="307">
        <v>180.0</v>
      </c>
      <c r="AD181" s="79"/>
      <c r="AE181" s="690" t="s">
        <v>217</v>
      </c>
      <c r="AF181" s="307">
        <v>180.0</v>
      </c>
      <c r="AH181" s="687" t="s">
        <v>913</v>
      </c>
      <c r="AI181" s="307">
        <v>180.0</v>
      </c>
      <c r="AK181" s="687" t="s">
        <v>2662</v>
      </c>
      <c r="AL181" s="307">
        <v>180.0</v>
      </c>
      <c r="AN181" s="687" t="s">
        <v>2659</v>
      </c>
      <c r="AO181" s="307">
        <v>180.0</v>
      </c>
      <c r="AQ181" s="687" t="s">
        <v>906</v>
      </c>
      <c r="AR181" s="307">
        <v>180.0</v>
      </c>
      <c r="AT181" s="687" t="s">
        <v>231</v>
      </c>
      <c r="AU181" s="307">
        <v>180.0</v>
      </c>
      <c r="AW181" s="687" t="s">
        <v>2382</v>
      </c>
      <c r="AX181" s="307">
        <v>180.0</v>
      </c>
      <c r="AZ181" s="687" t="s">
        <v>913</v>
      </c>
      <c r="BA181" s="307">
        <v>180.0</v>
      </c>
      <c r="BC181" s="691" t="s">
        <v>2324</v>
      </c>
      <c r="BD181" s="307">
        <v>180.0</v>
      </c>
      <c r="BF181" s="687" t="s">
        <v>907</v>
      </c>
      <c r="BG181" s="145">
        <v>180.0</v>
      </c>
      <c r="BI181" s="688" t="s">
        <v>2642</v>
      </c>
      <c r="BJ181" s="145">
        <v>180.0</v>
      </c>
      <c r="BL181" s="692" t="s">
        <v>2405</v>
      </c>
      <c r="BM181" s="216">
        <v>180.0</v>
      </c>
    </row>
    <row r="182">
      <c r="A182" s="41" t="s">
        <v>2663</v>
      </c>
      <c r="B182" s="307">
        <v>181.0</v>
      </c>
      <c r="C182" s="41"/>
      <c r="D182" s="41" t="s">
        <v>906</v>
      </c>
      <c r="E182" s="307">
        <v>181.0</v>
      </c>
      <c r="F182" s="41"/>
      <c r="G182" s="41" t="s">
        <v>271</v>
      </c>
      <c r="H182" s="307">
        <v>181.0</v>
      </c>
      <c r="I182" s="41"/>
      <c r="J182" s="41" t="s">
        <v>252</v>
      </c>
      <c r="K182" s="307">
        <v>181.0</v>
      </c>
      <c r="L182" s="41"/>
      <c r="M182" s="41" t="s">
        <v>2672</v>
      </c>
      <c r="N182" s="307">
        <v>181.0</v>
      </c>
      <c r="O182" s="41"/>
      <c r="P182" s="41" t="s">
        <v>2420</v>
      </c>
      <c r="Q182" s="307">
        <v>181.0</v>
      </c>
      <c r="R182" s="41"/>
      <c r="S182" s="41" t="s">
        <v>2408</v>
      </c>
      <c r="T182" s="307">
        <v>181.0</v>
      </c>
      <c r="U182" s="41"/>
      <c r="V182" s="41" t="s">
        <v>2662</v>
      </c>
      <c r="W182" s="307">
        <v>181.0</v>
      </c>
      <c r="X182" s="41"/>
      <c r="Y182" s="682" t="s">
        <v>2662</v>
      </c>
      <c r="Z182" s="307">
        <v>181.0</v>
      </c>
      <c r="AA182" s="41"/>
      <c r="AB182" s="683" t="s">
        <v>2273</v>
      </c>
      <c r="AC182" s="307">
        <v>181.0</v>
      </c>
      <c r="AD182" s="79"/>
      <c r="AE182" s="690" t="s">
        <v>233</v>
      </c>
      <c r="AF182" s="307">
        <v>181.0</v>
      </c>
      <c r="AH182" s="687" t="s">
        <v>2680</v>
      </c>
      <c r="AI182" s="307">
        <v>181.0</v>
      </c>
      <c r="AK182" s="687" t="s">
        <v>1005</v>
      </c>
      <c r="AL182" s="307">
        <v>181.0</v>
      </c>
      <c r="AN182" s="687" t="s">
        <v>2418</v>
      </c>
      <c r="AO182" s="307">
        <v>181.0</v>
      </c>
      <c r="AQ182" s="687" t="s">
        <v>852</v>
      </c>
      <c r="AR182" s="307">
        <v>181.0</v>
      </c>
      <c r="AT182" s="687" t="s">
        <v>2382</v>
      </c>
      <c r="AU182" s="307">
        <v>181.0</v>
      </c>
      <c r="AW182" s="687" t="s">
        <v>2418</v>
      </c>
      <c r="AX182" s="307">
        <v>181.0</v>
      </c>
      <c r="AZ182" s="687" t="s">
        <v>906</v>
      </c>
      <c r="BA182" s="307">
        <v>181.0</v>
      </c>
      <c r="BC182" s="691" t="s">
        <v>841</v>
      </c>
      <c r="BD182" s="307">
        <v>181.0</v>
      </c>
      <c r="BF182" s="687" t="s">
        <v>2431</v>
      </c>
      <c r="BG182" s="145">
        <v>181.0</v>
      </c>
      <c r="BI182" s="688" t="s">
        <v>907</v>
      </c>
      <c r="BJ182" s="145">
        <v>181.0</v>
      </c>
      <c r="BL182" s="692" t="s">
        <v>1080</v>
      </c>
      <c r="BM182" s="216">
        <v>181.0</v>
      </c>
    </row>
    <row r="183">
      <c r="A183" s="41" t="s">
        <v>2401</v>
      </c>
      <c r="B183" s="307">
        <v>182.0</v>
      </c>
      <c r="C183" s="41"/>
      <c r="D183" s="41" t="s">
        <v>2198</v>
      </c>
      <c r="E183" s="307">
        <v>182.0</v>
      </c>
      <c r="F183" s="41"/>
      <c r="G183" s="41" t="s">
        <v>2676</v>
      </c>
      <c r="H183" s="307">
        <v>182.0</v>
      </c>
      <c r="I183" s="41"/>
      <c r="J183" s="41" t="s">
        <v>254</v>
      </c>
      <c r="K183" s="307">
        <v>182.0</v>
      </c>
      <c r="L183" s="41"/>
      <c r="M183" s="41" t="s">
        <v>817</v>
      </c>
      <c r="N183" s="307">
        <v>182.0</v>
      </c>
      <c r="O183" s="41"/>
      <c r="P183" s="41" t="s">
        <v>2648</v>
      </c>
      <c r="Q183" s="307">
        <v>182.0</v>
      </c>
      <c r="R183" s="41"/>
      <c r="S183" s="41" t="s">
        <v>906</v>
      </c>
      <c r="T183" s="307">
        <v>182.0</v>
      </c>
      <c r="U183" s="41"/>
      <c r="V183" s="41" t="s">
        <v>2664</v>
      </c>
      <c r="W183" s="307">
        <v>182.0</v>
      </c>
      <c r="X183" s="41"/>
      <c r="Y183" s="682" t="s">
        <v>2303</v>
      </c>
      <c r="Z183" s="307">
        <v>182.0</v>
      </c>
      <c r="AA183" s="41"/>
      <c r="AB183" s="683" t="s">
        <v>231</v>
      </c>
      <c r="AC183" s="307">
        <v>182.0</v>
      </c>
      <c r="AD183" s="79"/>
      <c r="AE183" s="690" t="s">
        <v>236</v>
      </c>
      <c r="AF183" s="307">
        <v>182.0</v>
      </c>
      <c r="AH183" s="687" t="s">
        <v>2651</v>
      </c>
      <c r="AI183" s="307">
        <v>182.0</v>
      </c>
      <c r="AK183" s="687" t="s">
        <v>927</v>
      </c>
      <c r="AL183" s="307">
        <v>182.0</v>
      </c>
      <c r="AN183" s="687" t="s">
        <v>71</v>
      </c>
      <c r="AO183" s="307">
        <v>182.0</v>
      </c>
      <c r="AQ183" s="687" t="s">
        <v>71</v>
      </c>
      <c r="AR183" s="307">
        <v>182.0</v>
      </c>
      <c r="AT183" s="687" t="s">
        <v>2418</v>
      </c>
      <c r="AU183" s="307">
        <v>182.0</v>
      </c>
      <c r="AW183" s="687" t="s">
        <v>2408</v>
      </c>
      <c r="AX183" s="307">
        <v>182.0</v>
      </c>
      <c r="AZ183" s="687" t="s">
        <v>1250</v>
      </c>
      <c r="BA183" s="307">
        <v>182.0</v>
      </c>
      <c r="BC183" s="691" t="s">
        <v>907</v>
      </c>
      <c r="BD183" s="307">
        <v>182.0</v>
      </c>
      <c r="BF183" s="687" t="s">
        <v>2487</v>
      </c>
      <c r="BG183" s="145">
        <v>182.0</v>
      </c>
      <c r="BI183" s="688" t="s">
        <v>2431</v>
      </c>
      <c r="BJ183" s="145">
        <v>182.0</v>
      </c>
      <c r="BL183" s="692" t="s">
        <v>930</v>
      </c>
      <c r="BM183" s="216">
        <v>182.0</v>
      </c>
    </row>
    <row r="184">
      <c r="A184" s="41" t="s">
        <v>2675</v>
      </c>
      <c r="B184" s="307">
        <v>183.0</v>
      </c>
      <c r="C184" s="41"/>
      <c r="D184" s="41" t="s">
        <v>2297</v>
      </c>
      <c r="E184" s="307">
        <v>183.0</v>
      </c>
      <c r="F184" s="41"/>
      <c r="G184" s="41" t="s">
        <v>841</v>
      </c>
      <c r="H184" s="307">
        <v>183.0</v>
      </c>
      <c r="I184" s="41"/>
      <c r="J184" s="41" t="s">
        <v>1059</v>
      </c>
      <c r="K184" s="307">
        <v>183.0</v>
      </c>
      <c r="L184" s="41"/>
      <c r="M184" s="41" t="s">
        <v>927</v>
      </c>
      <c r="N184" s="307">
        <v>183.0</v>
      </c>
      <c r="O184" s="41"/>
      <c r="P184" s="41" t="s">
        <v>2665</v>
      </c>
      <c r="Q184" s="307">
        <v>183.0</v>
      </c>
      <c r="R184" s="41"/>
      <c r="S184" s="41" t="s">
        <v>218</v>
      </c>
      <c r="T184" s="307">
        <v>183.0</v>
      </c>
      <c r="U184" s="41"/>
      <c r="V184" s="41" t="s">
        <v>2303</v>
      </c>
      <c r="W184" s="307">
        <v>183.0</v>
      </c>
      <c r="X184" s="41"/>
      <c r="Y184" s="698" t="s">
        <v>223</v>
      </c>
      <c r="Z184" s="307">
        <v>183.0</v>
      </c>
      <c r="AA184" s="41"/>
      <c r="AB184" s="683" t="s">
        <v>2681</v>
      </c>
      <c r="AC184" s="307">
        <v>183.0</v>
      </c>
      <c r="AD184" s="79"/>
      <c r="AE184" s="690" t="s">
        <v>2405</v>
      </c>
      <c r="AF184" s="307">
        <v>183.0</v>
      </c>
      <c r="AH184" s="687" t="s">
        <v>815</v>
      </c>
      <c r="AI184" s="307">
        <v>183.0</v>
      </c>
      <c r="AK184" s="687" t="s">
        <v>838</v>
      </c>
      <c r="AL184" s="307">
        <v>183.0</v>
      </c>
      <c r="AN184" s="687" t="s">
        <v>233</v>
      </c>
      <c r="AO184" s="307">
        <v>183.0</v>
      </c>
      <c r="AQ184" s="687" t="s">
        <v>231</v>
      </c>
      <c r="AR184" s="307">
        <v>183.0</v>
      </c>
      <c r="AT184" s="687" t="s">
        <v>2206</v>
      </c>
      <c r="AU184" s="307">
        <v>183.0</v>
      </c>
      <c r="AW184" s="687" t="s">
        <v>2363</v>
      </c>
      <c r="AX184" s="307">
        <v>183.0</v>
      </c>
      <c r="AZ184" s="687" t="s">
        <v>231</v>
      </c>
      <c r="BA184" s="307">
        <v>183.0</v>
      </c>
      <c r="BC184" s="691" t="s">
        <v>2487</v>
      </c>
      <c r="BD184" s="307">
        <v>183.0</v>
      </c>
      <c r="BF184" s="687" t="s">
        <v>2671</v>
      </c>
      <c r="BG184" s="145">
        <v>183.0</v>
      </c>
      <c r="BI184" s="688" t="s">
        <v>922</v>
      </c>
      <c r="BJ184" s="145">
        <v>183.0</v>
      </c>
      <c r="BL184" s="692" t="s">
        <v>1126</v>
      </c>
      <c r="BM184" s="216">
        <v>183.0</v>
      </c>
    </row>
    <row r="185">
      <c r="A185" s="41" t="s">
        <v>81</v>
      </c>
      <c r="B185" s="307">
        <v>184.0</v>
      </c>
      <c r="C185" s="41"/>
      <c r="D185" s="41" t="s">
        <v>2604</v>
      </c>
      <c r="E185" s="307">
        <v>184.0</v>
      </c>
      <c r="F185" s="41"/>
      <c r="G185" s="41" t="s">
        <v>2673</v>
      </c>
      <c r="H185" s="307">
        <v>184.0</v>
      </c>
      <c r="I185" s="41"/>
      <c r="J185" s="41" t="s">
        <v>2193</v>
      </c>
      <c r="K185" s="307">
        <v>184.0</v>
      </c>
      <c r="L185" s="41"/>
      <c r="M185" s="41" t="s">
        <v>2648</v>
      </c>
      <c r="N185" s="307">
        <v>184.0</v>
      </c>
      <c r="O185" s="41"/>
      <c r="P185" s="41" t="s">
        <v>2408</v>
      </c>
      <c r="Q185" s="307">
        <v>184.0</v>
      </c>
      <c r="R185" s="41"/>
      <c r="S185" s="41" t="s">
        <v>931</v>
      </c>
      <c r="T185" s="307">
        <v>184.0</v>
      </c>
      <c r="U185" s="41"/>
      <c r="V185" s="41" t="s">
        <v>223</v>
      </c>
      <c r="W185" s="307">
        <v>184.0</v>
      </c>
      <c r="X185" s="41"/>
      <c r="Y185" s="682" t="s">
        <v>217</v>
      </c>
      <c r="Z185" s="307">
        <v>184.0</v>
      </c>
      <c r="AA185" s="41"/>
      <c r="AB185" s="683" t="s">
        <v>1005</v>
      </c>
      <c r="AC185" s="307">
        <v>184.0</v>
      </c>
      <c r="AD185" s="79"/>
      <c r="AE185" s="704" t="s">
        <v>235</v>
      </c>
      <c r="AF185" s="307">
        <v>184.0</v>
      </c>
      <c r="AG185" s="705"/>
      <c r="AH185" s="706" t="s">
        <v>2655</v>
      </c>
      <c r="AI185" s="307">
        <v>184.0</v>
      </c>
      <c r="AJ185" s="705"/>
      <c r="AK185" s="706" t="s">
        <v>236</v>
      </c>
      <c r="AL185" s="307">
        <v>184.0</v>
      </c>
      <c r="AM185" s="705"/>
      <c r="AN185" s="706" t="s">
        <v>2449</v>
      </c>
      <c r="AO185" s="307">
        <v>184.0</v>
      </c>
      <c r="AP185" s="705"/>
      <c r="AQ185" s="706" t="s">
        <v>2206</v>
      </c>
      <c r="AR185" s="307">
        <v>184.0</v>
      </c>
      <c r="AS185" s="705"/>
      <c r="AT185" s="706" t="s">
        <v>2408</v>
      </c>
      <c r="AU185" s="307">
        <v>184.0</v>
      </c>
      <c r="AV185" s="705"/>
      <c r="AW185" s="706" t="s">
        <v>2682</v>
      </c>
      <c r="AX185" s="307">
        <v>184.0</v>
      </c>
      <c r="AY185" s="705"/>
      <c r="AZ185" s="706" t="s">
        <v>2382</v>
      </c>
      <c r="BA185" s="307">
        <v>184.0</v>
      </c>
      <c r="BB185" s="705"/>
      <c r="BC185" s="707" t="s">
        <v>2682</v>
      </c>
      <c r="BD185" s="307">
        <v>184.0</v>
      </c>
      <c r="BF185" s="687" t="s">
        <v>856</v>
      </c>
      <c r="BG185" s="145">
        <v>184.0</v>
      </c>
      <c r="BI185" s="688" t="s">
        <v>2664</v>
      </c>
      <c r="BJ185" s="145">
        <v>184.0</v>
      </c>
      <c r="BL185" s="692" t="s">
        <v>2273</v>
      </c>
      <c r="BM185" s="216">
        <v>184.0</v>
      </c>
    </row>
    <row r="186">
      <c r="A186" s="41" t="s">
        <v>858</v>
      </c>
      <c r="B186" s="307">
        <v>185.0</v>
      </c>
      <c r="C186" s="41"/>
      <c r="D186" s="41" t="s">
        <v>907</v>
      </c>
      <c r="E186" s="307">
        <v>185.0</v>
      </c>
      <c r="F186" s="41"/>
      <c r="G186" s="41" t="s">
        <v>2371</v>
      </c>
      <c r="H186" s="307">
        <v>185.0</v>
      </c>
      <c r="I186" s="41"/>
      <c r="J186" s="41" t="s">
        <v>2675</v>
      </c>
      <c r="K186" s="307">
        <v>185.0</v>
      </c>
      <c r="L186" s="41"/>
      <c r="M186" s="41" t="s">
        <v>214</v>
      </c>
      <c r="N186" s="307">
        <v>185.0</v>
      </c>
      <c r="O186" s="41"/>
      <c r="P186" s="41" t="s">
        <v>906</v>
      </c>
      <c r="Q186" s="307">
        <v>185.0</v>
      </c>
      <c r="R186" s="41"/>
      <c r="S186" s="41" t="s">
        <v>2651</v>
      </c>
      <c r="T186" s="307">
        <v>185.0</v>
      </c>
      <c r="U186" s="41"/>
      <c r="V186" s="41" t="s">
        <v>2657</v>
      </c>
      <c r="W186" s="307">
        <v>185.0</v>
      </c>
      <c r="X186" s="41"/>
      <c r="Y186" s="682" t="s">
        <v>251</v>
      </c>
      <c r="Z186" s="307">
        <v>185.0</v>
      </c>
      <c r="AA186" s="41"/>
      <c r="AB186" s="683" t="s">
        <v>217</v>
      </c>
      <c r="AC186" s="307">
        <v>185.0</v>
      </c>
      <c r="AD186" s="79"/>
      <c r="AE186" s="690" t="s">
        <v>75</v>
      </c>
      <c r="AF186" s="307">
        <v>185.0</v>
      </c>
      <c r="AH186" s="687" t="s">
        <v>236</v>
      </c>
      <c r="AI186" s="307">
        <v>185.0</v>
      </c>
      <c r="AK186" s="687" t="s">
        <v>2665</v>
      </c>
      <c r="AL186" s="307">
        <v>185.0</v>
      </c>
      <c r="AN186" s="687" t="s">
        <v>240</v>
      </c>
      <c r="AO186" s="307">
        <v>185.0</v>
      </c>
      <c r="AQ186" s="687" t="s">
        <v>2408</v>
      </c>
      <c r="AR186" s="307">
        <v>185.0</v>
      </c>
      <c r="AT186" s="687" t="s">
        <v>2642</v>
      </c>
      <c r="AU186" s="307">
        <v>185.0</v>
      </c>
      <c r="AW186" s="687" t="s">
        <v>922</v>
      </c>
      <c r="AX186" s="307">
        <v>185.0</v>
      </c>
      <c r="AZ186" s="687" t="s">
        <v>2363</v>
      </c>
      <c r="BA186" s="307">
        <v>185.0</v>
      </c>
      <c r="BC186" s="691" t="s">
        <v>1087</v>
      </c>
      <c r="BD186" s="307">
        <v>185.0</v>
      </c>
      <c r="BF186" s="687" t="s">
        <v>816</v>
      </c>
      <c r="BG186" s="145">
        <v>185.0</v>
      </c>
      <c r="BI186" s="688" t="s">
        <v>2671</v>
      </c>
      <c r="BJ186" s="145">
        <v>185.0</v>
      </c>
      <c r="BL186" s="692" t="s">
        <v>2642</v>
      </c>
      <c r="BM186" s="216">
        <v>185.0</v>
      </c>
    </row>
    <row r="187">
      <c r="A187" s="41" t="s">
        <v>2260</v>
      </c>
      <c r="B187" s="307">
        <v>186.0</v>
      </c>
      <c r="C187" s="41"/>
      <c r="D187" s="41" t="s">
        <v>67</v>
      </c>
      <c r="E187" s="307">
        <v>186.0</v>
      </c>
      <c r="F187" s="41"/>
      <c r="G187" s="41" t="s">
        <v>261</v>
      </c>
      <c r="H187" s="307">
        <v>186.0</v>
      </c>
      <c r="I187" s="41"/>
      <c r="J187" s="41" t="s">
        <v>260</v>
      </c>
      <c r="K187" s="307">
        <v>186.0</v>
      </c>
      <c r="L187" s="41"/>
      <c r="M187" s="41" t="s">
        <v>852</v>
      </c>
      <c r="N187" s="307">
        <v>186.0</v>
      </c>
      <c r="O187" s="41"/>
      <c r="P187" s="41" t="s">
        <v>218</v>
      </c>
      <c r="Q187" s="307">
        <v>186.0</v>
      </c>
      <c r="R187" s="41"/>
      <c r="S187" s="41" t="s">
        <v>2417</v>
      </c>
      <c r="T187" s="307">
        <v>186.0</v>
      </c>
      <c r="U187" s="41"/>
      <c r="V187" s="41" t="s">
        <v>251</v>
      </c>
      <c r="W187" s="307">
        <v>186.0</v>
      </c>
      <c r="X187" s="41"/>
      <c r="Y187" s="682" t="s">
        <v>2371</v>
      </c>
      <c r="Z187" s="307">
        <v>186.0</v>
      </c>
      <c r="AA187" s="41"/>
      <c r="AB187" s="683" t="s">
        <v>2428</v>
      </c>
      <c r="AC187" s="307">
        <v>186.0</v>
      </c>
      <c r="AD187" s="79"/>
      <c r="AE187" s="690" t="s">
        <v>916</v>
      </c>
      <c r="AF187" s="307">
        <v>186.0</v>
      </c>
      <c r="AH187" s="687" t="s">
        <v>2665</v>
      </c>
      <c r="AI187" s="307">
        <v>186.0</v>
      </c>
      <c r="AK187" s="687" t="s">
        <v>2418</v>
      </c>
      <c r="AL187" s="307">
        <v>186.0</v>
      </c>
      <c r="AN187" s="687" t="s">
        <v>913</v>
      </c>
      <c r="AO187" s="307">
        <v>186.0</v>
      </c>
      <c r="AQ187" s="687" t="s">
        <v>2642</v>
      </c>
      <c r="AR187" s="307">
        <v>186.0</v>
      </c>
      <c r="AT187" s="687" t="s">
        <v>816</v>
      </c>
      <c r="AU187" s="307">
        <v>186.0</v>
      </c>
      <c r="AW187" s="687" t="s">
        <v>929</v>
      </c>
      <c r="AX187" s="307">
        <v>186.0</v>
      </c>
      <c r="AZ187" s="687" t="s">
        <v>2677</v>
      </c>
      <c r="BA187" s="307">
        <v>186.0</v>
      </c>
      <c r="BC187" s="691" t="s">
        <v>856</v>
      </c>
      <c r="BD187" s="307">
        <v>186.0</v>
      </c>
      <c r="BF187" s="687" t="s">
        <v>1126</v>
      </c>
      <c r="BG187" s="145">
        <v>186.0</v>
      </c>
      <c r="BI187" s="688" t="s">
        <v>220</v>
      </c>
      <c r="BJ187" s="145">
        <v>186.0</v>
      </c>
      <c r="BL187" s="692" t="s">
        <v>217</v>
      </c>
      <c r="BM187" s="216">
        <v>186.0</v>
      </c>
    </row>
    <row r="188">
      <c r="A188" s="41" t="s">
        <v>2638</v>
      </c>
      <c r="B188" s="307">
        <v>187.0</v>
      </c>
      <c r="C188" s="41"/>
      <c r="D188" s="41" t="s">
        <v>2282</v>
      </c>
      <c r="E188" s="307">
        <v>187.0</v>
      </c>
      <c r="F188" s="41"/>
      <c r="G188" s="41" t="s">
        <v>2287</v>
      </c>
      <c r="H188" s="307">
        <v>187.0</v>
      </c>
      <c r="I188" s="41"/>
      <c r="J188" s="41" t="s">
        <v>1245</v>
      </c>
      <c r="K188" s="307">
        <v>187.0</v>
      </c>
      <c r="L188" s="41"/>
      <c r="M188" s="41" t="s">
        <v>1059</v>
      </c>
      <c r="N188" s="307">
        <v>187.0</v>
      </c>
      <c r="O188" s="41"/>
      <c r="P188" s="41" t="s">
        <v>2651</v>
      </c>
      <c r="Q188" s="307">
        <v>187.0</v>
      </c>
      <c r="R188" s="41"/>
      <c r="S188" s="41" t="s">
        <v>2662</v>
      </c>
      <c r="T188" s="307">
        <v>187.0</v>
      </c>
      <c r="U188" s="41"/>
      <c r="V188" s="41" t="s">
        <v>2371</v>
      </c>
      <c r="W188" s="307">
        <v>187.0</v>
      </c>
      <c r="X188" s="41"/>
      <c r="Y188" s="698" t="s">
        <v>2273</v>
      </c>
      <c r="Z188" s="307">
        <v>187.0</v>
      </c>
      <c r="AA188" s="41"/>
      <c r="AB188" s="683" t="s">
        <v>233</v>
      </c>
      <c r="AC188" s="307">
        <v>187.0</v>
      </c>
      <c r="AD188" s="79"/>
      <c r="AE188" s="690" t="s">
        <v>2665</v>
      </c>
      <c r="AF188" s="307">
        <v>187.0</v>
      </c>
      <c r="AH188" s="687" t="s">
        <v>231</v>
      </c>
      <c r="AI188" s="307">
        <v>187.0</v>
      </c>
      <c r="AK188" s="687" t="s">
        <v>2681</v>
      </c>
      <c r="AL188" s="307">
        <v>187.0</v>
      </c>
      <c r="AN188" s="687" t="s">
        <v>241</v>
      </c>
      <c r="AO188" s="307">
        <v>187.0</v>
      </c>
      <c r="AQ188" s="687" t="s">
        <v>908</v>
      </c>
      <c r="AR188" s="307">
        <v>187.0</v>
      </c>
      <c r="AT188" s="687" t="s">
        <v>928</v>
      </c>
      <c r="AU188" s="307">
        <v>187.0</v>
      </c>
      <c r="AW188" s="687" t="s">
        <v>1250</v>
      </c>
      <c r="AX188" s="307">
        <v>187.0</v>
      </c>
      <c r="AZ188" s="687" t="s">
        <v>922</v>
      </c>
      <c r="BA188" s="307">
        <v>187.0</v>
      </c>
      <c r="BC188" s="691" t="s">
        <v>1080</v>
      </c>
      <c r="BD188" s="307">
        <v>187.0</v>
      </c>
      <c r="BF188" s="687" t="s">
        <v>2677</v>
      </c>
      <c r="BG188" s="145">
        <v>187.0</v>
      </c>
      <c r="BI188" s="688" t="s">
        <v>2677</v>
      </c>
      <c r="BJ188" s="145">
        <v>187.0</v>
      </c>
      <c r="BL188" s="692" t="s">
        <v>913</v>
      </c>
      <c r="BM188" s="216">
        <v>187.0</v>
      </c>
    </row>
    <row r="189">
      <c r="A189" s="41" t="s">
        <v>906</v>
      </c>
      <c r="B189" s="307">
        <v>188.0</v>
      </c>
      <c r="C189" s="41"/>
      <c r="D189" s="41" t="s">
        <v>82</v>
      </c>
      <c r="E189" s="307">
        <v>188.0</v>
      </c>
      <c r="F189" s="41"/>
      <c r="G189" s="41" t="s">
        <v>2405</v>
      </c>
      <c r="H189" s="307">
        <v>188.0</v>
      </c>
      <c r="I189" s="41"/>
      <c r="J189" s="41" t="s">
        <v>222</v>
      </c>
      <c r="K189" s="307">
        <v>188.0</v>
      </c>
      <c r="L189" s="41"/>
      <c r="M189" s="41" t="s">
        <v>2282</v>
      </c>
      <c r="N189" s="307">
        <v>188.0</v>
      </c>
      <c r="O189" s="41"/>
      <c r="P189" s="41" t="s">
        <v>2352</v>
      </c>
      <c r="Q189" s="307">
        <v>188.0</v>
      </c>
      <c r="R189" s="41"/>
      <c r="S189" s="41" t="s">
        <v>2664</v>
      </c>
      <c r="T189" s="307">
        <v>188.0</v>
      </c>
      <c r="U189" s="41"/>
      <c r="V189" s="41" t="s">
        <v>2273</v>
      </c>
      <c r="W189" s="307">
        <v>188.0</v>
      </c>
      <c r="X189" s="41"/>
      <c r="Y189" s="682" t="s">
        <v>231</v>
      </c>
      <c r="Z189" s="307">
        <v>188.0</v>
      </c>
      <c r="AA189" s="41"/>
      <c r="AB189" s="683" t="s">
        <v>236</v>
      </c>
      <c r="AC189" s="307">
        <v>188.0</v>
      </c>
      <c r="AD189" s="79"/>
      <c r="AE189" s="704" t="s">
        <v>2371</v>
      </c>
      <c r="AF189" s="705">
        <v>188.0</v>
      </c>
      <c r="AG189" s="705"/>
      <c r="AH189" s="706" t="s">
        <v>2408</v>
      </c>
      <c r="AI189" s="705">
        <v>188.0</v>
      </c>
      <c r="AJ189" s="705"/>
      <c r="AK189" s="706" t="s">
        <v>2646</v>
      </c>
      <c r="AL189" s="705">
        <v>188.0</v>
      </c>
      <c r="AM189" s="705"/>
      <c r="AN189" s="706" t="s">
        <v>2294</v>
      </c>
      <c r="AO189" s="705">
        <v>188.0</v>
      </c>
      <c r="AP189" s="705"/>
      <c r="AQ189" s="706" t="s">
        <v>926</v>
      </c>
      <c r="AR189" s="705">
        <v>188.0</v>
      </c>
      <c r="AS189" s="705"/>
      <c r="AT189" s="706" t="s">
        <v>1240</v>
      </c>
      <c r="AU189" s="705">
        <v>188.0</v>
      </c>
      <c r="AV189" s="705"/>
      <c r="AW189" s="706" t="s">
        <v>2194</v>
      </c>
      <c r="AX189" s="705">
        <v>188.0</v>
      </c>
      <c r="AY189" s="705"/>
      <c r="AZ189" s="706" t="s">
        <v>2682</v>
      </c>
      <c r="BA189" s="705">
        <v>188.0</v>
      </c>
      <c r="BB189" s="705"/>
      <c r="BC189" s="707" t="s">
        <v>816</v>
      </c>
      <c r="BD189" s="705">
        <v>188.0</v>
      </c>
      <c r="BE189" s="705"/>
      <c r="BF189" s="706" t="s">
        <v>2682</v>
      </c>
      <c r="BG189" s="145">
        <v>188.0</v>
      </c>
      <c r="BI189" s="708" t="s">
        <v>2682</v>
      </c>
      <c r="BJ189" s="145">
        <v>188.0</v>
      </c>
      <c r="BL189" s="692" t="s">
        <v>2324</v>
      </c>
      <c r="BM189" s="216">
        <v>188.0</v>
      </c>
    </row>
    <row r="190">
      <c r="A190" s="41" t="s">
        <v>2659</v>
      </c>
      <c r="B190" s="307">
        <v>189.0</v>
      </c>
      <c r="C190" s="41"/>
      <c r="D190" s="41" t="s">
        <v>2676</v>
      </c>
      <c r="E190" s="307">
        <v>189.0</v>
      </c>
      <c r="F190" s="41"/>
      <c r="G190" s="41" t="s">
        <v>1122</v>
      </c>
      <c r="H190" s="307">
        <v>189.0</v>
      </c>
      <c r="I190" s="41"/>
      <c r="J190" s="41" t="s">
        <v>2672</v>
      </c>
      <c r="K190" s="307">
        <v>189.0</v>
      </c>
      <c r="L190" s="41"/>
      <c r="M190" s="41" t="s">
        <v>2382</v>
      </c>
      <c r="N190" s="307">
        <v>189.0</v>
      </c>
      <c r="O190" s="41"/>
      <c r="P190" s="41" t="s">
        <v>908</v>
      </c>
      <c r="Q190" s="307">
        <v>189.0</v>
      </c>
      <c r="R190" s="41"/>
      <c r="S190" s="41" t="s">
        <v>2319</v>
      </c>
      <c r="T190" s="307">
        <v>189.0</v>
      </c>
      <c r="U190" s="41"/>
      <c r="V190" s="41" t="s">
        <v>2296</v>
      </c>
      <c r="W190" s="307">
        <v>189.0</v>
      </c>
      <c r="X190" s="41"/>
      <c r="Y190" s="682" t="s">
        <v>2681</v>
      </c>
      <c r="Z190" s="307">
        <v>189.0</v>
      </c>
      <c r="AA190" s="41"/>
      <c r="AB190" s="683" t="s">
        <v>2405</v>
      </c>
      <c r="AC190" s="307">
        <v>189.0</v>
      </c>
      <c r="AD190" s="79"/>
      <c r="AE190" s="690" t="s">
        <v>2408</v>
      </c>
      <c r="AF190" s="307">
        <v>189.0</v>
      </c>
      <c r="AH190" s="687" t="s">
        <v>2418</v>
      </c>
      <c r="AI190" s="307">
        <v>189.0</v>
      </c>
      <c r="AK190" s="687" t="s">
        <v>233</v>
      </c>
      <c r="AL190" s="307">
        <v>189.0</v>
      </c>
      <c r="AN190" s="687" t="s">
        <v>906</v>
      </c>
      <c r="AO190" s="307">
        <v>189.0</v>
      </c>
      <c r="AQ190" s="687" t="s">
        <v>816</v>
      </c>
      <c r="AR190" s="307">
        <v>189.0</v>
      </c>
      <c r="AT190" s="687" t="s">
        <v>922</v>
      </c>
      <c r="AU190" s="307">
        <v>189.0</v>
      </c>
      <c r="AW190" s="687" t="s">
        <v>856</v>
      </c>
      <c r="AX190" s="307">
        <v>189.0</v>
      </c>
      <c r="AZ190" s="687" t="s">
        <v>929</v>
      </c>
      <c r="BA190" s="307">
        <v>189.0</v>
      </c>
      <c r="BC190" s="691" t="s">
        <v>1126</v>
      </c>
      <c r="BD190" s="307">
        <v>189.0</v>
      </c>
      <c r="BF190" s="687" t="s">
        <v>2405</v>
      </c>
      <c r="BG190" s="145">
        <v>189.0</v>
      </c>
      <c r="BI190" s="688" t="s">
        <v>2405</v>
      </c>
      <c r="BJ190" s="145">
        <v>189.0</v>
      </c>
      <c r="BL190" s="692" t="s">
        <v>939</v>
      </c>
      <c r="BM190" s="216">
        <v>189.0</v>
      </c>
    </row>
    <row r="191">
      <c r="A191" s="41" t="s">
        <v>2683</v>
      </c>
      <c r="B191" s="307">
        <v>190.0</v>
      </c>
      <c r="C191" s="41"/>
      <c r="D191" s="41" t="s">
        <v>2673</v>
      </c>
      <c r="E191" s="307">
        <v>190.0</v>
      </c>
      <c r="F191" s="41"/>
      <c r="G191" s="41" t="s">
        <v>77</v>
      </c>
      <c r="H191" s="307">
        <v>190.0</v>
      </c>
      <c r="I191" s="41"/>
      <c r="J191" s="41" t="s">
        <v>71</v>
      </c>
      <c r="K191" s="307">
        <v>190.0</v>
      </c>
      <c r="L191" s="41"/>
      <c r="M191" s="41" t="s">
        <v>921</v>
      </c>
      <c r="N191" s="307">
        <v>190.0</v>
      </c>
      <c r="O191" s="41"/>
      <c r="P191" s="41" t="s">
        <v>2417</v>
      </c>
      <c r="Q191" s="307">
        <v>190.0</v>
      </c>
      <c r="R191" s="41"/>
      <c r="S191" s="41" t="s">
        <v>251</v>
      </c>
      <c r="T191" s="307">
        <v>190.0</v>
      </c>
      <c r="U191" s="41"/>
      <c r="V191" s="41" t="s">
        <v>231</v>
      </c>
      <c r="W191" s="307">
        <v>190.0</v>
      </c>
      <c r="X191" s="41"/>
      <c r="Y191" s="682" t="s">
        <v>931</v>
      </c>
      <c r="Z191" s="307">
        <v>190.0</v>
      </c>
      <c r="AA191" s="41"/>
      <c r="AB191" s="683" t="s">
        <v>2666</v>
      </c>
      <c r="AC191" s="307">
        <v>190.0</v>
      </c>
      <c r="AD191" s="79"/>
      <c r="AE191" s="690" t="s">
        <v>2418</v>
      </c>
      <c r="AF191" s="307">
        <v>190.0</v>
      </c>
      <c r="AH191" s="687" t="s">
        <v>2681</v>
      </c>
      <c r="AI191" s="307">
        <v>190.0</v>
      </c>
      <c r="AK191" s="687" t="s">
        <v>2449</v>
      </c>
      <c r="AL191" s="307">
        <v>190.0</v>
      </c>
      <c r="AN191" s="687" t="s">
        <v>231</v>
      </c>
      <c r="AO191" s="307">
        <v>190.0</v>
      </c>
      <c r="AQ191" s="687" t="s">
        <v>928</v>
      </c>
      <c r="AR191" s="307">
        <v>190.0</v>
      </c>
      <c r="AT191" s="687" t="s">
        <v>929</v>
      </c>
      <c r="AU191" s="307">
        <v>190.0</v>
      </c>
      <c r="AW191" s="687" t="s">
        <v>2206</v>
      </c>
      <c r="AX191" s="307">
        <v>190.0</v>
      </c>
      <c r="AZ191" s="687" t="s">
        <v>2194</v>
      </c>
      <c r="BA191" s="307">
        <v>190.0</v>
      </c>
      <c r="BC191" s="691" t="s">
        <v>2677</v>
      </c>
      <c r="BD191" s="307">
        <v>190.0</v>
      </c>
      <c r="BF191" s="687" t="s">
        <v>1076</v>
      </c>
      <c r="BG191" s="145">
        <v>190.0</v>
      </c>
      <c r="BI191" s="688" t="s">
        <v>913</v>
      </c>
      <c r="BJ191" s="145">
        <v>190.0</v>
      </c>
      <c r="BL191" s="692" t="s">
        <v>2664</v>
      </c>
      <c r="BM191" s="216">
        <v>190.0</v>
      </c>
    </row>
    <row r="192">
      <c r="A192" s="41" t="s">
        <v>2366</v>
      </c>
      <c r="B192" s="307">
        <v>191.0</v>
      </c>
      <c r="C192" s="41"/>
      <c r="D192" s="41" t="s">
        <v>927</v>
      </c>
      <c r="E192" s="307">
        <v>191.0</v>
      </c>
      <c r="F192" s="41"/>
      <c r="G192" s="41" t="s">
        <v>2133</v>
      </c>
      <c r="H192" s="307">
        <v>191.0</v>
      </c>
      <c r="I192" s="41"/>
      <c r="J192" s="41" t="s">
        <v>2679</v>
      </c>
      <c r="K192" s="307">
        <v>191.0</v>
      </c>
      <c r="L192" s="41"/>
      <c r="M192" s="41" t="s">
        <v>2401</v>
      </c>
      <c r="N192" s="307">
        <v>191.0</v>
      </c>
      <c r="O192" s="41"/>
      <c r="P192" s="41" t="s">
        <v>2662</v>
      </c>
      <c r="Q192" s="307">
        <v>191.0</v>
      </c>
      <c r="R192" s="41"/>
      <c r="S192" s="41" t="s">
        <v>2371</v>
      </c>
      <c r="T192" s="307">
        <v>191.0</v>
      </c>
      <c r="U192" s="41"/>
      <c r="V192" s="41" t="s">
        <v>2681</v>
      </c>
      <c r="W192" s="307">
        <v>191.0</v>
      </c>
      <c r="X192" s="41"/>
      <c r="Y192" s="682" t="s">
        <v>1005</v>
      </c>
      <c r="Z192" s="307">
        <v>191.0</v>
      </c>
      <c r="AA192" s="41"/>
      <c r="AB192" s="683" t="s">
        <v>75</v>
      </c>
      <c r="AC192" s="307">
        <v>191.0</v>
      </c>
      <c r="AD192" s="79"/>
      <c r="AE192" s="690" t="s">
        <v>2680</v>
      </c>
      <c r="AF192" s="307">
        <v>191.0</v>
      </c>
      <c r="AH192" s="687" t="s">
        <v>2656</v>
      </c>
      <c r="AI192" s="307">
        <v>191.0</v>
      </c>
      <c r="AK192" s="687" t="s">
        <v>240</v>
      </c>
      <c r="AL192" s="307">
        <v>191.0</v>
      </c>
      <c r="AN192" s="687" t="s">
        <v>2206</v>
      </c>
      <c r="AO192" s="307">
        <v>191.0</v>
      </c>
      <c r="AQ192" s="687" t="s">
        <v>922</v>
      </c>
      <c r="AR192" s="307">
        <v>191.0</v>
      </c>
      <c r="AT192" s="687" t="s">
        <v>1250</v>
      </c>
      <c r="AU192" s="307">
        <v>191.0</v>
      </c>
      <c r="AW192" s="687" t="s">
        <v>816</v>
      </c>
      <c r="AX192" s="307">
        <v>191.0</v>
      </c>
      <c r="AZ192" s="687" t="s">
        <v>856</v>
      </c>
      <c r="BA192" s="307">
        <v>191.0</v>
      </c>
      <c r="BC192" s="691" t="s">
        <v>2405</v>
      </c>
      <c r="BD192" s="307">
        <v>191.0</v>
      </c>
      <c r="BF192" s="687" t="s">
        <v>2218</v>
      </c>
      <c r="BG192" s="145">
        <v>191.0</v>
      </c>
      <c r="BI192" s="688" t="s">
        <v>2324</v>
      </c>
      <c r="BJ192" s="145">
        <v>191.0</v>
      </c>
      <c r="BL192" s="692" t="s">
        <v>1041</v>
      </c>
      <c r="BM192" s="216">
        <v>191.0</v>
      </c>
    </row>
    <row r="193">
      <c r="A193" s="41" t="s">
        <v>271</v>
      </c>
      <c r="B193" s="307">
        <v>192.0</v>
      </c>
      <c r="C193" s="41"/>
      <c r="D193" s="41" t="s">
        <v>2289</v>
      </c>
      <c r="E193" s="307">
        <v>192.0</v>
      </c>
      <c r="F193" s="41"/>
      <c r="G193" s="41" t="s">
        <v>2368</v>
      </c>
      <c r="H193" s="307">
        <v>192.0</v>
      </c>
      <c r="I193" s="41"/>
      <c r="J193" s="41" t="s">
        <v>2408</v>
      </c>
      <c r="K193" s="307">
        <v>192.0</v>
      </c>
      <c r="L193" s="41"/>
      <c r="M193" s="41" t="s">
        <v>2418</v>
      </c>
      <c r="N193" s="307">
        <v>192.0</v>
      </c>
      <c r="O193" s="41"/>
      <c r="P193" s="41" t="s">
        <v>2292</v>
      </c>
      <c r="Q193" s="307">
        <v>192.0</v>
      </c>
      <c r="R193" s="41"/>
      <c r="S193" s="41" t="s">
        <v>2273</v>
      </c>
      <c r="T193" s="307">
        <v>192.0</v>
      </c>
      <c r="U193" s="41"/>
      <c r="V193" s="41" t="s">
        <v>931</v>
      </c>
      <c r="W193" s="307">
        <v>192.0</v>
      </c>
      <c r="X193" s="41"/>
      <c r="Y193" s="682" t="s">
        <v>2206</v>
      </c>
      <c r="Z193" s="307">
        <v>192.0</v>
      </c>
      <c r="AA193" s="41"/>
      <c r="AB193" s="683" t="s">
        <v>916</v>
      </c>
      <c r="AC193" s="307">
        <v>192.0</v>
      </c>
      <c r="AD193" s="79"/>
      <c r="AE193" s="690" t="s">
        <v>2428</v>
      </c>
      <c r="AF193" s="307">
        <v>192.0</v>
      </c>
      <c r="AH193" s="687" t="s">
        <v>906</v>
      </c>
      <c r="AI193" s="307">
        <v>192.0</v>
      </c>
      <c r="AK193" s="687" t="s">
        <v>913</v>
      </c>
      <c r="AL193" s="307">
        <v>192.0</v>
      </c>
      <c r="AN193" s="687" t="s">
        <v>2408</v>
      </c>
      <c r="AO193" s="307">
        <v>192.0</v>
      </c>
      <c r="AQ193" s="687" t="s">
        <v>929</v>
      </c>
      <c r="AR193" s="307">
        <v>192.0</v>
      </c>
      <c r="AT193" s="687" t="s">
        <v>2194</v>
      </c>
      <c r="AU193" s="307">
        <v>192.0</v>
      </c>
      <c r="AW193" s="687" t="s">
        <v>841</v>
      </c>
      <c r="AX193" s="307">
        <v>192.0</v>
      </c>
      <c r="AZ193" s="687" t="s">
        <v>835</v>
      </c>
      <c r="BA193" s="307">
        <v>192.0</v>
      </c>
      <c r="BC193" s="691" t="s">
        <v>1076</v>
      </c>
      <c r="BD193" s="307">
        <v>192.0</v>
      </c>
      <c r="BF193" s="687" t="s">
        <v>2289</v>
      </c>
      <c r="BG193" s="145">
        <v>192.0</v>
      </c>
      <c r="BI193" s="688" t="s">
        <v>939</v>
      </c>
      <c r="BJ193" s="145">
        <v>192.0</v>
      </c>
      <c r="BL193" s="692" t="s">
        <v>1136</v>
      </c>
      <c r="BM193" s="216">
        <v>192.0</v>
      </c>
    </row>
    <row r="194">
      <c r="A194" s="41" t="s">
        <v>2604</v>
      </c>
      <c r="B194" s="307">
        <v>193.0</v>
      </c>
      <c r="C194" s="41"/>
      <c r="D194" s="41" t="s">
        <v>2680</v>
      </c>
      <c r="E194" s="307">
        <v>193.0</v>
      </c>
      <c r="F194" s="41"/>
      <c r="G194" s="41" t="s">
        <v>80</v>
      </c>
      <c r="H194" s="307">
        <v>193.0</v>
      </c>
      <c r="I194" s="41"/>
      <c r="J194" s="41" t="s">
        <v>2657</v>
      </c>
      <c r="K194" s="307">
        <v>193.0</v>
      </c>
      <c r="L194" s="41"/>
      <c r="M194" s="41" t="s">
        <v>2420</v>
      </c>
      <c r="N194" s="307">
        <v>193.0</v>
      </c>
      <c r="O194" s="41"/>
      <c r="P194" s="41" t="s">
        <v>2273</v>
      </c>
      <c r="Q194" s="307">
        <v>193.0</v>
      </c>
      <c r="R194" s="41"/>
      <c r="S194" s="41" t="s">
        <v>2296</v>
      </c>
      <c r="T194" s="307">
        <v>193.0</v>
      </c>
      <c r="U194" s="41"/>
      <c r="V194" s="41" t="s">
        <v>926</v>
      </c>
      <c r="W194" s="307">
        <v>193.0</v>
      </c>
      <c r="X194" s="41"/>
      <c r="Y194" s="682" t="s">
        <v>2667</v>
      </c>
      <c r="Z194" s="307">
        <v>193.0</v>
      </c>
      <c r="AA194" s="41"/>
      <c r="AB194" s="683" t="s">
        <v>2371</v>
      </c>
      <c r="AC194" s="307">
        <v>193.0</v>
      </c>
      <c r="AD194" s="79"/>
      <c r="AE194" s="690" t="s">
        <v>2684</v>
      </c>
      <c r="AF194" s="307">
        <v>193.0</v>
      </c>
      <c r="AH194" s="687" t="s">
        <v>1245</v>
      </c>
      <c r="AI194" s="307">
        <v>193.0</v>
      </c>
      <c r="AK194" s="687" t="s">
        <v>2656</v>
      </c>
      <c r="AL194" s="307">
        <v>193.0</v>
      </c>
      <c r="AN194" s="687" t="s">
        <v>2642</v>
      </c>
      <c r="AO194" s="307">
        <v>193.0</v>
      </c>
      <c r="AQ194" s="687" t="s">
        <v>2449</v>
      </c>
      <c r="AR194" s="307">
        <v>193.0</v>
      </c>
      <c r="AT194" s="687" t="s">
        <v>856</v>
      </c>
      <c r="AU194" s="307">
        <v>193.0</v>
      </c>
      <c r="AW194" s="687" t="s">
        <v>212</v>
      </c>
      <c r="AX194" s="307">
        <v>193.0</v>
      </c>
      <c r="AZ194" s="687" t="s">
        <v>816</v>
      </c>
      <c r="BA194" s="307">
        <v>193.0</v>
      </c>
      <c r="BC194" s="691" t="s">
        <v>2218</v>
      </c>
      <c r="BD194" s="307">
        <v>193.0</v>
      </c>
      <c r="BF194" s="687" t="s">
        <v>220</v>
      </c>
      <c r="BG194" s="145">
        <v>193.0</v>
      </c>
      <c r="BI194" s="688" t="s">
        <v>2382</v>
      </c>
      <c r="BJ194" s="145">
        <v>193.0</v>
      </c>
      <c r="BL194" s="692" t="s">
        <v>2685</v>
      </c>
      <c r="BM194" s="216">
        <v>193.0</v>
      </c>
    </row>
    <row r="195">
      <c r="A195" s="41" t="s">
        <v>67</v>
      </c>
      <c r="B195" s="307">
        <v>194.0</v>
      </c>
      <c r="C195" s="41"/>
      <c r="D195" s="41" t="s">
        <v>2405</v>
      </c>
      <c r="E195" s="307">
        <v>194.0</v>
      </c>
      <c r="F195" s="41"/>
      <c r="G195" s="41" t="s">
        <v>75</v>
      </c>
      <c r="H195" s="307">
        <v>194.0</v>
      </c>
      <c r="I195" s="41"/>
      <c r="J195" s="41" t="s">
        <v>927</v>
      </c>
      <c r="K195" s="307">
        <v>194.0</v>
      </c>
      <c r="L195" s="41"/>
      <c r="M195" s="41" t="s">
        <v>2408</v>
      </c>
      <c r="N195" s="307">
        <v>194.0</v>
      </c>
      <c r="O195" s="41"/>
      <c r="P195" s="41" t="s">
        <v>2296</v>
      </c>
      <c r="Q195" s="307">
        <v>194.0</v>
      </c>
      <c r="R195" s="41"/>
      <c r="S195" s="41" t="s">
        <v>248</v>
      </c>
      <c r="T195" s="307">
        <v>194.0</v>
      </c>
      <c r="U195" s="41"/>
      <c r="V195" s="41" t="s">
        <v>1005</v>
      </c>
      <c r="W195" s="307">
        <v>194.0</v>
      </c>
      <c r="X195" s="41"/>
      <c r="Y195" s="682" t="s">
        <v>2428</v>
      </c>
      <c r="Z195" s="307">
        <v>194.0</v>
      </c>
      <c r="AA195" s="41"/>
      <c r="AB195" s="699" t="s">
        <v>2408</v>
      </c>
      <c r="AC195" s="307">
        <v>194.0</v>
      </c>
      <c r="AD195" s="79"/>
      <c r="AE195" s="704" t="s">
        <v>2681</v>
      </c>
      <c r="AF195" s="307">
        <v>194.0</v>
      </c>
      <c r="AG195" s="705"/>
      <c r="AH195" s="706" t="s">
        <v>929</v>
      </c>
      <c r="AI195" s="307">
        <v>194.0</v>
      </c>
      <c r="AJ195" s="705"/>
      <c r="AK195" s="706" t="s">
        <v>241</v>
      </c>
      <c r="AL195" s="307">
        <v>194.0</v>
      </c>
      <c r="AM195" s="705"/>
      <c r="AN195" s="706" t="s">
        <v>908</v>
      </c>
      <c r="AO195" s="307">
        <v>194.0</v>
      </c>
      <c r="AP195" s="705"/>
      <c r="AQ195" s="706" t="s">
        <v>2682</v>
      </c>
      <c r="AR195" s="307">
        <v>194.0</v>
      </c>
      <c r="AT195" s="687" t="s">
        <v>2452</v>
      </c>
      <c r="AU195" s="307">
        <v>194.0</v>
      </c>
      <c r="AW195" s="687" t="s">
        <v>1126</v>
      </c>
      <c r="AX195" s="307">
        <v>194.0</v>
      </c>
      <c r="AZ195" s="687" t="s">
        <v>841</v>
      </c>
      <c r="BA195" s="307">
        <v>194.0</v>
      </c>
      <c r="BC195" s="691" t="s">
        <v>2289</v>
      </c>
      <c r="BD195" s="307">
        <v>194.0</v>
      </c>
      <c r="BF195" s="687" t="s">
        <v>2332</v>
      </c>
      <c r="BG195" s="145">
        <v>194.0</v>
      </c>
      <c r="BI195" s="688" t="s">
        <v>1087</v>
      </c>
      <c r="BJ195" s="145">
        <v>194.0</v>
      </c>
      <c r="BL195" s="692" t="s">
        <v>2617</v>
      </c>
      <c r="BM195" s="216">
        <v>194.0</v>
      </c>
    </row>
    <row r="196">
      <c r="A196" s="41" t="s">
        <v>2368</v>
      </c>
      <c r="B196" s="307">
        <v>195.0</v>
      </c>
      <c r="C196" s="41"/>
      <c r="D196" s="41" t="s">
        <v>1122</v>
      </c>
      <c r="E196" s="307">
        <v>195.0</v>
      </c>
      <c r="F196" s="41"/>
      <c r="G196" s="41" t="s">
        <v>2182</v>
      </c>
      <c r="H196" s="307">
        <v>195.0</v>
      </c>
      <c r="I196" s="41"/>
      <c r="J196" s="41" t="s">
        <v>2648</v>
      </c>
      <c r="K196" s="307">
        <v>195.0</v>
      </c>
      <c r="L196" s="41"/>
      <c r="M196" s="41" t="s">
        <v>906</v>
      </c>
      <c r="N196" s="307">
        <v>195.0</v>
      </c>
      <c r="O196" s="41"/>
      <c r="P196" s="41" t="s">
        <v>248</v>
      </c>
      <c r="Q196" s="307">
        <v>195.0</v>
      </c>
      <c r="R196" s="41"/>
      <c r="S196" s="41" t="s">
        <v>2648</v>
      </c>
      <c r="T196" s="307">
        <v>195.0</v>
      </c>
      <c r="U196" s="41"/>
      <c r="V196" s="41" t="s">
        <v>2206</v>
      </c>
      <c r="W196" s="307">
        <v>195.0</v>
      </c>
      <c r="X196" s="41"/>
      <c r="Y196" s="682" t="s">
        <v>236</v>
      </c>
      <c r="Z196" s="307">
        <v>195.0</v>
      </c>
      <c r="AA196" s="41"/>
      <c r="AB196" s="683" t="s">
        <v>2680</v>
      </c>
      <c r="AC196" s="307">
        <v>195.0</v>
      </c>
      <c r="AD196" s="79"/>
      <c r="AE196" s="690" t="s">
        <v>2656</v>
      </c>
      <c r="AF196" s="307">
        <v>195.0</v>
      </c>
      <c r="AH196" s="687" t="s">
        <v>2405</v>
      </c>
      <c r="AI196" s="307">
        <v>195.0</v>
      </c>
      <c r="AK196" s="687" t="s">
        <v>2294</v>
      </c>
      <c r="AL196" s="307">
        <v>195.0</v>
      </c>
      <c r="AN196" s="687" t="s">
        <v>926</v>
      </c>
      <c r="AO196" s="307">
        <v>195.0</v>
      </c>
      <c r="AQ196" s="687" t="s">
        <v>1250</v>
      </c>
      <c r="AR196" s="307">
        <v>195.0</v>
      </c>
      <c r="AT196" s="687" t="s">
        <v>2366</v>
      </c>
      <c r="AU196" s="307">
        <v>195.0</v>
      </c>
      <c r="AW196" s="687" t="s">
        <v>2680</v>
      </c>
      <c r="AX196" s="307">
        <v>195.0</v>
      </c>
      <c r="AZ196" s="687" t="s">
        <v>1126</v>
      </c>
      <c r="BA196" s="307">
        <v>195.0</v>
      </c>
      <c r="BC196" s="691" t="s">
        <v>220</v>
      </c>
      <c r="BD196" s="307">
        <v>195.0</v>
      </c>
      <c r="BF196" s="687" t="s">
        <v>1087</v>
      </c>
      <c r="BG196" s="145">
        <v>195.0</v>
      </c>
      <c r="BI196" s="688" t="s">
        <v>930</v>
      </c>
      <c r="BJ196" s="145">
        <v>195.0</v>
      </c>
      <c r="BL196" s="692" t="s">
        <v>2335</v>
      </c>
      <c r="BM196" s="216">
        <v>195.0</v>
      </c>
    </row>
    <row r="197">
      <c r="A197" s="41" t="s">
        <v>1126</v>
      </c>
      <c r="B197" s="307">
        <v>196.0</v>
      </c>
      <c r="C197" s="41"/>
      <c r="D197" s="41" t="s">
        <v>2371</v>
      </c>
      <c r="E197" s="307">
        <v>196.0</v>
      </c>
      <c r="F197" s="41"/>
      <c r="G197" s="41" t="s">
        <v>2660</v>
      </c>
      <c r="H197" s="307">
        <v>196.0</v>
      </c>
      <c r="I197" s="41"/>
      <c r="J197" s="41" t="s">
        <v>852</v>
      </c>
      <c r="K197" s="307">
        <v>196.0</v>
      </c>
      <c r="L197" s="41"/>
      <c r="M197" s="41" t="s">
        <v>218</v>
      </c>
      <c r="N197" s="307">
        <v>196.0</v>
      </c>
      <c r="O197" s="41"/>
      <c r="P197" s="41" t="s">
        <v>2686</v>
      </c>
      <c r="Q197" s="307">
        <v>196.0</v>
      </c>
      <c r="R197" s="41"/>
      <c r="S197" s="41" t="s">
        <v>231</v>
      </c>
      <c r="T197" s="307">
        <v>196.0</v>
      </c>
      <c r="U197" s="41"/>
      <c r="V197" s="41" t="s">
        <v>2667</v>
      </c>
      <c r="W197" s="307">
        <v>196.0</v>
      </c>
      <c r="X197" s="41"/>
      <c r="Y197" s="682" t="s">
        <v>2363</v>
      </c>
      <c r="Z197" s="307">
        <v>196.0</v>
      </c>
      <c r="AA197" s="41"/>
      <c r="AB197" s="683" t="s">
        <v>830</v>
      </c>
      <c r="AC197" s="307">
        <v>196.0</v>
      </c>
      <c r="AD197" s="79"/>
      <c r="AE197" s="690" t="s">
        <v>908</v>
      </c>
      <c r="AF197" s="307">
        <v>196.0</v>
      </c>
      <c r="AH197" s="687" t="s">
        <v>916</v>
      </c>
      <c r="AI197" s="307">
        <v>196.0</v>
      </c>
      <c r="AK197" s="687" t="s">
        <v>906</v>
      </c>
      <c r="AL197" s="307">
        <v>196.0</v>
      </c>
      <c r="AN197" s="687" t="s">
        <v>816</v>
      </c>
      <c r="AO197" s="307">
        <v>196.0</v>
      </c>
      <c r="AQ197" s="687" t="s">
        <v>2194</v>
      </c>
      <c r="AR197" s="307">
        <v>196.0</v>
      </c>
      <c r="AT197" s="687" t="s">
        <v>212</v>
      </c>
      <c r="AU197" s="307">
        <v>196.0</v>
      </c>
      <c r="AW197" s="687" t="s">
        <v>2405</v>
      </c>
      <c r="AX197" s="307">
        <v>196.0</v>
      </c>
      <c r="AZ197" s="687" t="s">
        <v>2680</v>
      </c>
      <c r="BA197" s="307">
        <v>196.0</v>
      </c>
      <c r="BC197" s="691" t="s">
        <v>2332</v>
      </c>
      <c r="BD197" s="307">
        <v>196.0</v>
      </c>
      <c r="BF197" s="687" t="s">
        <v>930</v>
      </c>
      <c r="BG197" s="145">
        <v>196.0</v>
      </c>
      <c r="BI197" s="688" t="s">
        <v>212</v>
      </c>
      <c r="BJ197" s="145">
        <v>196.0</v>
      </c>
      <c r="BL197" s="692" t="s">
        <v>2659</v>
      </c>
      <c r="BM197" s="216">
        <v>196.0</v>
      </c>
    </row>
    <row r="198">
      <c r="A198" s="41" t="s">
        <v>2282</v>
      </c>
      <c r="B198" s="307">
        <v>197.0</v>
      </c>
      <c r="C198" s="41"/>
      <c r="D198" s="41" t="s">
        <v>1251</v>
      </c>
      <c r="E198" s="307">
        <v>197.0</v>
      </c>
      <c r="F198" s="41"/>
      <c r="G198" s="41" t="s">
        <v>85</v>
      </c>
      <c r="H198" s="307">
        <v>197.0</v>
      </c>
      <c r="I198" s="41"/>
      <c r="J198" s="41" t="s">
        <v>2674</v>
      </c>
      <c r="K198" s="307">
        <v>197.0</v>
      </c>
      <c r="L198" s="41"/>
      <c r="M198" s="41" t="s">
        <v>2352</v>
      </c>
      <c r="N198" s="307">
        <v>197.0</v>
      </c>
      <c r="O198" s="41"/>
      <c r="P198" s="41" t="s">
        <v>231</v>
      </c>
      <c r="Q198" s="307">
        <v>197.0</v>
      </c>
      <c r="R198" s="41"/>
      <c r="S198" s="41" t="s">
        <v>927</v>
      </c>
      <c r="T198" s="307">
        <v>197.0</v>
      </c>
      <c r="U198" s="41"/>
      <c r="V198" s="41" t="s">
        <v>2428</v>
      </c>
      <c r="W198" s="307">
        <v>197.0</v>
      </c>
      <c r="X198" s="41"/>
      <c r="Y198" s="682" t="s">
        <v>2405</v>
      </c>
      <c r="Z198" s="307">
        <v>197.0</v>
      </c>
      <c r="AA198" s="41"/>
      <c r="AB198" s="699" t="s">
        <v>235</v>
      </c>
      <c r="AC198" s="307">
        <v>197.0</v>
      </c>
      <c r="AD198" s="79"/>
      <c r="AE198" s="690" t="s">
        <v>2651</v>
      </c>
      <c r="AF198" s="307">
        <v>197.0</v>
      </c>
      <c r="AH198" s="687" t="s">
        <v>2449</v>
      </c>
      <c r="AI198" s="307">
        <v>197.0</v>
      </c>
      <c r="AK198" s="687" t="s">
        <v>231</v>
      </c>
      <c r="AL198" s="307">
        <v>197.0</v>
      </c>
      <c r="AN198" s="687" t="s">
        <v>928</v>
      </c>
      <c r="AO198" s="307">
        <v>197.0</v>
      </c>
      <c r="AQ198" s="687" t="s">
        <v>856</v>
      </c>
      <c r="AR198" s="307">
        <v>197.0</v>
      </c>
      <c r="AT198" s="687" t="s">
        <v>1126</v>
      </c>
      <c r="AU198" s="307">
        <v>197.0</v>
      </c>
      <c r="AW198" s="687" t="s">
        <v>2332</v>
      </c>
      <c r="AX198" s="307">
        <v>197.0</v>
      </c>
      <c r="AZ198" s="687" t="s">
        <v>2405</v>
      </c>
      <c r="BA198" s="307">
        <v>197.0</v>
      </c>
      <c r="BC198" s="691" t="s">
        <v>930</v>
      </c>
      <c r="BD198" s="307">
        <v>197.0</v>
      </c>
      <c r="BF198" s="687" t="s">
        <v>212</v>
      </c>
      <c r="BG198" s="145">
        <v>197.0</v>
      </c>
      <c r="BI198" s="688" t="s">
        <v>1080</v>
      </c>
      <c r="BJ198" s="145">
        <v>197.0</v>
      </c>
      <c r="BL198" s="692" t="s">
        <v>2432</v>
      </c>
      <c r="BM198" s="216">
        <v>197.0</v>
      </c>
    </row>
    <row r="199">
      <c r="A199" s="41" t="s">
        <v>82</v>
      </c>
      <c r="B199" s="307">
        <v>198.0</v>
      </c>
      <c r="C199" s="41"/>
      <c r="D199" s="41" t="s">
        <v>2668</v>
      </c>
      <c r="E199" s="307">
        <v>198.0</v>
      </c>
      <c r="F199" s="41"/>
      <c r="G199" s="41" t="s">
        <v>254</v>
      </c>
      <c r="H199" s="307">
        <v>198.0</v>
      </c>
      <c r="I199" s="41"/>
      <c r="J199" s="41" t="s">
        <v>947</v>
      </c>
      <c r="K199" s="307">
        <v>198.0</v>
      </c>
      <c r="L199" s="41"/>
      <c r="M199" s="41" t="s">
        <v>908</v>
      </c>
      <c r="N199" s="307">
        <v>198.0</v>
      </c>
      <c r="O199" s="41"/>
      <c r="P199" s="41" t="s">
        <v>926</v>
      </c>
      <c r="Q199" s="307">
        <v>198.0</v>
      </c>
      <c r="R199" s="41"/>
      <c r="S199" s="41" t="s">
        <v>926</v>
      </c>
      <c r="T199" s="307">
        <v>198.0</v>
      </c>
      <c r="U199" s="41"/>
      <c r="V199" s="41" t="s">
        <v>236</v>
      </c>
      <c r="W199" s="307">
        <v>198.0</v>
      </c>
      <c r="X199" s="41"/>
      <c r="Y199" s="682" t="s">
        <v>927</v>
      </c>
      <c r="Z199" s="307">
        <v>198.0</v>
      </c>
      <c r="AA199" s="41"/>
      <c r="AB199" s="699" t="s">
        <v>2651</v>
      </c>
      <c r="AC199" s="307">
        <v>198.0</v>
      </c>
      <c r="AD199" s="79"/>
      <c r="AE199" s="690" t="s">
        <v>830</v>
      </c>
      <c r="AF199" s="307">
        <v>198.0</v>
      </c>
      <c r="AH199" s="687" t="s">
        <v>2206</v>
      </c>
      <c r="AI199" s="307">
        <v>198.0</v>
      </c>
      <c r="AK199" s="687" t="s">
        <v>2206</v>
      </c>
      <c r="AL199" s="307">
        <v>198.0</v>
      </c>
      <c r="AN199" s="687" t="s">
        <v>922</v>
      </c>
      <c r="AO199" s="307">
        <v>198.0</v>
      </c>
      <c r="AQ199" s="687" t="s">
        <v>2452</v>
      </c>
      <c r="AR199" s="307">
        <v>198.0</v>
      </c>
      <c r="AT199" s="687" t="s">
        <v>2680</v>
      </c>
      <c r="AU199" s="307">
        <v>198.0</v>
      </c>
      <c r="AW199" s="687" t="s">
        <v>930</v>
      </c>
      <c r="AX199" s="307">
        <v>198.0</v>
      </c>
      <c r="AZ199" s="687" t="s">
        <v>220</v>
      </c>
      <c r="BA199" s="307">
        <v>198.0</v>
      </c>
      <c r="BC199" s="691" t="s">
        <v>212</v>
      </c>
      <c r="BD199" s="307">
        <v>198.0</v>
      </c>
      <c r="BF199" s="687" t="s">
        <v>1080</v>
      </c>
      <c r="BG199" s="145">
        <v>198.0</v>
      </c>
      <c r="BI199" s="688" t="s">
        <v>2257</v>
      </c>
      <c r="BJ199" s="145">
        <v>198.0</v>
      </c>
      <c r="BL199" s="692" t="s">
        <v>224</v>
      </c>
      <c r="BM199" s="216">
        <v>198.0</v>
      </c>
    </row>
    <row r="200">
      <c r="A200" s="41" t="s">
        <v>2673</v>
      </c>
      <c r="B200" s="307">
        <v>199.0</v>
      </c>
      <c r="C200" s="41"/>
      <c r="D200" s="41" t="s">
        <v>77</v>
      </c>
      <c r="E200" s="307">
        <v>199.0</v>
      </c>
      <c r="F200" s="41"/>
      <c r="G200" s="41" t="s">
        <v>222</v>
      </c>
      <c r="H200" s="307">
        <v>199.0</v>
      </c>
      <c r="I200" s="41"/>
      <c r="J200" s="41" t="s">
        <v>2282</v>
      </c>
      <c r="K200" s="307">
        <v>199.0</v>
      </c>
      <c r="L200" s="41"/>
      <c r="M200" s="41" t="s">
        <v>1122</v>
      </c>
      <c r="N200" s="307">
        <v>199.0</v>
      </c>
      <c r="O200" s="41"/>
      <c r="P200" s="41" t="s">
        <v>1005</v>
      </c>
      <c r="Q200" s="307">
        <v>199.0</v>
      </c>
      <c r="R200" s="41"/>
      <c r="S200" s="41" t="s">
        <v>1005</v>
      </c>
      <c r="T200" s="307">
        <v>199.0</v>
      </c>
      <c r="U200" s="41"/>
      <c r="V200" s="41" t="s">
        <v>927</v>
      </c>
      <c r="W200" s="307">
        <v>199.0</v>
      </c>
      <c r="X200" s="41"/>
      <c r="Y200" s="698" t="s">
        <v>1076</v>
      </c>
      <c r="Z200" s="307">
        <v>199.0</v>
      </c>
      <c r="AA200" s="41"/>
      <c r="AB200" s="683" t="s">
        <v>2206</v>
      </c>
      <c r="AC200" s="307">
        <v>199.0</v>
      </c>
      <c r="AD200" s="79"/>
      <c r="AE200" s="690" t="s">
        <v>2206</v>
      </c>
      <c r="AF200" s="307">
        <v>199.0</v>
      </c>
      <c r="AH200" s="687" t="s">
        <v>838</v>
      </c>
      <c r="AI200" s="307">
        <v>199.0</v>
      </c>
      <c r="AK200" s="687" t="s">
        <v>2408</v>
      </c>
      <c r="AL200" s="307">
        <v>199.0</v>
      </c>
      <c r="AN200" s="687" t="s">
        <v>929</v>
      </c>
      <c r="AO200" s="307">
        <v>199.0</v>
      </c>
      <c r="AQ200" s="687" t="s">
        <v>2366</v>
      </c>
      <c r="AR200" s="307">
        <v>199.0</v>
      </c>
      <c r="AT200" s="687" t="s">
        <v>2405</v>
      </c>
      <c r="AU200" s="307">
        <v>199.0</v>
      </c>
      <c r="AW200" s="687" t="s">
        <v>2671</v>
      </c>
      <c r="AX200" s="307">
        <v>199.0</v>
      </c>
      <c r="AZ200" s="687" t="s">
        <v>2332</v>
      </c>
      <c r="BA200" s="307">
        <v>199.0</v>
      </c>
      <c r="BC200" s="691" t="s">
        <v>2671</v>
      </c>
      <c r="BD200" s="307">
        <v>199.0</v>
      </c>
      <c r="BF200" s="687" t="s">
        <v>2257</v>
      </c>
      <c r="BG200" s="145">
        <v>199.0</v>
      </c>
      <c r="BI200" s="688" t="s">
        <v>1136</v>
      </c>
      <c r="BJ200" s="145">
        <v>199.0</v>
      </c>
      <c r="BL200" s="692" t="s">
        <v>2322</v>
      </c>
      <c r="BM200" s="216">
        <v>199.0</v>
      </c>
    </row>
    <row r="201">
      <c r="A201" s="41" t="s">
        <v>2270</v>
      </c>
      <c r="B201" s="307">
        <v>200.0</v>
      </c>
      <c r="C201" s="41"/>
      <c r="D201" s="41" t="s">
        <v>2408</v>
      </c>
      <c r="E201" s="307">
        <v>200.0</v>
      </c>
      <c r="F201" s="41"/>
      <c r="G201" s="41" t="s">
        <v>2598</v>
      </c>
      <c r="H201" s="307">
        <v>200.0</v>
      </c>
      <c r="I201" s="41"/>
      <c r="J201" s="41" t="s">
        <v>2382</v>
      </c>
      <c r="K201" s="307">
        <v>200.0</v>
      </c>
      <c r="L201" s="41"/>
      <c r="M201" s="41" t="s">
        <v>2662</v>
      </c>
      <c r="N201" s="307">
        <v>200.0</v>
      </c>
      <c r="O201" s="41"/>
      <c r="P201" s="41" t="s">
        <v>2672</v>
      </c>
      <c r="Q201" s="307">
        <v>200.0</v>
      </c>
      <c r="R201" s="41"/>
      <c r="S201" s="41" t="s">
        <v>2428</v>
      </c>
      <c r="T201" s="307">
        <v>200.0</v>
      </c>
      <c r="U201" s="41"/>
      <c r="V201" s="41" t="s">
        <v>1076</v>
      </c>
      <c r="W201" s="307">
        <v>200.0</v>
      </c>
      <c r="X201" s="41"/>
      <c r="Y201" s="682" t="s">
        <v>2680</v>
      </c>
      <c r="Z201" s="307">
        <v>200.0</v>
      </c>
      <c r="AA201" s="41"/>
      <c r="AB201" s="683" t="s">
        <v>2643</v>
      </c>
      <c r="AC201" s="307">
        <v>200.0</v>
      </c>
      <c r="AD201" s="79"/>
      <c r="AE201" s="704" t="s">
        <v>2449</v>
      </c>
      <c r="AF201" s="307">
        <v>200.0</v>
      </c>
      <c r="AG201" s="705"/>
      <c r="AH201" s="706" t="s">
        <v>908</v>
      </c>
      <c r="AI201" s="307">
        <v>200.0</v>
      </c>
      <c r="AJ201" s="705"/>
      <c r="AK201" s="706" t="s">
        <v>908</v>
      </c>
      <c r="AL201" s="307">
        <v>200.0</v>
      </c>
      <c r="AM201" s="705"/>
      <c r="AN201" s="706" t="s">
        <v>2194</v>
      </c>
      <c r="AO201" s="307">
        <v>200.0</v>
      </c>
      <c r="AP201" s="705"/>
      <c r="AQ201" s="706" t="s">
        <v>253</v>
      </c>
      <c r="AR201" s="307">
        <v>200.0</v>
      </c>
      <c r="AS201" s="705"/>
      <c r="AT201" s="706" t="s">
        <v>2682</v>
      </c>
      <c r="AU201" s="307">
        <v>200.0</v>
      </c>
      <c r="AW201" s="687" t="s">
        <v>2642</v>
      </c>
      <c r="AX201" s="307">
        <v>200.0</v>
      </c>
      <c r="AZ201" s="687" t="s">
        <v>930</v>
      </c>
      <c r="BA201" s="307">
        <v>200.0</v>
      </c>
      <c r="BC201" s="691" t="s">
        <v>2257</v>
      </c>
      <c r="BD201" s="307">
        <v>200.0</v>
      </c>
      <c r="BF201" s="687" t="s">
        <v>1136</v>
      </c>
      <c r="BG201" s="145">
        <v>200.0</v>
      </c>
      <c r="BI201" s="688" t="s">
        <v>2685</v>
      </c>
      <c r="BJ201" s="145">
        <v>200.0</v>
      </c>
      <c r="BL201" s="692" t="s">
        <v>263</v>
      </c>
      <c r="BM201" s="216">
        <v>200.0</v>
      </c>
    </row>
    <row r="202">
      <c r="A202" s="41" t="s">
        <v>236</v>
      </c>
      <c r="B202" s="307">
        <v>201.0</v>
      </c>
      <c r="C202" s="41"/>
      <c r="D202" s="41" t="s">
        <v>76</v>
      </c>
      <c r="E202" s="307">
        <v>201.0</v>
      </c>
      <c r="F202" s="41"/>
      <c r="G202" s="41" t="s">
        <v>906</v>
      </c>
      <c r="H202" s="307">
        <v>201.0</v>
      </c>
      <c r="I202" s="41"/>
      <c r="J202" s="41" t="s">
        <v>921</v>
      </c>
      <c r="K202" s="307">
        <v>201.0</v>
      </c>
      <c r="L202" s="41"/>
      <c r="M202" s="41" t="s">
        <v>2292</v>
      </c>
      <c r="N202" s="307">
        <v>201.0</v>
      </c>
      <c r="O202" s="41"/>
      <c r="P202" s="41" t="s">
        <v>212</v>
      </c>
      <c r="Q202" s="307">
        <v>201.0</v>
      </c>
      <c r="R202" s="41"/>
      <c r="S202" s="41" t="s">
        <v>1076</v>
      </c>
      <c r="T202" s="307">
        <v>201.0</v>
      </c>
      <c r="U202" s="41"/>
      <c r="V202" s="41" t="s">
        <v>2680</v>
      </c>
      <c r="W202" s="307">
        <v>201.0</v>
      </c>
      <c r="X202" s="41"/>
      <c r="Y202" s="698" t="s">
        <v>830</v>
      </c>
      <c r="Z202" s="307">
        <v>201.0</v>
      </c>
      <c r="AA202" s="41"/>
      <c r="AB202" s="683" t="s">
        <v>2194</v>
      </c>
      <c r="AC202" s="307">
        <v>201.0</v>
      </c>
      <c r="AD202" s="79"/>
      <c r="AE202" s="690" t="s">
        <v>1245</v>
      </c>
      <c r="AF202" s="307">
        <v>201.0</v>
      </c>
      <c r="AH202" s="687" t="s">
        <v>2371</v>
      </c>
      <c r="AI202" s="307">
        <v>201.0</v>
      </c>
      <c r="AK202" s="687" t="s">
        <v>1245</v>
      </c>
      <c r="AL202" s="307">
        <v>201.0</v>
      </c>
      <c r="AN202" s="687" t="s">
        <v>856</v>
      </c>
      <c r="AO202" s="307">
        <v>201.0</v>
      </c>
      <c r="AQ202" s="687" t="s">
        <v>212</v>
      </c>
      <c r="AR202" s="307">
        <v>201.0</v>
      </c>
      <c r="AT202" s="687" t="s">
        <v>2332</v>
      </c>
      <c r="AU202" s="307">
        <v>201.0</v>
      </c>
      <c r="AW202" s="687" t="s">
        <v>1076</v>
      </c>
      <c r="AX202" s="307">
        <v>201.0</v>
      </c>
      <c r="AZ202" s="687" t="s">
        <v>212</v>
      </c>
      <c r="BA202" s="307">
        <v>201.0</v>
      </c>
      <c r="BC202" s="691" t="s">
        <v>1136</v>
      </c>
      <c r="BD202" s="307">
        <v>201.0</v>
      </c>
      <c r="BF202" s="687" t="s">
        <v>251</v>
      </c>
      <c r="BG202" s="145">
        <v>201.0</v>
      </c>
      <c r="BI202" s="688" t="s">
        <v>2668</v>
      </c>
      <c r="BJ202" s="145">
        <v>201.0</v>
      </c>
      <c r="BL202" s="692" t="s">
        <v>2687</v>
      </c>
      <c r="BM202" s="216">
        <v>201.0</v>
      </c>
    </row>
    <row r="203">
      <c r="A203" s="41" t="s">
        <v>927</v>
      </c>
      <c r="B203" s="307">
        <v>202.0</v>
      </c>
      <c r="C203" s="41"/>
      <c r="D203" s="41" t="s">
        <v>2133</v>
      </c>
      <c r="E203" s="307">
        <v>202.0</v>
      </c>
      <c r="F203" s="41"/>
      <c r="G203" s="41" t="s">
        <v>2282</v>
      </c>
      <c r="H203" s="307">
        <v>202.0</v>
      </c>
      <c r="I203" s="41"/>
      <c r="J203" s="41" t="s">
        <v>67</v>
      </c>
      <c r="K203" s="307">
        <v>202.0</v>
      </c>
      <c r="L203" s="41"/>
      <c r="M203" s="41" t="s">
        <v>2273</v>
      </c>
      <c r="N203" s="307">
        <v>202.0</v>
      </c>
      <c r="O203" s="41"/>
      <c r="P203" s="41" t="s">
        <v>2428</v>
      </c>
      <c r="Q203" s="307">
        <v>202.0</v>
      </c>
      <c r="R203" s="41"/>
      <c r="S203" s="41" t="s">
        <v>2680</v>
      </c>
      <c r="T203" s="307">
        <v>202.0</v>
      </c>
      <c r="U203" s="41"/>
      <c r="V203" s="41" t="s">
        <v>929</v>
      </c>
      <c r="W203" s="307">
        <v>202.0</v>
      </c>
      <c r="X203" s="41"/>
      <c r="Y203" s="682" t="s">
        <v>929</v>
      </c>
      <c r="Z203" s="307">
        <v>202.0</v>
      </c>
      <c r="AA203" s="41"/>
      <c r="AB203" s="683" t="s">
        <v>2449</v>
      </c>
      <c r="AC203" s="307">
        <v>202.0</v>
      </c>
      <c r="AD203" s="79"/>
      <c r="AE203" s="690" t="s">
        <v>2682</v>
      </c>
      <c r="AF203" s="307">
        <v>202.0</v>
      </c>
      <c r="AH203" s="687" t="s">
        <v>240</v>
      </c>
      <c r="AI203" s="307">
        <v>202.0</v>
      </c>
      <c r="AK203" s="687" t="s">
        <v>924</v>
      </c>
      <c r="AL203" s="307">
        <v>202.0</v>
      </c>
      <c r="AN203" s="687" t="s">
        <v>2452</v>
      </c>
      <c r="AO203" s="307">
        <v>202.0</v>
      </c>
      <c r="AQ203" s="687" t="s">
        <v>1126</v>
      </c>
      <c r="AR203" s="307">
        <v>202.0</v>
      </c>
      <c r="AT203" s="687" t="s">
        <v>930</v>
      </c>
      <c r="AU203" s="307">
        <v>202.0</v>
      </c>
      <c r="AW203" s="687" t="s">
        <v>2218</v>
      </c>
      <c r="AX203" s="307">
        <v>202.0</v>
      </c>
      <c r="AZ203" s="687" t="s">
        <v>2671</v>
      </c>
      <c r="BA203" s="307">
        <v>202.0</v>
      </c>
      <c r="BC203" s="691" t="s">
        <v>2680</v>
      </c>
      <c r="BD203" s="307">
        <v>202.0</v>
      </c>
      <c r="BF203" s="687" t="s">
        <v>928</v>
      </c>
      <c r="BG203" s="145">
        <v>202.0</v>
      </c>
      <c r="BI203" s="688" t="s">
        <v>2452</v>
      </c>
      <c r="BJ203" s="145">
        <v>202.0</v>
      </c>
      <c r="BL203" s="692" t="s">
        <v>1087</v>
      </c>
      <c r="BM203" s="216">
        <v>202.0</v>
      </c>
    </row>
    <row r="204">
      <c r="A204" s="41" t="s">
        <v>907</v>
      </c>
      <c r="B204" s="307">
        <v>203.0</v>
      </c>
      <c r="C204" s="41"/>
      <c r="D204" s="41" t="s">
        <v>222</v>
      </c>
      <c r="E204" s="307">
        <v>203.0</v>
      </c>
      <c r="F204" s="41"/>
      <c r="G204" s="41" t="s">
        <v>947</v>
      </c>
      <c r="H204" s="307">
        <v>203.0</v>
      </c>
      <c r="I204" s="41"/>
      <c r="J204" s="41" t="s">
        <v>2401</v>
      </c>
      <c r="K204" s="307">
        <v>203.0</v>
      </c>
      <c r="L204" s="41"/>
      <c r="M204" s="41" t="s">
        <v>2296</v>
      </c>
      <c r="N204" s="307">
        <v>203.0</v>
      </c>
      <c r="O204" s="41"/>
      <c r="P204" s="41" t="s">
        <v>1076</v>
      </c>
      <c r="Q204" s="307">
        <v>203.0</v>
      </c>
      <c r="R204" s="41"/>
      <c r="S204" s="41" t="s">
        <v>929</v>
      </c>
      <c r="T204" s="307">
        <v>203.0</v>
      </c>
      <c r="U204" s="41"/>
      <c r="V204" s="41" t="s">
        <v>235</v>
      </c>
      <c r="W204" s="307">
        <v>203.0</v>
      </c>
      <c r="X204" s="41"/>
      <c r="Y204" s="682" t="s">
        <v>235</v>
      </c>
      <c r="Z204" s="307">
        <v>203.0</v>
      </c>
      <c r="AA204" s="41"/>
      <c r="AB204" s="683" t="s">
        <v>1245</v>
      </c>
      <c r="AC204" s="307">
        <v>203.0</v>
      </c>
      <c r="AD204" s="79"/>
      <c r="AE204" s="704" t="s">
        <v>815</v>
      </c>
      <c r="AF204" s="307">
        <v>203.0</v>
      </c>
      <c r="AG204" s="705"/>
      <c r="AH204" s="706" t="s">
        <v>2682</v>
      </c>
      <c r="AI204" s="307">
        <v>203.0</v>
      </c>
      <c r="AK204" s="687" t="s">
        <v>926</v>
      </c>
      <c r="AL204" s="307">
        <v>203.0</v>
      </c>
      <c r="AN204" s="687" t="s">
        <v>2366</v>
      </c>
      <c r="AO204" s="307">
        <v>203.0</v>
      </c>
      <c r="AQ204" s="687" t="s">
        <v>2680</v>
      </c>
      <c r="AR204" s="307">
        <v>203.0</v>
      </c>
      <c r="AT204" s="687" t="s">
        <v>916</v>
      </c>
      <c r="AU204" s="307">
        <v>203.0</v>
      </c>
      <c r="AW204" s="687" t="s">
        <v>2257</v>
      </c>
      <c r="AX204" s="307">
        <v>203.0</v>
      </c>
      <c r="AZ204" s="687" t="s">
        <v>2642</v>
      </c>
      <c r="BA204" s="307">
        <v>203.0</v>
      </c>
      <c r="BC204" s="691" t="s">
        <v>214</v>
      </c>
      <c r="BD204" s="307">
        <v>203.0</v>
      </c>
      <c r="BF204" s="687" t="s">
        <v>2668</v>
      </c>
      <c r="BG204" s="145">
        <v>203.0</v>
      </c>
      <c r="BI204" s="688" t="s">
        <v>1252</v>
      </c>
      <c r="BJ204" s="145">
        <v>203.0</v>
      </c>
      <c r="BL204" s="692" t="s">
        <v>1076</v>
      </c>
      <c r="BM204" s="216">
        <v>203.0</v>
      </c>
    </row>
    <row r="205">
      <c r="A205" s="41" t="s">
        <v>2289</v>
      </c>
      <c r="B205" s="307">
        <v>204.0</v>
      </c>
      <c r="C205" s="41"/>
      <c r="D205" s="41" t="s">
        <v>80</v>
      </c>
      <c r="E205" s="307">
        <v>204.0</v>
      </c>
      <c r="F205" s="41"/>
      <c r="G205" s="41" t="s">
        <v>852</v>
      </c>
      <c r="H205" s="307">
        <v>204.0</v>
      </c>
      <c r="I205" s="41"/>
      <c r="J205" s="41" t="s">
        <v>817</v>
      </c>
      <c r="K205" s="307">
        <v>204.0</v>
      </c>
      <c r="L205" s="41"/>
      <c r="M205" s="41" t="s">
        <v>248</v>
      </c>
      <c r="N205" s="307">
        <v>204.0</v>
      </c>
      <c r="O205" s="41"/>
      <c r="P205" s="41" t="s">
        <v>2680</v>
      </c>
      <c r="Q205" s="307">
        <v>204.0</v>
      </c>
      <c r="R205" s="41"/>
      <c r="S205" s="41" t="s">
        <v>924</v>
      </c>
      <c r="T205" s="307">
        <v>204.0</v>
      </c>
      <c r="U205" s="41"/>
      <c r="V205" s="41" t="s">
        <v>2352</v>
      </c>
      <c r="W205" s="307">
        <v>204.0</v>
      </c>
      <c r="X205" s="41"/>
      <c r="Y205" s="682" t="s">
        <v>2194</v>
      </c>
      <c r="Z205" s="307">
        <v>204.0</v>
      </c>
      <c r="AA205" s="41"/>
      <c r="AB205" s="709" t="s">
        <v>2682</v>
      </c>
      <c r="AC205" s="307">
        <v>204.0</v>
      </c>
      <c r="AD205" s="79"/>
      <c r="AE205" s="690" t="s">
        <v>2666</v>
      </c>
      <c r="AF205" s="307">
        <v>204.0</v>
      </c>
      <c r="AH205" s="687" t="s">
        <v>2666</v>
      </c>
      <c r="AI205" s="307">
        <v>204.0</v>
      </c>
      <c r="AK205" s="687" t="s">
        <v>2420</v>
      </c>
      <c r="AL205" s="307">
        <v>204.0</v>
      </c>
      <c r="AN205" s="687" t="s">
        <v>222</v>
      </c>
      <c r="AO205" s="307">
        <v>204.0</v>
      </c>
      <c r="AQ205" s="687" t="s">
        <v>2405</v>
      </c>
      <c r="AR205" s="307">
        <v>204.0</v>
      </c>
      <c r="AT205" s="687" t="s">
        <v>1076</v>
      </c>
      <c r="AU205" s="307">
        <v>204.0</v>
      </c>
      <c r="AW205" s="687" t="s">
        <v>2250</v>
      </c>
      <c r="AX205" s="307">
        <v>204.0</v>
      </c>
      <c r="AZ205" s="687" t="s">
        <v>1076</v>
      </c>
      <c r="BA205" s="307">
        <v>204.0</v>
      </c>
      <c r="BC205" s="691" t="s">
        <v>928</v>
      </c>
      <c r="BD205" s="307">
        <v>204.0</v>
      </c>
      <c r="BF205" s="687" t="s">
        <v>2452</v>
      </c>
      <c r="BG205" s="145">
        <v>204.0</v>
      </c>
      <c r="BI205" s="688" t="s">
        <v>2659</v>
      </c>
      <c r="BJ205" s="145">
        <v>204.0</v>
      </c>
      <c r="BL205" s="692" t="s">
        <v>2688</v>
      </c>
      <c r="BM205" s="216">
        <v>204.0</v>
      </c>
    </row>
    <row r="206">
      <c r="A206" s="705" t="s">
        <v>2680</v>
      </c>
      <c r="B206" s="307">
        <v>205.0</v>
      </c>
      <c r="C206" s="705"/>
      <c r="D206" s="705" t="s">
        <v>2666</v>
      </c>
      <c r="E206" s="307">
        <v>205.0</v>
      </c>
      <c r="F206" s="705"/>
      <c r="G206" s="705" t="s">
        <v>71</v>
      </c>
      <c r="H206" s="307">
        <v>205.0</v>
      </c>
      <c r="I206" s="705"/>
      <c r="J206" s="705" t="s">
        <v>2418</v>
      </c>
      <c r="K206" s="307">
        <v>205.0</v>
      </c>
      <c r="L206" s="705"/>
      <c r="M206" s="705" t="s">
        <v>2686</v>
      </c>
      <c r="N206" s="307">
        <v>205.0</v>
      </c>
      <c r="O206" s="705"/>
      <c r="P206" s="705" t="s">
        <v>929</v>
      </c>
      <c r="Q206" s="307">
        <v>205.0</v>
      </c>
      <c r="R206" s="705"/>
      <c r="S206" s="705" t="s">
        <v>2352</v>
      </c>
      <c r="T206" s="307">
        <v>205.0</v>
      </c>
      <c r="U206" s="705"/>
      <c r="V206" s="705" t="s">
        <v>2682</v>
      </c>
      <c r="W206" s="307">
        <v>205.0</v>
      </c>
      <c r="X206" s="41"/>
      <c r="Y206" s="682" t="s">
        <v>2449</v>
      </c>
      <c r="Z206" s="307">
        <v>205.0</v>
      </c>
      <c r="AA206" s="41"/>
      <c r="AB206" s="699" t="s">
        <v>1076</v>
      </c>
      <c r="AC206" s="307">
        <v>205.0</v>
      </c>
      <c r="AD206" s="79"/>
      <c r="AE206" s="690" t="s">
        <v>1076</v>
      </c>
      <c r="AF206" s="307">
        <v>205.0</v>
      </c>
      <c r="AH206" s="687" t="s">
        <v>2294</v>
      </c>
      <c r="AI206" s="307">
        <v>205.0</v>
      </c>
      <c r="AK206" s="687" t="s">
        <v>816</v>
      </c>
      <c r="AL206" s="307">
        <v>205.0</v>
      </c>
      <c r="AN206" s="687" t="s">
        <v>253</v>
      </c>
      <c r="AO206" s="307">
        <v>205.0</v>
      </c>
      <c r="AQ206" s="687" t="s">
        <v>2332</v>
      </c>
      <c r="AR206" s="307">
        <v>205.0</v>
      </c>
      <c r="AT206" s="687" t="s">
        <v>2218</v>
      </c>
      <c r="AU206" s="307">
        <v>205.0</v>
      </c>
      <c r="AW206" s="687" t="s">
        <v>907</v>
      </c>
      <c r="AX206" s="307">
        <v>205.0</v>
      </c>
      <c r="AZ206" s="687" t="s">
        <v>2418</v>
      </c>
      <c r="BA206" s="307">
        <v>205.0</v>
      </c>
      <c r="BC206" s="691" t="s">
        <v>2668</v>
      </c>
      <c r="BD206" s="307">
        <v>205.0</v>
      </c>
      <c r="BF206" s="687" t="s">
        <v>2659</v>
      </c>
      <c r="BG206" s="145">
        <v>205.0</v>
      </c>
      <c r="BI206" s="688" t="s">
        <v>2432</v>
      </c>
      <c r="BJ206" s="145">
        <v>205.0</v>
      </c>
      <c r="BL206" s="706" t="s">
        <v>2682</v>
      </c>
      <c r="BM206" s="216">
        <v>205.0</v>
      </c>
    </row>
    <row r="207">
      <c r="A207" s="41" t="s">
        <v>2689</v>
      </c>
      <c r="B207" s="307">
        <v>206.0</v>
      </c>
      <c r="C207" s="41"/>
      <c r="D207" s="41" t="s">
        <v>2598</v>
      </c>
      <c r="E207" s="307">
        <v>206.0</v>
      </c>
      <c r="F207" s="41"/>
      <c r="G207" s="41" t="s">
        <v>1080</v>
      </c>
      <c r="H207" s="307">
        <v>206.0</v>
      </c>
      <c r="I207" s="41"/>
      <c r="J207" s="41" t="s">
        <v>2257</v>
      </c>
      <c r="K207" s="307">
        <v>206.0</v>
      </c>
      <c r="L207" s="41"/>
      <c r="M207" s="41" t="s">
        <v>231</v>
      </c>
      <c r="N207" s="307">
        <v>206.0</v>
      </c>
      <c r="O207" s="41"/>
      <c r="P207" s="41" t="s">
        <v>924</v>
      </c>
      <c r="Q207" s="307">
        <v>206.0</v>
      </c>
      <c r="R207" s="41"/>
      <c r="S207" s="41" t="s">
        <v>70</v>
      </c>
      <c r="T207" s="307">
        <v>206.0</v>
      </c>
      <c r="U207" s="41"/>
      <c r="V207" s="41" t="s">
        <v>2401</v>
      </c>
      <c r="W207" s="307">
        <v>206.0</v>
      </c>
      <c r="X207" s="41"/>
      <c r="Y207" s="682" t="s">
        <v>2352</v>
      </c>
      <c r="Z207" s="307">
        <v>206.0</v>
      </c>
      <c r="AA207" s="41"/>
      <c r="AB207" s="699" t="s">
        <v>926</v>
      </c>
      <c r="AC207" s="307">
        <v>206.0</v>
      </c>
      <c r="AD207" s="79"/>
      <c r="AE207" s="690" t="s">
        <v>926</v>
      </c>
      <c r="AF207" s="307">
        <v>206.0</v>
      </c>
      <c r="AH207" s="687" t="s">
        <v>910</v>
      </c>
      <c r="AI207" s="307">
        <v>206.0</v>
      </c>
      <c r="AK207" s="687" t="s">
        <v>928</v>
      </c>
      <c r="AL207" s="307">
        <v>206.0</v>
      </c>
      <c r="AN207" s="687" t="s">
        <v>212</v>
      </c>
      <c r="AO207" s="307">
        <v>206.0</v>
      </c>
      <c r="AQ207" s="687" t="s">
        <v>930</v>
      </c>
      <c r="AR207" s="307">
        <v>206.0</v>
      </c>
      <c r="AT207" s="687" t="s">
        <v>2250</v>
      </c>
      <c r="AU207" s="307">
        <v>206.0</v>
      </c>
      <c r="AW207" s="687" t="s">
        <v>1136</v>
      </c>
      <c r="AX207" s="307">
        <v>206.0</v>
      </c>
      <c r="AZ207" s="687" t="s">
        <v>2218</v>
      </c>
      <c r="BA207" s="307">
        <v>206.0</v>
      </c>
      <c r="BC207" s="691" t="s">
        <v>2452</v>
      </c>
      <c r="BD207" s="307">
        <v>206.0</v>
      </c>
      <c r="BF207" s="687" t="s">
        <v>2690</v>
      </c>
      <c r="BG207" s="145">
        <v>206.0</v>
      </c>
      <c r="BI207" s="688" t="s">
        <v>224</v>
      </c>
      <c r="BJ207" s="145">
        <v>206.0</v>
      </c>
      <c r="BL207" s="692" t="s">
        <v>816</v>
      </c>
      <c r="BM207" s="216">
        <v>206.0</v>
      </c>
    </row>
    <row r="208">
      <c r="A208" s="705" t="s">
        <v>2405</v>
      </c>
      <c r="B208" s="307">
        <v>207.0</v>
      </c>
      <c r="C208" s="705"/>
      <c r="D208" s="705" t="s">
        <v>2678</v>
      </c>
      <c r="E208" s="307">
        <v>207.0</v>
      </c>
      <c r="F208" s="705"/>
      <c r="G208" s="705" t="s">
        <v>2679</v>
      </c>
      <c r="H208" s="307">
        <v>207.0</v>
      </c>
      <c r="I208" s="705"/>
      <c r="J208" s="705" t="s">
        <v>70</v>
      </c>
      <c r="K208" s="307">
        <v>207.0</v>
      </c>
      <c r="L208" s="705"/>
      <c r="M208" s="705" t="s">
        <v>926</v>
      </c>
      <c r="N208" s="307">
        <v>207.0</v>
      </c>
      <c r="O208" s="705"/>
      <c r="P208" s="705" t="s">
        <v>2666</v>
      </c>
      <c r="Q208" s="307">
        <v>207.0</v>
      </c>
      <c r="R208" s="705"/>
      <c r="S208" s="705" t="s">
        <v>2682</v>
      </c>
      <c r="T208" s="307">
        <v>207.0</v>
      </c>
      <c r="U208" s="41"/>
      <c r="V208" s="41" t="s">
        <v>2691</v>
      </c>
      <c r="W208" s="307">
        <v>207.0</v>
      </c>
      <c r="X208" s="41"/>
      <c r="Y208" s="682" t="s">
        <v>1245</v>
      </c>
      <c r="Z208" s="307">
        <v>207.0</v>
      </c>
      <c r="AA208" s="41"/>
      <c r="AB208" s="683" t="s">
        <v>816</v>
      </c>
      <c r="AC208" s="307">
        <v>207.0</v>
      </c>
      <c r="AD208" s="79"/>
      <c r="AE208" s="690" t="s">
        <v>2194</v>
      </c>
      <c r="AF208" s="307">
        <v>207.0</v>
      </c>
      <c r="AH208" s="687" t="s">
        <v>926</v>
      </c>
      <c r="AI208" s="307">
        <v>207.0</v>
      </c>
      <c r="AK208" s="687" t="s">
        <v>922</v>
      </c>
      <c r="AL208" s="307">
        <v>207.0</v>
      </c>
      <c r="AN208" s="687" t="s">
        <v>1126</v>
      </c>
      <c r="AO208" s="307">
        <v>207.0</v>
      </c>
      <c r="AQ208" s="687" t="s">
        <v>916</v>
      </c>
      <c r="AR208" s="307">
        <v>207.0</v>
      </c>
      <c r="AT208" s="687" t="s">
        <v>907</v>
      </c>
      <c r="AU208" s="307">
        <v>207.0</v>
      </c>
      <c r="AW208" s="687" t="s">
        <v>214</v>
      </c>
      <c r="AX208" s="307">
        <v>207.0</v>
      </c>
      <c r="AZ208" s="687" t="s">
        <v>2257</v>
      </c>
      <c r="BA208" s="307">
        <v>207.0</v>
      </c>
      <c r="BC208" s="691" t="s">
        <v>2659</v>
      </c>
      <c r="BD208" s="307">
        <v>207.0</v>
      </c>
      <c r="BF208" s="687" t="s">
        <v>2432</v>
      </c>
      <c r="BG208" s="145">
        <v>207.0</v>
      </c>
      <c r="BI208" s="688" t="s">
        <v>2322</v>
      </c>
      <c r="BJ208" s="145">
        <v>207.0</v>
      </c>
      <c r="BL208" s="692" t="s">
        <v>1243</v>
      </c>
      <c r="BM208" s="216">
        <v>207.0</v>
      </c>
    </row>
    <row r="209">
      <c r="A209" s="705" t="s">
        <v>1122</v>
      </c>
      <c r="B209" s="307">
        <v>208.0</v>
      </c>
      <c r="C209" s="705"/>
      <c r="D209" s="705" t="s">
        <v>271</v>
      </c>
      <c r="E209" s="307">
        <v>208.0</v>
      </c>
      <c r="F209" s="705"/>
      <c r="G209" s="705" t="s">
        <v>2657</v>
      </c>
      <c r="H209" s="307">
        <v>208.0</v>
      </c>
      <c r="I209" s="705"/>
      <c r="J209" s="705" t="s">
        <v>2692</v>
      </c>
      <c r="K209" s="307">
        <v>208.0</v>
      </c>
      <c r="L209" s="705"/>
      <c r="M209" s="705" t="s">
        <v>1005</v>
      </c>
      <c r="N209" s="307">
        <v>208.0</v>
      </c>
      <c r="O209" s="705"/>
      <c r="P209" s="705" t="s">
        <v>70</v>
      </c>
      <c r="Q209" s="307">
        <v>208.0</v>
      </c>
      <c r="R209" s="705"/>
      <c r="S209" s="705" t="s">
        <v>2401</v>
      </c>
      <c r="T209" s="307">
        <v>208.0</v>
      </c>
      <c r="U209" s="705"/>
      <c r="V209" s="705" t="s">
        <v>2693</v>
      </c>
      <c r="W209" s="307">
        <v>208.0</v>
      </c>
      <c r="X209" s="705"/>
      <c r="Y209" s="710" t="s">
        <v>2682</v>
      </c>
      <c r="Z209" s="307">
        <v>208.0</v>
      </c>
      <c r="AA209" s="41"/>
      <c r="AB209" s="683" t="s">
        <v>1136</v>
      </c>
      <c r="AC209" s="307">
        <v>208.0</v>
      </c>
      <c r="AD209" s="79"/>
      <c r="AE209" s="690" t="s">
        <v>838</v>
      </c>
      <c r="AF209" s="307">
        <v>208.0</v>
      </c>
      <c r="AH209" s="687" t="s">
        <v>241</v>
      </c>
      <c r="AI209" s="307">
        <v>208.0</v>
      </c>
      <c r="AK209" s="687" t="s">
        <v>275</v>
      </c>
      <c r="AL209" s="307">
        <v>208.0</v>
      </c>
      <c r="AN209" s="687" t="s">
        <v>2680</v>
      </c>
      <c r="AO209" s="307">
        <v>208.0</v>
      </c>
      <c r="AQ209" s="687" t="s">
        <v>1076</v>
      </c>
      <c r="AR209" s="307">
        <v>208.0</v>
      </c>
      <c r="AT209" s="687" t="s">
        <v>1136</v>
      </c>
      <c r="AU209" s="307">
        <v>208.0</v>
      </c>
      <c r="AW209" s="687" t="s">
        <v>928</v>
      </c>
      <c r="AX209" s="307">
        <v>208.0</v>
      </c>
      <c r="AZ209" s="687" t="s">
        <v>2250</v>
      </c>
      <c r="BA209" s="307">
        <v>208.0</v>
      </c>
      <c r="BC209" s="691" t="s">
        <v>2690</v>
      </c>
      <c r="BD209" s="307">
        <v>208.0</v>
      </c>
      <c r="BF209" s="687" t="s">
        <v>2322</v>
      </c>
      <c r="BG209" s="145">
        <v>208.0</v>
      </c>
      <c r="BI209" s="688" t="s">
        <v>263</v>
      </c>
      <c r="BJ209" s="145">
        <v>208.0</v>
      </c>
      <c r="BL209" s="711" t="s">
        <v>2440</v>
      </c>
      <c r="BM209" s="216">
        <v>208.0</v>
      </c>
    </row>
    <row r="210">
      <c r="A210" s="41" t="s">
        <v>2694</v>
      </c>
      <c r="B210" s="307">
        <v>209.0</v>
      </c>
      <c r="C210" s="41"/>
      <c r="D210" s="41" t="s">
        <v>2385</v>
      </c>
      <c r="E210" s="307">
        <v>209.0</v>
      </c>
      <c r="F210" s="41"/>
      <c r="G210" s="41" t="s">
        <v>927</v>
      </c>
      <c r="H210" s="307">
        <v>209.0</v>
      </c>
      <c r="I210" s="41"/>
      <c r="J210" s="41" t="s">
        <v>248</v>
      </c>
      <c r="K210" s="307">
        <v>209.0</v>
      </c>
      <c r="L210" s="41"/>
      <c r="M210" s="41" t="s">
        <v>2397</v>
      </c>
      <c r="N210" s="307">
        <v>209.0</v>
      </c>
      <c r="O210" s="41"/>
      <c r="P210" s="41" t="s">
        <v>2691</v>
      </c>
      <c r="Q210" s="307">
        <v>209.0</v>
      </c>
      <c r="R210" s="41"/>
      <c r="S210" s="41" t="s">
        <v>2691</v>
      </c>
      <c r="T210" s="307">
        <v>209.0</v>
      </c>
      <c r="U210" s="41"/>
      <c r="V210" s="41" t="s">
        <v>848</v>
      </c>
      <c r="W210" s="307">
        <v>209.0</v>
      </c>
      <c r="X210" s="41"/>
      <c r="Y210" s="698" t="s">
        <v>926</v>
      </c>
      <c r="Z210" s="307">
        <v>209.0</v>
      </c>
      <c r="AA210" s="41"/>
      <c r="AB210" s="683" t="s">
        <v>2691</v>
      </c>
      <c r="AC210" s="307">
        <v>209.0</v>
      </c>
      <c r="AD210" s="79"/>
      <c r="AE210" s="690" t="s">
        <v>2452</v>
      </c>
      <c r="AF210" s="307">
        <v>209.0</v>
      </c>
      <c r="AH210" s="687" t="s">
        <v>2420</v>
      </c>
      <c r="AI210" s="307">
        <v>209.0</v>
      </c>
      <c r="AK210" s="687" t="s">
        <v>929</v>
      </c>
      <c r="AL210" s="307">
        <v>209.0</v>
      </c>
      <c r="AN210" s="687" t="s">
        <v>2405</v>
      </c>
      <c r="AO210" s="307">
        <v>209.0</v>
      </c>
      <c r="AQ210" s="687" t="s">
        <v>2218</v>
      </c>
      <c r="AR210" s="307">
        <v>209.0</v>
      </c>
      <c r="AT210" s="687" t="s">
        <v>214</v>
      </c>
      <c r="AU210" s="307">
        <v>209.0</v>
      </c>
      <c r="AW210" s="687" t="s">
        <v>2668</v>
      </c>
      <c r="AX210" s="307">
        <v>209.0</v>
      </c>
      <c r="AZ210" s="687" t="s">
        <v>907</v>
      </c>
      <c r="BA210" s="307">
        <v>209.0</v>
      </c>
      <c r="BC210" s="691" t="s">
        <v>2432</v>
      </c>
      <c r="BD210" s="307">
        <v>209.0</v>
      </c>
      <c r="BF210" s="687" t="s">
        <v>263</v>
      </c>
      <c r="BG210" s="145">
        <v>209.0</v>
      </c>
      <c r="BI210" s="688" t="s">
        <v>1048</v>
      </c>
      <c r="BJ210" s="145">
        <v>209.0</v>
      </c>
      <c r="BL210" s="692" t="s">
        <v>240</v>
      </c>
      <c r="BM210" s="216">
        <v>209.0</v>
      </c>
    </row>
    <row r="211">
      <c r="A211" s="41" t="s">
        <v>2371</v>
      </c>
      <c r="B211" s="307">
        <v>210.0</v>
      </c>
      <c r="C211" s="41"/>
      <c r="D211" s="41" t="s">
        <v>852</v>
      </c>
      <c r="E211" s="307">
        <v>210.0</v>
      </c>
      <c r="F211" s="41"/>
      <c r="G211" s="41" t="s">
        <v>220</v>
      </c>
      <c r="H211" s="307">
        <v>210.0</v>
      </c>
      <c r="I211" s="41"/>
      <c r="J211" s="41" t="s">
        <v>906</v>
      </c>
      <c r="K211" s="307">
        <v>210.0</v>
      </c>
      <c r="L211" s="41"/>
      <c r="M211" s="41" t="s">
        <v>2668</v>
      </c>
      <c r="N211" s="307">
        <v>210.0</v>
      </c>
      <c r="O211" s="41"/>
      <c r="P211" s="41" t="s">
        <v>2664</v>
      </c>
      <c r="Q211" s="307">
        <v>210.0</v>
      </c>
      <c r="R211" s="41"/>
      <c r="S211" s="41" t="s">
        <v>848</v>
      </c>
      <c r="T211" s="307">
        <v>210.0</v>
      </c>
      <c r="U211" s="41"/>
      <c r="V211" s="41" t="s">
        <v>830</v>
      </c>
      <c r="W211" s="307">
        <v>210.0</v>
      </c>
      <c r="X211" s="41"/>
      <c r="Y211" s="698" t="s">
        <v>252</v>
      </c>
      <c r="Z211" s="307">
        <v>210.0</v>
      </c>
      <c r="AA211" s="41"/>
      <c r="AB211" s="699" t="s">
        <v>929</v>
      </c>
      <c r="AC211" s="307">
        <v>210.0</v>
      </c>
      <c r="AD211" s="79"/>
      <c r="AE211" s="690" t="s">
        <v>816</v>
      </c>
      <c r="AF211" s="307">
        <v>210.0</v>
      </c>
      <c r="AH211" s="687" t="s">
        <v>2452</v>
      </c>
      <c r="AI211" s="307">
        <v>210.0</v>
      </c>
      <c r="AK211" s="687" t="s">
        <v>2691</v>
      </c>
      <c r="AL211" s="307">
        <v>210.0</v>
      </c>
      <c r="AN211" s="687" t="s">
        <v>1076</v>
      </c>
      <c r="AO211" s="307">
        <v>210.0</v>
      </c>
      <c r="AQ211" s="687" t="s">
        <v>2250</v>
      </c>
      <c r="AR211" s="307">
        <v>210.0</v>
      </c>
      <c r="AT211" s="687" t="s">
        <v>2668</v>
      </c>
      <c r="AU211" s="307">
        <v>210.0</v>
      </c>
      <c r="AW211" s="687" t="s">
        <v>835</v>
      </c>
      <c r="AX211" s="307">
        <v>210.0</v>
      </c>
      <c r="AZ211" s="687" t="s">
        <v>1136</v>
      </c>
      <c r="BA211" s="307">
        <v>210.0</v>
      </c>
      <c r="BC211" s="691" t="s">
        <v>2322</v>
      </c>
      <c r="BD211" s="307">
        <v>210.0</v>
      </c>
      <c r="BF211" s="687" t="s">
        <v>939</v>
      </c>
      <c r="BG211" s="145">
        <v>210.0</v>
      </c>
      <c r="BI211" s="688" t="s">
        <v>2687</v>
      </c>
      <c r="BJ211" s="145">
        <v>210.0</v>
      </c>
      <c r="BL211" s="692" t="s">
        <v>2657</v>
      </c>
      <c r="BM211" s="216">
        <v>210.0</v>
      </c>
    </row>
    <row r="212">
      <c r="A212" s="41" t="s">
        <v>220</v>
      </c>
      <c r="B212" s="307">
        <v>211.0</v>
      </c>
      <c r="C212" s="41"/>
      <c r="D212" s="41" t="s">
        <v>2090</v>
      </c>
      <c r="E212" s="307">
        <v>211.0</v>
      </c>
      <c r="F212" s="41"/>
      <c r="G212" s="41" t="s">
        <v>2674</v>
      </c>
      <c r="H212" s="307">
        <v>211.0</v>
      </c>
      <c r="I212" s="41"/>
      <c r="J212" s="41" t="s">
        <v>908</v>
      </c>
      <c r="K212" s="307">
        <v>211.0</v>
      </c>
      <c r="L212" s="41"/>
      <c r="M212" s="41" t="s">
        <v>2428</v>
      </c>
      <c r="N212" s="307">
        <v>211.0</v>
      </c>
      <c r="O212" s="41"/>
      <c r="P212" s="41" t="s">
        <v>2439</v>
      </c>
      <c r="Q212" s="307">
        <v>211.0</v>
      </c>
      <c r="R212" s="41"/>
      <c r="S212" s="41" t="s">
        <v>921</v>
      </c>
      <c r="T212" s="307">
        <v>211.0</v>
      </c>
      <c r="U212" s="41"/>
      <c r="V212" s="41" t="s">
        <v>2695</v>
      </c>
      <c r="W212" s="307">
        <v>211.0</v>
      </c>
      <c r="X212" s="41"/>
      <c r="Y212" s="698" t="s">
        <v>2401</v>
      </c>
      <c r="Z212" s="307">
        <v>211.0</v>
      </c>
      <c r="AA212" s="41"/>
      <c r="AB212" s="683" t="s">
        <v>2693</v>
      </c>
      <c r="AC212" s="307">
        <v>211.0</v>
      </c>
      <c r="AD212" s="79"/>
      <c r="AE212" s="690" t="s">
        <v>1136</v>
      </c>
      <c r="AF212" s="307">
        <v>211.0</v>
      </c>
      <c r="AH212" s="687" t="s">
        <v>816</v>
      </c>
      <c r="AI212" s="307">
        <v>211.0</v>
      </c>
      <c r="AK212" s="687" t="s">
        <v>2194</v>
      </c>
      <c r="AL212" s="307">
        <v>211.0</v>
      </c>
      <c r="AN212" s="700" t="s">
        <v>947</v>
      </c>
      <c r="AO212" s="307">
        <v>211.0</v>
      </c>
      <c r="AQ212" s="687" t="s">
        <v>907</v>
      </c>
      <c r="AR212" s="307">
        <v>211.0</v>
      </c>
      <c r="AT212" s="687" t="s">
        <v>835</v>
      </c>
      <c r="AU212" s="307">
        <v>211.0</v>
      </c>
      <c r="AW212" s="687" t="s">
        <v>2487</v>
      </c>
      <c r="AX212" s="307">
        <v>211.0</v>
      </c>
      <c r="AZ212" s="687" t="s">
        <v>214</v>
      </c>
      <c r="BA212" s="307">
        <v>211.0</v>
      </c>
      <c r="BC212" s="691" t="s">
        <v>263</v>
      </c>
      <c r="BD212" s="307">
        <v>211.0</v>
      </c>
      <c r="BF212" s="687" t="s">
        <v>2687</v>
      </c>
      <c r="BG212" s="145">
        <v>211.0</v>
      </c>
      <c r="BI212" s="688" t="s">
        <v>1076</v>
      </c>
      <c r="BJ212" s="145">
        <v>211.0</v>
      </c>
      <c r="BL212" s="692" t="s">
        <v>848</v>
      </c>
      <c r="BM212" s="216">
        <v>211.0</v>
      </c>
    </row>
    <row r="213">
      <c r="A213" s="41" t="s">
        <v>1251</v>
      </c>
      <c r="B213" s="307">
        <v>212.0</v>
      </c>
      <c r="C213" s="41"/>
      <c r="D213" s="41" t="s">
        <v>2656</v>
      </c>
      <c r="E213" s="307">
        <v>212.0</v>
      </c>
      <c r="F213" s="41"/>
      <c r="G213" s="41" t="s">
        <v>1251</v>
      </c>
      <c r="H213" s="307">
        <v>212.0</v>
      </c>
      <c r="I213" s="41"/>
      <c r="J213" s="41" t="s">
        <v>1251</v>
      </c>
      <c r="K213" s="307">
        <v>212.0</v>
      </c>
      <c r="L213" s="41"/>
      <c r="M213" s="41" t="s">
        <v>2257</v>
      </c>
      <c r="N213" s="307">
        <v>212.0</v>
      </c>
      <c r="O213" s="41"/>
      <c r="P213" s="41" t="s">
        <v>848</v>
      </c>
      <c r="Q213" s="307">
        <v>212.0</v>
      </c>
      <c r="R213" s="41"/>
      <c r="S213" s="41" t="s">
        <v>830</v>
      </c>
      <c r="T213" s="307">
        <v>212.0</v>
      </c>
      <c r="U213" s="41"/>
      <c r="V213" s="41" t="s">
        <v>2432</v>
      </c>
      <c r="W213" s="307">
        <v>212.0</v>
      </c>
      <c r="X213" s="41"/>
      <c r="Y213" s="682" t="s">
        <v>2691</v>
      </c>
      <c r="Z213" s="307">
        <v>212.0</v>
      </c>
      <c r="AA213" s="41"/>
      <c r="AB213" s="683" t="s">
        <v>838</v>
      </c>
      <c r="AC213" s="307">
        <v>212.0</v>
      </c>
      <c r="AD213" s="79"/>
      <c r="AE213" s="690" t="s">
        <v>2643</v>
      </c>
      <c r="AF213" s="307">
        <v>212.0</v>
      </c>
      <c r="AH213" s="687" t="s">
        <v>275</v>
      </c>
      <c r="AI213" s="307">
        <v>212.0</v>
      </c>
      <c r="AK213" s="687" t="s">
        <v>856</v>
      </c>
      <c r="AL213" s="307">
        <v>212.0</v>
      </c>
      <c r="AN213" s="687" t="s">
        <v>2332</v>
      </c>
      <c r="AO213" s="307">
        <v>212.0</v>
      </c>
      <c r="AQ213" s="687" t="s">
        <v>1136</v>
      </c>
      <c r="AR213" s="307">
        <v>212.0</v>
      </c>
      <c r="AT213" s="687" t="s">
        <v>2487</v>
      </c>
      <c r="AU213" s="307">
        <v>212.0</v>
      </c>
      <c r="AW213" s="687" t="s">
        <v>2646</v>
      </c>
      <c r="AX213" s="307">
        <v>212.0</v>
      </c>
      <c r="AZ213" s="687" t="s">
        <v>928</v>
      </c>
      <c r="BA213" s="307">
        <v>212.0</v>
      </c>
      <c r="BC213" s="691" t="s">
        <v>939</v>
      </c>
      <c r="BD213" s="307">
        <v>212.0</v>
      </c>
      <c r="BF213" s="687" t="s">
        <v>2258</v>
      </c>
      <c r="BG213" s="145">
        <v>212.0</v>
      </c>
      <c r="BI213" s="688" t="s">
        <v>816</v>
      </c>
      <c r="BJ213" s="145">
        <v>212.0</v>
      </c>
      <c r="BL213" s="692" t="s">
        <v>1079</v>
      </c>
      <c r="BM213" s="216">
        <v>212.0</v>
      </c>
    </row>
    <row r="214">
      <c r="A214" s="41" t="s">
        <v>77</v>
      </c>
      <c r="B214" s="307">
        <v>213.0</v>
      </c>
      <c r="C214" s="41"/>
      <c r="D214" s="41" t="s">
        <v>218</v>
      </c>
      <c r="E214" s="307">
        <v>213.0</v>
      </c>
      <c r="F214" s="41"/>
      <c r="G214" s="41" t="s">
        <v>1126</v>
      </c>
      <c r="H214" s="307">
        <v>213.0</v>
      </c>
      <c r="I214" s="41"/>
      <c r="J214" s="41" t="s">
        <v>69</v>
      </c>
      <c r="K214" s="307">
        <v>213.0</v>
      </c>
      <c r="L214" s="41"/>
      <c r="M214" s="41" t="s">
        <v>1076</v>
      </c>
      <c r="N214" s="307">
        <v>213.0</v>
      </c>
      <c r="O214" s="41"/>
      <c r="P214" s="41" t="s">
        <v>830</v>
      </c>
      <c r="Q214" s="307">
        <v>213.0</v>
      </c>
      <c r="R214" s="41"/>
      <c r="S214" s="41" t="s">
        <v>2695</v>
      </c>
      <c r="T214" s="307">
        <v>213.0</v>
      </c>
      <c r="U214" s="41"/>
      <c r="V214" s="41" t="s">
        <v>220</v>
      </c>
      <c r="W214" s="307">
        <v>213.0</v>
      </c>
      <c r="X214" s="41"/>
      <c r="Y214" s="682" t="s">
        <v>2693</v>
      </c>
      <c r="Z214" s="307">
        <v>213.0</v>
      </c>
      <c r="AA214" s="41"/>
      <c r="AB214" s="683" t="s">
        <v>848</v>
      </c>
      <c r="AC214" s="307">
        <v>213.0</v>
      </c>
      <c r="AD214" s="79"/>
      <c r="AE214" s="690" t="s">
        <v>913</v>
      </c>
      <c r="AF214" s="307">
        <v>213.0</v>
      </c>
      <c r="AH214" s="687" t="s">
        <v>1136</v>
      </c>
      <c r="AI214" s="307">
        <v>213.0</v>
      </c>
      <c r="AK214" s="687" t="s">
        <v>2452</v>
      </c>
      <c r="AL214" s="307">
        <v>213.0</v>
      </c>
      <c r="AN214" s="687" t="s">
        <v>930</v>
      </c>
      <c r="AO214" s="307">
        <v>213.0</v>
      </c>
      <c r="AQ214" s="687" t="s">
        <v>214</v>
      </c>
      <c r="AR214" s="307">
        <v>213.0</v>
      </c>
      <c r="AT214" s="687" t="s">
        <v>2646</v>
      </c>
      <c r="AU214" s="307">
        <v>213.0</v>
      </c>
      <c r="AW214" s="687" t="s">
        <v>2284</v>
      </c>
      <c r="AX214" s="307">
        <v>213.0</v>
      </c>
      <c r="AZ214" s="687" t="s">
        <v>2668</v>
      </c>
      <c r="BA214" s="307">
        <v>213.0</v>
      </c>
      <c r="BC214" s="691" t="s">
        <v>2687</v>
      </c>
      <c r="BD214" s="307">
        <v>213.0</v>
      </c>
      <c r="BF214" s="687" t="s">
        <v>1252</v>
      </c>
      <c r="BG214" s="145">
        <v>213.0</v>
      </c>
      <c r="BI214" s="688" t="s">
        <v>1243</v>
      </c>
      <c r="BJ214" s="145">
        <v>213.0</v>
      </c>
      <c r="BL214" s="692" t="s">
        <v>2382</v>
      </c>
      <c r="BM214" s="216">
        <v>213.0</v>
      </c>
    </row>
    <row r="215">
      <c r="A215" s="41" t="s">
        <v>70</v>
      </c>
      <c r="B215" s="307">
        <v>214.0</v>
      </c>
      <c r="C215" s="41"/>
      <c r="D215" s="41" t="s">
        <v>1080</v>
      </c>
      <c r="E215" s="307">
        <v>214.0</v>
      </c>
      <c r="F215" s="41"/>
      <c r="G215" s="41" t="s">
        <v>2692</v>
      </c>
      <c r="H215" s="307">
        <v>214.0</v>
      </c>
      <c r="I215" s="41"/>
      <c r="J215" s="41" t="s">
        <v>2368</v>
      </c>
      <c r="K215" s="307">
        <v>214.0</v>
      </c>
      <c r="L215" s="41"/>
      <c r="M215" s="41" t="s">
        <v>2680</v>
      </c>
      <c r="N215" s="307">
        <v>214.0</v>
      </c>
      <c r="O215" s="41"/>
      <c r="P215" s="41" t="s">
        <v>2695</v>
      </c>
      <c r="Q215" s="307">
        <v>214.0</v>
      </c>
      <c r="R215" s="41"/>
      <c r="S215" s="41" t="s">
        <v>220</v>
      </c>
      <c r="T215" s="307">
        <v>214.0</v>
      </c>
      <c r="U215" s="41"/>
      <c r="V215" s="41" t="s">
        <v>70</v>
      </c>
      <c r="W215" s="307">
        <v>214.0</v>
      </c>
      <c r="X215" s="41"/>
      <c r="Y215" s="698" t="s">
        <v>848</v>
      </c>
      <c r="Z215" s="307">
        <v>214.0</v>
      </c>
      <c r="AA215" s="41"/>
      <c r="AB215" s="683" t="s">
        <v>2432</v>
      </c>
      <c r="AC215" s="307">
        <v>214.0</v>
      </c>
      <c r="AD215" s="79"/>
      <c r="AE215" s="690" t="s">
        <v>929</v>
      </c>
      <c r="AF215" s="307">
        <v>214.0</v>
      </c>
      <c r="AH215" s="687" t="s">
        <v>2643</v>
      </c>
      <c r="AI215" s="307">
        <v>214.0</v>
      </c>
      <c r="AK215" s="687" t="s">
        <v>2648</v>
      </c>
      <c r="AL215" s="307">
        <v>214.0</v>
      </c>
      <c r="AN215" s="687" t="s">
        <v>916</v>
      </c>
      <c r="AO215" s="307">
        <v>214.0</v>
      </c>
      <c r="AQ215" s="687" t="s">
        <v>2668</v>
      </c>
      <c r="AR215" s="307">
        <v>214.0</v>
      </c>
      <c r="AT215" s="687" t="s">
        <v>2284</v>
      </c>
      <c r="AU215" s="307">
        <v>214.0</v>
      </c>
      <c r="AW215" s="687" t="s">
        <v>2366</v>
      </c>
      <c r="AX215" s="307">
        <v>214.0</v>
      </c>
      <c r="AZ215" s="687" t="s">
        <v>71</v>
      </c>
      <c r="BA215" s="307">
        <v>214.0</v>
      </c>
      <c r="BC215" s="691" t="s">
        <v>2258</v>
      </c>
      <c r="BD215" s="307">
        <v>214.0</v>
      </c>
      <c r="BF215" s="700" t="s">
        <v>2440</v>
      </c>
      <c r="BG215" s="145">
        <v>214.0</v>
      </c>
      <c r="BI215" s="712" t="s">
        <v>2440</v>
      </c>
      <c r="BJ215" s="145">
        <v>214.0</v>
      </c>
      <c r="BL215" s="706" t="s">
        <v>1252</v>
      </c>
      <c r="BM215" s="216">
        <v>214.0</v>
      </c>
    </row>
    <row r="216">
      <c r="A216" s="41" t="s">
        <v>76</v>
      </c>
      <c r="B216" s="307">
        <v>215.0</v>
      </c>
      <c r="C216" s="41"/>
      <c r="D216" s="41" t="s">
        <v>2399</v>
      </c>
      <c r="E216" s="307">
        <v>215.0</v>
      </c>
      <c r="F216" s="41"/>
      <c r="G216" s="41" t="s">
        <v>2382</v>
      </c>
      <c r="H216" s="307">
        <v>215.0</v>
      </c>
      <c r="I216" s="41"/>
      <c r="J216" s="41" t="s">
        <v>2420</v>
      </c>
      <c r="K216" s="307">
        <v>215.0</v>
      </c>
      <c r="L216" s="41"/>
      <c r="M216" s="41" t="s">
        <v>929</v>
      </c>
      <c r="N216" s="307">
        <v>215.0</v>
      </c>
      <c r="O216" s="41"/>
      <c r="P216" s="41" t="s">
        <v>220</v>
      </c>
      <c r="Q216" s="307">
        <v>215.0</v>
      </c>
      <c r="R216" s="41"/>
      <c r="S216" s="41" t="s">
        <v>215</v>
      </c>
      <c r="T216" s="307">
        <v>215.0</v>
      </c>
      <c r="U216" s="41"/>
      <c r="V216" s="41" t="s">
        <v>2683</v>
      </c>
      <c r="W216" s="307">
        <v>215.0</v>
      </c>
      <c r="X216" s="41"/>
      <c r="Y216" s="698" t="s">
        <v>2432</v>
      </c>
      <c r="Z216" s="307">
        <v>215.0</v>
      </c>
      <c r="AA216" s="41"/>
      <c r="AB216" s="683" t="s">
        <v>220</v>
      </c>
      <c r="AC216" s="307">
        <v>215.0</v>
      </c>
      <c r="AD216" s="79"/>
      <c r="AE216" s="690" t="s">
        <v>2693</v>
      </c>
      <c r="AF216" s="307">
        <v>215.0</v>
      </c>
      <c r="AH216" s="687" t="s">
        <v>220</v>
      </c>
      <c r="AI216" s="307">
        <v>215.0</v>
      </c>
      <c r="AK216" s="687" t="s">
        <v>2366</v>
      </c>
      <c r="AL216" s="307">
        <v>215.0</v>
      </c>
      <c r="AN216" s="687" t="s">
        <v>2218</v>
      </c>
      <c r="AO216" s="307">
        <v>215.0</v>
      </c>
      <c r="AQ216" s="687" t="s">
        <v>835</v>
      </c>
      <c r="AR216" s="307">
        <v>215.0</v>
      </c>
      <c r="AT216" s="687" t="s">
        <v>2363</v>
      </c>
      <c r="AU216" s="307">
        <v>215.0</v>
      </c>
      <c r="AW216" s="687" t="s">
        <v>2435</v>
      </c>
      <c r="AX216" s="307">
        <v>215.0</v>
      </c>
      <c r="AZ216" s="687" t="s">
        <v>2452</v>
      </c>
      <c r="BA216" s="307">
        <v>215.0</v>
      </c>
      <c r="BC216" s="691" t="s">
        <v>1252</v>
      </c>
      <c r="BD216" s="307">
        <v>215.0</v>
      </c>
      <c r="BF216" s="687" t="s">
        <v>916</v>
      </c>
      <c r="BG216" s="145">
        <v>215.0</v>
      </c>
      <c r="BI216" s="688" t="s">
        <v>2657</v>
      </c>
      <c r="BJ216" s="145">
        <v>215.0</v>
      </c>
      <c r="BL216" s="692" t="s">
        <v>1086</v>
      </c>
      <c r="BM216" s="216">
        <v>215.0</v>
      </c>
    </row>
    <row r="217">
      <c r="A217" s="41" t="s">
        <v>80</v>
      </c>
      <c r="B217" s="307">
        <v>216.0</v>
      </c>
      <c r="C217" s="41"/>
      <c r="D217" s="41" t="s">
        <v>2679</v>
      </c>
      <c r="E217" s="307">
        <v>216.0</v>
      </c>
      <c r="F217" s="41"/>
      <c r="G217" s="41" t="s">
        <v>921</v>
      </c>
      <c r="H217" s="307">
        <v>216.0</v>
      </c>
      <c r="I217" s="41"/>
      <c r="J217" s="41" t="s">
        <v>218</v>
      </c>
      <c r="K217" s="307">
        <v>216.0</v>
      </c>
      <c r="L217" s="41"/>
      <c r="M217" s="41" t="s">
        <v>924</v>
      </c>
      <c r="N217" s="307">
        <v>216.0</v>
      </c>
      <c r="O217" s="41"/>
      <c r="P217" s="41" t="s">
        <v>228</v>
      </c>
      <c r="Q217" s="307">
        <v>216.0</v>
      </c>
      <c r="R217" s="41"/>
      <c r="S217" s="41" t="s">
        <v>2681</v>
      </c>
      <c r="T217" s="307">
        <v>216.0</v>
      </c>
      <c r="U217" s="41"/>
      <c r="V217" s="41" t="s">
        <v>2650</v>
      </c>
      <c r="W217" s="307">
        <v>216.0</v>
      </c>
      <c r="X217" s="41"/>
      <c r="Y217" s="698" t="s">
        <v>220</v>
      </c>
      <c r="Z217" s="307">
        <v>216.0</v>
      </c>
      <c r="AA217" s="41"/>
      <c r="AB217" s="683" t="s">
        <v>2294</v>
      </c>
      <c r="AC217" s="307">
        <v>216.0</v>
      </c>
      <c r="AD217" s="79"/>
      <c r="AE217" s="690" t="s">
        <v>848</v>
      </c>
      <c r="AF217" s="307">
        <v>216.0</v>
      </c>
      <c r="AH217" s="687" t="s">
        <v>905</v>
      </c>
      <c r="AI217" s="307">
        <v>216.0</v>
      </c>
      <c r="AK217" s="687" t="s">
        <v>253</v>
      </c>
      <c r="AL217" s="307">
        <v>216.0</v>
      </c>
      <c r="AN217" s="687" t="s">
        <v>1250</v>
      </c>
      <c r="AO217" s="307">
        <v>216.0</v>
      </c>
      <c r="AQ217" s="687" t="s">
        <v>2487</v>
      </c>
      <c r="AR217" s="307">
        <v>216.0</v>
      </c>
      <c r="AT217" s="687" t="s">
        <v>2677</v>
      </c>
      <c r="AU217" s="307">
        <v>216.0</v>
      </c>
      <c r="AW217" s="687" t="s">
        <v>2449</v>
      </c>
      <c r="AX217" s="307">
        <v>216.0</v>
      </c>
      <c r="AZ217" s="687" t="s">
        <v>2432</v>
      </c>
      <c r="BA217" s="307">
        <v>216.0</v>
      </c>
      <c r="BC217" s="713" t="s">
        <v>2440</v>
      </c>
      <c r="BD217" s="307">
        <v>216.0</v>
      </c>
      <c r="BF217" s="687" t="s">
        <v>1113</v>
      </c>
      <c r="BG217" s="145">
        <v>216.0</v>
      </c>
      <c r="BI217" s="688" t="s">
        <v>2428</v>
      </c>
      <c r="BJ217" s="145">
        <v>216.0</v>
      </c>
      <c r="BL217" s="692" t="s">
        <v>2666</v>
      </c>
      <c r="BM217" s="216">
        <v>216.0</v>
      </c>
    </row>
    <row r="218">
      <c r="A218" s="41" t="s">
        <v>2598</v>
      </c>
      <c r="B218" s="307">
        <v>217.0</v>
      </c>
      <c r="C218" s="41"/>
      <c r="D218" s="41" t="s">
        <v>2368</v>
      </c>
      <c r="E218" s="307">
        <v>217.0</v>
      </c>
      <c r="F218" s="41"/>
      <c r="G218" s="41" t="s">
        <v>2668</v>
      </c>
      <c r="H218" s="307">
        <v>217.0</v>
      </c>
      <c r="I218" s="41"/>
      <c r="J218" s="41" t="s">
        <v>2696</v>
      </c>
      <c r="K218" s="307">
        <v>217.0</v>
      </c>
      <c r="L218" s="41"/>
      <c r="M218" s="41" t="s">
        <v>2697</v>
      </c>
      <c r="N218" s="307">
        <v>217.0</v>
      </c>
      <c r="O218" s="41"/>
      <c r="P218" s="41" t="s">
        <v>215</v>
      </c>
      <c r="Q218" s="307">
        <v>217.0</v>
      </c>
      <c r="R218" s="41"/>
      <c r="S218" s="41" t="s">
        <v>2368</v>
      </c>
      <c r="T218" s="307">
        <v>217.0</v>
      </c>
      <c r="U218" s="41"/>
      <c r="V218" s="41" t="s">
        <v>1136</v>
      </c>
      <c r="W218" s="307">
        <v>217.0</v>
      </c>
      <c r="X218" s="41"/>
      <c r="Y218" s="682" t="s">
        <v>70</v>
      </c>
      <c r="Z218" s="307">
        <v>217.0</v>
      </c>
      <c r="AA218" s="41"/>
      <c r="AB218" s="683" t="s">
        <v>1041</v>
      </c>
      <c r="AC218" s="307">
        <v>217.0</v>
      </c>
      <c r="AD218" s="79"/>
      <c r="AE218" s="690" t="s">
        <v>2432</v>
      </c>
      <c r="AF218" s="307">
        <v>217.0</v>
      </c>
      <c r="AH218" s="687" t="s">
        <v>2194</v>
      </c>
      <c r="AI218" s="307">
        <v>217.0</v>
      </c>
      <c r="AK218" s="687" t="s">
        <v>70</v>
      </c>
      <c r="AL218" s="307">
        <v>217.0</v>
      </c>
      <c r="AN218" s="687" t="s">
        <v>2250</v>
      </c>
      <c r="AO218" s="307">
        <v>217.0</v>
      </c>
      <c r="AQ218" s="687" t="s">
        <v>2646</v>
      </c>
      <c r="AR218" s="307">
        <v>217.0</v>
      </c>
      <c r="AT218" s="687" t="s">
        <v>2435</v>
      </c>
      <c r="AU218" s="307">
        <v>217.0</v>
      </c>
      <c r="AW218" s="687" t="s">
        <v>2322</v>
      </c>
      <c r="AX218" s="307">
        <v>217.0</v>
      </c>
      <c r="AZ218" s="687" t="s">
        <v>2487</v>
      </c>
      <c r="BA218" s="307">
        <v>217.0</v>
      </c>
      <c r="BC218" s="691" t="s">
        <v>916</v>
      </c>
      <c r="BD218" s="307">
        <v>217.0</v>
      </c>
      <c r="BF218" s="687" t="s">
        <v>2428</v>
      </c>
      <c r="BG218" s="145">
        <v>217.0</v>
      </c>
      <c r="BI218" s="688" t="s">
        <v>931</v>
      </c>
      <c r="BJ218" s="145">
        <v>217.0</v>
      </c>
      <c r="BL218" s="692" t="s">
        <v>2698</v>
      </c>
      <c r="BM218" s="216">
        <v>217.0</v>
      </c>
    </row>
    <row r="219">
      <c r="A219" s="41" t="s">
        <v>261</v>
      </c>
      <c r="B219" s="307">
        <v>218.0</v>
      </c>
      <c r="C219" s="41"/>
      <c r="D219" s="41" t="s">
        <v>841</v>
      </c>
      <c r="E219" s="307">
        <v>218.0</v>
      </c>
      <c r="F219" s="41"/>
      <c r="G219" s="41" t="s">
        <v>69</v>
      </c>
      <c r="H219" s="307">
        <v>218.0</v>
      </c>
      <c r="I219" s="41"/>
      <c r="J219" s="41" t="s">
        <v>2662</v>
      </c>
      <c r="K219" s="307">
        <v>218.0</v>
      </c>
      <c r="L219" s="41"/>
      <c r="M219" s="41" t="s">
        <v>2666</v>
      </c>
      <c r="N219" s="307">
        <v>218.0</v>
      </c>
      <c r="O219" s="41"/>
      <c r="P219" s="41" t="s">
        <v>2368</v>
      </c>
      <c r="Q219" s="307">
        <v>218.0</v>
      </c>
      <c r="R219" s="41"/>
      <c r="S219" s="41" t="s">
        <v>212</v>
      </c>
      <c r="T219" s="307">
        <v>218.0</v>
      </c>
      <c r="U219" s="41"/>
      <c r="V219" s="41" t="s">
        <v>262</v>
      </c>
      <c r="W219" s="307">
        <v>218.0</v>
      </c>
      <c r="X219" s="41"/>
      <c r="Y219" s="682" t="s">
        <v>2683</v>
      </c>
      <c r="Z219" s="307">
        <v>218.0</v>
      </c>
      <c r="AA219" s="41"/>
      <c r="AB219" s="683" t="s">
        <v>2420</v>
      </c>
      <c r="AC219" s="307">
        <v>218.0</v>
      </c>
      <c r="AD219" s="79"/>
      <c r="AE219" s="690" t="s">
        <v>220</v>
      </c>
      <c r="AF219" s="307">
        <v>218.0</v>
      </c>
      <c r="AH219" s="687" t="s">
        <v>2691</v>
      </c>
      <c r="AI219" s="307">
        <v>218.0</v>
      </c>
      <c r="AK219" s="687" t="s">
        <v>1126</v>
      </c>
      <c r="AL219" s="307">
        <v>218.0</v>
      </c>
      <c r="AN219" s="687" t="s">
        <v>1136</v>
      </c>
      <c r="AO219" s="307">
        <v>218.0</v>
      </c>
      <c r="AQ219" s="687" t="s">
        <v>2284</v>
      </c>
      <c r="AR219" s="307">
        <v>218.0</v>
      </c>
      <c r="AT219" s="687" t="s">
        <v>2322</v>
      </c>
      <c r="AU219" s="307">
        <v>218.0</v>
      </c>
      <c r="AW219" s="687" t="s">
        <v>939</v>
      </c>
      <c r="AX219" s="307">
        <v>218.0</v>
      </c>
      <c r="AZ219" s="687" t="s">
        <v>2646</v>
      </c>
      <c r="BA219" s="307">
        <v>218.0</v>
      </c>
      <c r="BC219" s="691" t="s">
        <v>2431</v>
      </c>
      <c r="BD219" s="307">
        <v>218.0</v>
      </c>
      <c r="BF219" s="687" t="s">
        <v>2695</v>
      </c>
      <c r="BG219" s="145">
        <v>218.0</v>
      </c>
      <c r="BI219" s="688" t="s">
        <v>2695</v>
      </c>
      <c r="BJ219" s="145">
        <v>218.0</v>
      </c>
      <c r="BL219" s="692" t="s">
        <v>2310</v>
      </c>
      <c r="BM219" s="216">
        <v>218.0</v>
      </c>
    </row>
    <row r="220">
      <c r="A220" s="41" t="s">
        <v>852</v>
      </c>
      <c r="B220" s="307">
        <v>219.0</v>
      </c>
      <c r="C220" s="41"/>
      <c r="D220" s="41" t="s">
        <v>220</v>
      </c>
      <c r="E220" s="307">
        <v>219.0</v>
      </c>
      <c r="F220" s="41"/>
      <c r="G220" s="41" t="s">
        <v>817</v>
      </c>
      <c r="H220" s="307">
        <v>219.0</v>
      </c>
      <c r="I220" s="41"/>
      <c r="J220" s="41" t="s">
        <v>2273</v>
      </c>
      <c r="K220" s="307">
        <v>219.0</v>
      </c>
      <c r="L220" s="41"/>
      <c r="M220" s="41" t="s">
        <v>70</v>
      </c>
      <c r="N220" s="307">
        <v>219.0</v>
      </c>
      <c r="O220" s="41"/>
      <c r="P220" s="41" t="s">
        <v>2681</v>
      </c>
      <c r="Q220" s="307">
        <v>219.0</v>
      </c>
      <c r="R220" s="41"/>
      <c r="S220" s="41" t="s">
        <v>2250</v>
      </c>
      <c r="T220" s="307">
        <v>219.0</v>
      </c>
      <c r="U220" s="41"/>
      <c r="V220" s="41" t="s">
        <v>924</v>
      </c>
      <c r="W220" s="307">
        <v>219.0</v>
      </c>
      <c r="X220" s="41"/>
      <c r="Y220" s="682" t="s">
        <v>2650</v>
      </c>
      <c r="Z220" s="307">
        <v>219.0</v>
      </c>
      <c r="AA220" s="41"/>
      <c r="AB220" s="683" t="s">
        <v>2452</v>
      </c>
      <c r="AC220" s="307">
        <v>219.0</v>
      </c>
      <c r="AD220" s="79"/>
      <c r="AE220" s="690" t="s">
        <v>2294</v>
      </c>
      <c r="AF220" s="307">
        <v>219.0</v>
      </c>
      <c r="AH220" s="687" t="s">
        <v>1126</v>
      </c>
      <c r="AI220" s="307">
        <v>219.0</v>
      </c>
      <c r="AK220" s="687" t="s">
        <v>2680</v>
      </c>
      <c r="AL220" s="307">
        <v>219.0</v>
      </c>
      <c r="AN220" s="687" t="s">
        <v>214</v>
      </c>
      <c r="AO220" s="307">
        <v>219.0</v>
      </c>
      <c r="AQ220" s="687" t="s">
        <v>2363</v>
      </c>
      <c r="AR220" s="307">
        <v>219.0</v>
      </c>
      <c r="AT220" s="687" t="s">
        <v>939</v>
      </c>
      <c r="AU220" s="307">
        <v>219.0</v>
      </c>
      <c r="AW220" s="687" t="s">
        <v>2687</v>
      </c>
      <c r="AX220" s="307">
        <v>219.0</v>
      </c>
      <c r="AZ220" s="687" t="s">
        <v>2284</v>
      </c>
      <c r="BA220" s="307">
        <v>219.0</v>
      </c>
      <c r="BC220" s="691" t="s">
        <v>1113</v>
      </c>
      <c r="BD220" s="307">
        <v>219.0</v>
      </c>
      <c r="BF220" s="687" t="s">
        <v>848</v>
      </c>
      <c r="BG220" s="145">
        <v>219.0</v>
      </c>
      <c r="BI220" s="688" t="s">
        <v>847</v>
      </c>
      <c r="BJ220" s="145">
        <v>219.0</v>
      </c>
      <c r="BL220" s="692" t="s">
        <v>2492</v>
      </c>
      <c r="BM220" s="216">
        <v>219.0</v>
      </c>
    </row>
    <row r="221">
      <c r="A221" s="41" t="s">
        <v>2375</v>
      </c>
      <c r="B221" s="307">
        <v>220.0</v>
      </c>
      <c r="C221" s="41"/>
      <c r="D221" s="41" t="s">
        <v>2674</v>
      </c>
      <c r="E221" s="307">
        <v>220.0</v>
      </c>
      <c r="F221" s="41"/>
      <c r="G221" s="41" t="s">
        <v>2699</v>
      </c>
      <c r="H221" s="307">
        <v>220.0</v>
      </c>
      <c r="I221" s="41"/>
      <c r="J221" s="41" t="s">
        <v>2296</v>
      </c>
      <c r="K221" s="307">
        <v>220.0</v>
      </c>
      <c r="L221" s="41"/>
      <c r="M221" s="41" t="s">
        <v>80</v>
      </c>
      <c r="N221" s="307">
        <v>220.0</v>
      </c>
      <c r="O221" s="41"/>
      <c r="P221" s="41" t="s">
        <v>2426</v>
      </c>
      <c r="Q221" s="307">
        <v>220.0</v>
      </c>
      <c r="R221" s="41"/>
      <c r="S221" s="41" t="s">
        <v>2453</v>
      </c>
      <c r="T221" s="307">
        <v>220.0</v>
      </c>
      <c r="U221" s="41"/>
      <c r="V221" s="41" t="s">
        <v>240</v>
      </c>
      <c r="W221" s="307">
        <v>220.0</v>
      </c>
      <c r="X221" s="41"/>
      <c r="Y221" s="682" t="s">
        <v>1136</v>
      </c>
      <c r="Z221" s="307">
        <v>220.0</v>
      </c>
      <c r="AA221" s="41"/>
      <c r="AB221" s="683" t="s">
        <v>815</v>
      </c>
      <c r="AC221" s="307">
        <v>220.0</v>
      </c>
      <c r="AD221" s="79"/>
      <c r="AE221" s="690" t="s">
        <v>1041</v>
      </c>
      <c r="AF221" s="307">
        <v>220.0</v>
      </c>
      <c r="AH221" s="687" t="s">
        <v>2284</v>
      </c>
      <c r="AI221" s="307">
        <v>220.0</v>
      </c>
      <c r="AK221" s="687" t="s">
        <v>268</v>
      </c>
      <c r="AL221" s="307">
        <v>220.0</v>
      </c>
      <c r="AN221" s="687" t="s">
        <v>2668</v>
      </c>
      <c r="AO221" s="307">
        <v>220.0</v>
      </c>
      <c r="AQ221" s="687" t="s">
        <v>2677</v>
      </c>
      <c r="AR221" s="307">
        <v>220.0</v>
      </c>
      <c r="AT221" s="687" t="s">
        <v>2687</v>
      </c>
      <c r="AU221" s="307">
        <v>220.0</v>
      </c>
      <c r="AW221" s="687" t="s">
        <v>2258</v>
      </c>
      <c r="AX221" s="307">
        <v>220.0</v>
      </c>
      <c r="AZ221" s="687" t="s">
        <v>2322</v>
      </c>
      <c r="BA221" s="307">
        <v>220.0</v>
      </c>
      <c r="BC221" s="691" t="s">
        <v>2428</v>
      </c>
      <c r="BD221" s="307">
        <v>220.0</v>
      </c>
      <c r="BF221" s="687" t="s">
        <v>846</v>
      </c>
      <c r="BG221" s="145">
        <v>220.0</v>
      </c>
      <c r="BI221" s="688" t="s">
        <v>848</v>
      </c>
      <c r="BJ221" s="145">
        <v>220.0</v>
      </c>
      <c r="BL221" s="692" t="s">
        <v>2258</v>
      </c>
      <c r="BM221" s="216">
        <v>220.0</v>
      </c>
    </row>
    <row r="222">
      <c r="A222" s="41" t="s">
        <v>2090</v>
      </c>
      <c r="B222" s="307">
        <v>221.0</v>
      </c>
      <c r="C222" s="41"/>
      <c r="D222" s="41" t="s">
        <v>2340</v>
      </c>
      <c r="E222" s="307">
        <v>221.0</v>
      </c>
      <c r="F222" s="41"/>
      <c r="G222" s="41" t="s">
        <v>924</v>
      </c>
      <c r="H222" s="307">
        <v>221.0</v>
      </c>
      <c r="I222" s="41"/>
      <c r="J222" s="41" t="s">
        <v>2686</v>
      </c>
      <c r="K222" s="307">
        <v>221.0</v>
      </c>
      <c r="L222" s="41"/>
      <c r="M222" s="41" t="s">
        <v>2665</v>
      </c>
      <c r="N222" s="307">
        <v>221.0</v>
      </c>
      <c r="O222" s="41"/>
      <c r="P222" s="41" t="s">
        <v>2250</v>
      </c>
      <c r="Q222" s="307">
        <v>221.0</v>
      </c>
      <c r="R222" s="41"/>
      <c r="S222" s="41" t="s">
        <v>2683</v>
      </c>
      <c r="T222" s="307">
        <v>221.0</v>
      </c>
      <c r="U222" s="41"/>
      <c r="V222" s="41" t="s">
        <v>2666</v>
      </c>
      <c r="W222" s="307">
        <v>221.0</v>
      </c>
      <c r="X222" s="41"/>
      <c r="Y222" s="682" t="s">
        <v>240</v>
      </c>
      <c r="Z222" s="307">
        <v>221.0</v>
      </c>
      <c r="AA222" s="41"/>
      <c r="AB222" s="683" t="s">
        <v>2366</v>
      </c>
      <c r="AC222" s="307">
        <v>221.0</v>
      </c>
      <c r="AD222" s="79"/>
      <c r="AE222" s="690" t="s">
        <v>2691</v>
      </c>
      <c r="AF222" s="307">
        <v>221.0</v>
      </c>
      <c r="AH222" s="687" t="s">
        <v>268</v>
      </c>
      <c r="AI222" s="307">
        <v>221.0</v>
      </c>
      <c r="AK222" s="687" t="s">
        <v>2405</v>
      </c>
      <c r="AL222" s="307">
        <v>221.0</v>
      </c>
      <c r="AN222" s="687" t="s">
        <v>2371</v>
      </c>
      <c r="AO222" s="307">
        <v>221.0</v>
      </c>
      <c r="AQ222" s="687" t="s">
        <v>2435</v>
      </c>
      <c r="AR222" s="307">
        <v>221.0</v>
      </c>
      <c r="AT222" s="687" t="s">
        <v>852</v>
      </c>
      <c r="AU222" s="307">
        <v>221.0</v>
      </c>
      <c r="AW222" s="700" t="s">
        <v>2440</v>
      </c>
      <c r="AX222" s="307">
        <v>221.0</v>
      </c>
      <c r="AZ222" s="687" t="s">
        <v>939</v>
      </c>
      <c r="BA222" s="307">
        <v>221.0</v>
      </c>
      <c r="BC222" s="691" t="s">
        <v>2695</v>
      </c>
      <c r="BD222" s="307">
        <v>221.0</v>
      </c>
      <c r="BF222" s="687" t="s">
        <v>1048</v>
      </c>
      <c r="BG222" s="145">
        <v>221.0</v>
      </c>
      <c r="BI222" s="688" t="s">
        <v>1041</v>
      </c>
      <c r="BJ222" s="145">
        <v>221.0</v>
      </c>
      <c r="BL222" s="692" t="s">
        <v>2366</v>
      </c>
      <c r="BM222" s="216">
        <v>221.0</v>
      </c>
    </row>
    <row r="223">
      <c r="A223" s="41" t="s">
        <v>2377</v>
      </c>
      <c r="B223" s="307">
        <v>222.0</v>
      </c>
      <c r="C223" s="41"/>
      <c r="D223" s="41" t="s">
        <v>1126</v>
      </c>
      <c r="E223" s="307">
        <v>222.0</v>
      </c>
      <c r="F223" s="41"/>
      <c r="G223" s="41" t="s">
        <v>2391</v>
      </c>
      <c r="H223" s="307">
        <v>222.0</v>
      </c>
      <c r="I223" s="41"/>
      <c r="J223" s="41" t="s">
        <v>2670</v>
      </c>
      <c r="K223" s="307">
        <v>222.0</v>
      </c>
      <c r="L223" s="41"/>
      <c r="M223" s="41" t="s">
        <v>2691</v>
      </c>
      <c r="N223" s="307">
        <v>222.0</v>
      </c>
      <c r="O223" s="41"/>
      <c r="P223" s="41" t="s">
        <v>2397</v>
      </c>
      <c r="Q223" s="307">
        <v>222.0</v>
      </c>
      <c r="R223" s="41"/>
      <c r="S223" s="41" t="s">
        <v>2650</v>
      </c>
      <c r="T223" s="307">
        <v>222.0</v>
      </c>
      <c r="U223" s="41"/>
      <c r="V223" s="41" t="s">
        <v>1251</v>
      </c>
      <c r="W223" s="307">
        <v>222.0</v>
      </c>
      <c r="X223" s="41"/>
      <c r="Y223" s="682" t="s">
        <v>2666</v>
      </c>
      <c r="Z223" s="307">
        <v>222.0</v>
      </c>
      <c r="AA223" s="41"/>
      <c r="AB223" s="683" t="s">
        <v>913</v>
      </c>
      <c r="AC223" s="307">
        <v>222.0</v>
      </c>
      <c r="AD223" s="79"/>
      <c r="AE223" s="690" t="s">
        <v>2655</v>
      </c>
      <c r="AF223" s="307">
        <v>222.0</v>
      </c>
      <c r="AH223" s="687" t="s">
        <v>928</v>
      </c>
      <c r="AI223" s="307">
        <v>222.0</v>
      </c>
      <c r="AK223" s="687" t="s">
        <v>1076</v>
      </c>
      <c r="AL223" s="307">
        <v>222.0</v>
      </c>
      <c r="AN223" s="687" t="s">
        <v>835</v>
      </c>
      <c r="AO223" s="307">
        <v>222.0</v>
      </c>
      <c r="AQ223" s="687" t="s">
        <v>2322</v>
      </c>
      <c r="AR223" s="307">
        <v>222.0</v>
      </c>
      <c r="AT223" s="687" t="s">
        <v>2258</v>
      </c>
      <c r="AU223" s="307">
        <v>222.0</v>
      </c>
      <c r="AW223" s="687" t="s">
        <v>916</v>
      </c>
      <c r="AX223" s="307">
        <v>222.0</v>
      </c>
      <c r="AZ223" s="687" t="s">
        <v>2687</v>
      </c>
      <c r="BA223" s="307">
        <v>222.0</v>
      </c>
      <c r="BC223" s="691" t="s">
        <v>848</v>
      </c>
      <c r="BD223" s="307">
        <v>222.0</v>
      </c>
      <c r="BF223" s="687" t="s">
        <v>2294</v>
      </c>
      <c r="BG223" s="145">
        <v>222.0</v>
      </c>
      <c r="BI223" s="688" t="s">
        <v>251</v>
      </c>
      <c r="BJ223" s="145">
        <v>222.0</v>
      </c>
      <c r="BL223" s="692" t="s">
        <v>2490</v>
      </c>
      <c r="BM223" s="216">
        <v>222.0</v>
      </c>
    </row>
    <row r="224">
      <c r="A224" s="41" t="s">
        <v>231</v>
      </c>
      <c r="B224" s="307">
        <v>223.0</v>
      </c>
      <c r="C224" s="41"/>
      <c r="D224" s="41" t="s">
        <v>2692</v>
      </c>
      <c r="E224" s="307">
        <v>223.0</v>
      </c>
      <c r="F224" s="41"/>
      <c r="G224" s="41" t="s">
        <v>2418</v>
      </c>
      <c r="H224" s="307">
        <v>223.0</v>
      </c>
      <c r="I224" s="41"/>
      <c r="J224" s="41" t="s">
        <v>2397</v>
      </c>
      <c r="K224" s="307">
        <v>223.0</v>
      </c>
      <c r="L224" s="41"/>
      <c r="M224" s="41" t="s">
        <v>2664</v>
      </c>
      <c r="N224" s="307">
        <v>223.0</v>
      </c>
      <c r="O224" s="41"/>
      <c r="P224" s="41" t="s">
        <v>2453</v>
      </c>
      <c r="Q224" s="307">
        <v>223.0</v>
      </c>
      <c r="R224" s="41"/>
      <c r="S224" s="41" t="s">
        <v>262</v>
      </c>
      <c r="T224" s="307">
        <v>223.0</v>
      </c>
      <c r="U224" s="41"/>
      <c r="V224" s="41" t="s">
        <v>815</v>
      </c>
      <c r="W224" s="307">
        <v>223.0</v>
      </c>
      <c r="X224" s="41"/>
      <c r="Y224" s="682" t="s">
        <v>1251</v>
      </c>
      <c r="Z224" s="307">
        <v>223.0</v>
      </c>
      <c r="AA224" s="41"/>
      <c r="AB224" s="683" t="s">
        <v>2655</v>
      </c>
      <c r="AC224" s="307">
        <v>223.0</v>
      </c>
      <c r="AD224" s="79"/>
      <c r="AE224" s="704" t="s">
        <v>2420</v>
      </c>
      <c r="AF224" s="307">
        <v>223.0</v>
      </c>
      <c r="AG224" s="705"/>
      <c r="AH224" s="706" t="s">
        <v>922</v>
      </c>
      <c r="AI224" s="307">
        <v>223.0</v>
      </c>
      <c r="AJ224" s="705"/>
      <c r="AK224" s="706" t="s">
        <v>2400</v>
      </c>
      <c r="AL224" s="307">
        <v>223.0</v>
      </c>
      <c r="AM224" s="705"/>
      <c r="AN224" s="706" t="s">
        <v>2682</v>
      </c>
      <c r="AO224" s="307">
        <v>223.0</v>
      </c>
      <c r="AQ224" s="687" t="s">
        <v>939</v>
      </c>
      <c r="AR224" s="307">
        <v>223.0</v>
      </c>
      <c r="AT224" s="700" t="s">
        <v>2440</v>
      </c>
      <c r="AU224" s="307">
        <v>223.0</v>
      </c>
      <c r="AW224" s="687" t="s">
        <v>71</v>
      </c>
      <c r="AX224" s="307">
        <v>223.0</v>
      </c>
      <c r="AZ224" s="687" t="s">
        <v>2258</v>
      </c>
      <c r="BA224" s="307">
        <v>223.0</v>
      </c>
      <c r="BC224" s="691" t="s">
        <v>2194</v>
      </c>
      <c r="BD224" s="307">
        <v>223.0</v>
      </c>
      <c r="BF224" s="687" t="s">
        <v>1041</v>
      </c>
      <c r="BG224" s="145">
        <v>223.0</v>
      </c>
      <c r="BI224" s="688" t="s">
        <v>2666</v>
      </c>
      <c r="BJ224" s="145">
        <v>223.0</v>
      </c>
      <c r="BL224" s="692" t="s">
        <v>1048</v>
      </c>
      <c r="BM224" s="216">
        <v>223.0</v>
      </c>
    </row>
    <row r="225">
      <c r="A225" s="41" t="s">
        <v>2692</v>
      </c>
      <c r="B225" s="307">
        <v>224.0</v>
      </c>
      <c r="C225" s="41"/>
      <c r="D225" s="41" t="s">
        <v>2382</v>
      </c>
      <c r="E225" s="307">
        <v>224.0</v>
      </c>
      <c r="F225" s="41"/>
      <c r="G225" s="41" t="s">
        <v>2296</v>
      </c>
      <c r="H225" s="307">
        <v>224.0</v>
      </c>
      <c r="I225" s="41"/>
      <c r="J225" s="41" t="s">
        <v>2668</v>
      </c>
      <c r="K225" s="307">
        <v>224.0</v>
      </c>
      <c r="L225" s="41"/>
      <c r="M225" s="41" t="s">
        <v>2417</v>
      </c>
      <c r="N225" s="307">
        <v>224.0</v>
      </c>
      <c r="O225" s="41"/>
      <c r="P225" s="41" t="s">
        <v>2650</v>
      </c>
      <c r="Q225" s="307">
        <v>224.0</v>
      </c>
      <c r="R225" s="41"/>
      <c r="S225" s="41" t="s">
        <v>224</v>
      </c>
      <c r="T225" s="307">
        <v>224.0</v>
      </c>
      <c r="U225" s="41"/>
      <c r="V225" s="41" t="s">
        <v>2366</v>
      </c>
      <c r="W225" s="307">
        <v>224.0</v>
      </c>
      <c r="X225" s="41"/>
      <c r="Y225" s="682" t="s">
        <v>815</v>
      </c>
      <c r="Z225" s="307">
        <v>224.0</v>
      </c>
      <c r="AA225" s="41"/>
      <c r="AB225" s="699" t="s">
        <v>268</v>
      </c>
      <c r="AC225" s="307">
        <v>224.0</v>
      </c>
      <c r="AD225" s="79"/>
      <c r="AE225" s="690" t="s">
        <v>928</v>
      </c>
      <c r="AF225" s="307">
        <v>224.0</v>
      </c>
      <c r="AH225" s="687" t="s">
        <v>2322</v>
      </c>
      <c r="AI225" s="307">
        <v>224.0</v>
      </c>
      <c r="AK225" s="700" t="s">
        <v>947</v>
      </c>
      <c r="AL225" s="307">
        <v>224.0</v>
      </c>
      <c r="AN225" s="687" t="s">
        <v>2487</v>
      </c>
      <c r="AO225" s="307">
        <v>224.0</v>
      </c>
      <c r="AQ225" s="687" t="s">
        <v>2687</v>
      </c>
      <c r="AR225" s="307">
        <v>224.0</v>
      </c>
      <c r="AT225" s="687" t="s">
        <v>2671</v>
      </c>
      <c r="AU225" s="307">
        <v>224.0</v>
      </c>
      <c r="AW225" s="687" t="s">
        <v>220</v>
      </c>
      <c r="AX225" s="307">
        <v>224.0</v>
      </c>
      <c r="AZ225" s="700" t="s">
        <v>2440</v>
      </c>
      <c r="BA225" s="307">
        <v>224.0</v>
      </c>
      <c r="BC225" s="691" t="s">
        <v>846</v>
      </c>
      <c r="BD225" s="307">
        <v>224.0</v>
      </c>
      <c r="BF225" s="687" t="s">
        <v>214</v>
      </c>
      <c r="BG225" s="145">
        <v>224.0</v>
      </c>
      <c r="BI225" s="688" t="s">
        <v>2698</v>
      </c>
      <c r="BJ225" s="145">
        <v>224.0</v>
      </c>
      <c r="BL225" s="692" t="s">
        <v>928</v>
      </c>
      <c r="BM225" s="216">
        <v>224.0</v>
      </c>
    </row>
    <row r="226">
      <c r="A226" s="41" t="s">
        <v>2656</v>
      </c>
      <c r="B226" s="307">
        <v>225.0</v>
      </c>
      <c r="C226" s="41"/>
      <c r="D226" s="41" t="s">
        <v>908</v>
      </c>
      <c r="E226" s="307">
        <v>225.0</v>
      </c>
      <c r="F226" s="41"/>
      <c r="G226" s="41" t="s">
        <v>260</v>
      </c>
      <c r="H226" s="307">
        <v>225.0</v>
      </c>
      <c r="I226" s="41"/>
      <c r="J226" s="41" t="s">
        <v>2695</v>
      </c>
      <c r="K226" s="307">
        <v>225.0</v>
      </c>
      <c r="L226" s="41"/>
      <c r="M226" s="41" t="s">
        <v>848</v>
      </c>
      <c r="N226" s="307">
        <v>225.0</v>
      </c>
      <c r="O226" s="41"/>
      <c r="P226" s="41" t="s">
        <v>252</v>
      </c>
      <c r="Q226" s="307">
        <v>225.0</v>
      </c>
      <c r="R226" s="41"/>
      <c r="S226" s="41" t="s">
        <v>2666</v>
      </c>
      <c r="T226" s="307">
        <v>225.0</v>
      </c>
      <c r="U226" s="41"/>
      <c r="V226" s="41" t="s">
        <v>913</v>
      </c>
      <c r="W226" s="307">
        <v>225.0</v>
      </c>
      <c r="X226" s="41"/>
      <c r="Y226" s="682" t="s">
        <v>2366</v>
      </c>
      <c r="Z226" s="307">
        <v>225.0</v>
      </c>
      <c r="AA226" s="41"/>
      <c r="AB226" s="683" t="s">
        <v>924</v>
      </c>
      <c r="AC226" s="307">
        <v>225.0</v>
      </c>
      <c r="AD226" s="79"/>
      <c r="AE226" s="690" t="s">
        <v>924</v>
      </c>
      <c r="AF226" s="307">
        <v>225.0</v>
      </c>
      <c r="AH226" s="687" t="s">
        <v>2648</v>
      </c>
      <c r="AI226" s="307">
        <v>225.0</v>
      </c>
      <c r="AK226" s="687" t="s">
        <v>2332</v>
      </c>
      <c r="AL226" s="307">
        <v>225.0</v>
      </c>
      <c r="AN226" s="687" t="s">
        <v>2646</v>
      </c>
      <c r="AO226" s="307">
        <v>225.0</v>
      </c>
      <c r="AQ226" s="687" t="s">
        <v>2258</v>
      </c>
      <c r="AR226" s="307">
        <v>225.0</v>
      </c>
      <c r="AT226" s="687" t="s">
        <v>220</v>
      </c>
      <c r="AU226" s="307">
        <v>225.0</v>
      </c>
      <c r="AW226" s="687" t="s">
        <v>2695</v>
      </c>
      <c r="AX226" s="307">
        <v>225.0</v>
      </c>
      <c r="AZ226" s="687" t="s">
        <v>916</v>
      </c>
      <c r="BA226" s="307">
        <v>225.0</v>
      </c>
      <c r="BC226" s="691" t="s">
        <v>1048</v>
      </c>
      <c r="BD226" s="307">
        <v>225.0</v>
      </c>
      <c r="BF226" s="687" t="s">
        <v>2698</v>
      </c>
      <c r="BG226" s="145">
        <v>225.0</v>
      </c>
      <c r="BI226" s="688" t="s">
        <v>2492</v>
      </c>
      <c r="BJ226" s="145">
        <v>225.0</v>
      </c>
      <c r="BL226" s="692" t="s">
        <v>2323</v>
      </c>
      <c r="BM226" s="216">
        <v>225.0</v>
      </c>
    </row>
    <row r="227">
      <c r="A227" s="41" t="s">
        <v>218</v>
      </c>
      <c r="B227" s="307">
        <v>226.0</v>
      </c>
      <c r="C227" s="41"/>
      <c r="D227" s="41" t="s">
        <v>2694</v>
      </c>
      <c r="E227" s="307">
        <v>226.0</v>
      </c>
      <c r="F227" s="41"/>
      <c r="G227" s="41" t="s">
        <v>2696</v>
      </c>
      <c r="H227" s="307">
        <v>226.0</v>
      </c>
      <c r="I227" s="41"/>
      <c r="J227" s="41" t="s">
        <v>2375</v>
      </c>
      <c r="K227" s="307">
        <v>226.0</v>
      </c>
      <c r="L227" s="41"/>
      <c r="M227" s="41" t="s">
        <v>830</v>
      </c>
      <c r="N227" s="307">
        <v>226.0</v>
      </c>
      <c r="O227" s="41"/>
      <c r="P227" s="41" t="s">
        <v>262</v>
      </c>
      <c r="Q227" s="307">
        <v>226.0</v>
      </c>
      <c r="R227" s="41"/>
      <c r="S227" s="41" t="s">
        <v>1251</v>
      </c>
      <c r="T227" s="307">
        <v>226.0</v>
      </c>
      <c r="U227" s="41"/>
      <c r="V227" s="41" t="s">
        <v>2661</v>
      </c>
      <c r="W227" s="307">
        <v>226.0</v>
      </c>
      <c r="X227" s="41"/>
      <c r="Y227" s="682" t="s">
        <v>913</v>
      </c>
      <c r="Z227" s="307">
        <v>226.0</v>
      </c>
      <c r="AA227" s="41"/>
      <c r="AB227" s="683" t="s">
        <v>1251</v>
      </c>
      <c r="AC227" s="307">
        <v>226.0</v>
      </c>
      <c r="AD227" s="79"/>
      <c r="AE227" s="690" t="s">
        <v>1251</v>
      </c>
      <c r="AF227" s="307">
        <v>226.0</v>
      </c>
      <c r="AH227" s="687" t="s">
        <v>2366</v>
      </c>
      <c r="AI227" s="307">
        <v>226.0</v>
      </c>
      <c r="AK227" s="687" t="s">
        <v>930</v>
      </c>
      <c r="AL227" s="307">
        <v>226.0</v>
      </c>
      <c r="AN227" s="687" t="s">
        <v>2284</v>
      </c>
      <c r="AO227" s="307">
        <v>226.0</v>
      </c>
      <c r="AQ227" s="700" t="s">
        <v>2440</v>
      </c>
      <c r="AR227" s="307">
        <v>226.0</v>
      </c>
      <c r="AT227" s="687" t="s">
        <v>2695</v>
      </c>
      <c r="AU227" s="307">
        <v>226.0</v>
      </c>
      <c r="AW227" s="687" t="s">
        <v>848</v>
      </c>
      <c r="AX227" s="307">
        <v>226.0</v>
      </c>
      <c r="AZ227" s="687" t="s">
        <v>2428</v>
      </c>
      <c r="BA227" s="307">
        <v>226.0</v>
      </c>
      <c r="BC227" s="691" t="s">
        <v>2294</v>
      </c>
      <c r="BD227" s="307">
        <v>226.0</v>
      </c>
      <c r="BF227" s="687" t="s">
        <v>2492</v>
      </c>
      <c r="BG227" s="145">
        <v>226.0</v>
      </c>
      <c r="BI227" s="688" t="s">
        <v>2258</v>
      </c>
      <c r="BJ227" s="145">
        <v>226.0</v>
      </c>
      <c r="BL227" s="692" t="s">
        <v>2294</v>
      </c>
      <c r="BM227" s="216">
        <v>226.0</v>
      </c>
    </row>
    <row r="228">
      <c r="A228" s="41" t="s">
        <v>2700</v>
      </c>
      <c r="B228" s="307">
        <v>227.0</v>
      </c>
      <c r="C228" s="41"/>
      <c r="D228" s="41" t="s">
        <v>921</v>
      </c>
      <c r="E228" s="307">
        <v>227.0</v>
      </c>
      <c r="F228" s="41"/>
      <c r="G228" s="41" t="s">
        <v>2257</v>
      </c>
      <c r="H228" s="307">
        <v>227.0</v>
      </c>
      <c r="I228" s="41"/>
      <c r="J228" s="41" t="s">
        <v>2676</v>
      </c>
      <c r="K228" s="307">
        <v>227.0</v>
      </c>
      <c r="L228" s="41"/>
      <c r="M228" s="41" t="s">
        <v>2695</v>
      </c>
      <c r="N228" s="307">
        <v>227.0</v>
      </c>
      <c r="O228" s="41"/>
      <c r="P228" s="41" t="s">
        <v>224</v>
      </c>
      <c r="Q228" s="307">
        <v>227.0</v>
      </c>
      <c r="R228" s="41"/>
      <c r="S228" s="41" t="s">
        <v>815</v>
      </c>
      <c r="T228" s="307">
        <v>227.0</v>
      </c>
      <c r="U228" s="41"/>
      <c r="V228" s="41" t="s">
        <v>2655</v>
      </c>
      <c r="W228" s="307">
        <v>227.0</v>
      </c>
      <c r="X228" s="41"/>
      <c r="Y228" s="682" t="s">
        <v>2661</v>
      </c>
      <c r="Z228" s="307">
        <v>227.0</v>
      </c>
      <c r="AA228" s="41"/>
      <c r="AB228" s="683" t="s">
        <v>2322</v>
      </c>
      <c r="AC228" s="307">
        <v>227.0</v>
      </c>
      <c r="AD228" s="79"/>
      <c r="AE228" s="690" t="s">
        <v>2322</v>
      </c>
      <c r="AF228" s="307">
        <v>227.0</v>
      </c>
      <c r="AH228" s="687" t="s">
        <v>1076</v>
      </c>
      <c r="AI228" s="307">
        <v>227.0</v>
      </c>
      <c r="AK228" s="687" t="s">
        <v>2453</v>
      </c>
      <c r="AL228" s="307">
        <v>227.0</v>
      </c>
      <c r="AN228" s="687" t="s">
        <v>2363</v>
      </c>
      <c r="AO228" s="307">
        <v>227.0</v>
      </c>
      <c r="AQ228" s="687" t="s">
        <v>2671</v>
      </c>
      <c r="AR228" s="307">
        <v>227.0</v>
      </c>
      <c r="AT228" s="687" t="s">
        <v>848</v>
      </c>
      <c r="AU228" s="307">
        <v>227.0</v>
      </c>
      <c r="AW228" s="687" t="s">
        <v>846</v>
      </c>
      <c r="AX228" s="307">
        <v>227.0</v>
      </c>
      <c r="AZ228" s="687" t="s">
        <v>2695</v>
      </c>
      <c r="BA228" s="307">
        <v>227.0</v>
      </c>
      <c r="BC228" s="691" t="s">
        <v>1041</v>
      </c>
      <c r="BD228" s="307">
        <v>227.0</v>
      </c>
      <c r="BF228" s="687" t="s">
        <v>2701</v>
      </c>
      <c r="BG228" s="145">
        <v>227.0</v>
      </c>
      <c r="BI228" s="688" t="s">
        <v>2366</v>
      </c>
      <c r="BJ228" s="145">
        <v>227.0</v>
      </c>
      <c r="BL228" s="692" t="s">
        <v>215</v>
      </c>
      <c r="BM228" s="216">
        <v>227.0</v>
      </c>
    </row>
    <row r="229">
      <c r="A229" s="705" t="s">
        <v>2619</v>
      </c>
      <c r="B229" s="307">
        <v>228.0</v>
      </c>
      <c r="C229" s="705"/>
      <c r="D229" s="705" t="s">
        <v>236</v>
      </c>
      <c r="E229" s="307">
        <v>228.0</v>
      </c>
      <c r="F229" s="705"/>
      <c r="G229" s="705" t="s">
        <v>2683</v>
      </c>
      <c r="H229" s="307">
        <v>228.0</v>
      </c>
      <c r="I229" s="705"/>
      <c r="J229" s="705" t="s">
        <v>214</v>
      </c>
      <c r="K229" s="307">
        <v>228.0</v>
      </c>
      <c r="L229" s="705"/>
      <c r="M229" s="705" t="s">
        <v>220</v>
      </c>
      <c r="N229" s="307">
        <v>228.0</v>
      </c>
      <c r="O229" s="705"/>
      <c r="P229" s="705" t="s">
        <v>2682</v>
      </c>
      <c r="Q229" s="307">
        <v>228.0</v>
      </c>
      <c r="R229" s="41"/>
      <c r="S229" s="41" t="s">
        <v>2661</v>
      </c>
      <c r="T229" s="307">
        <v>228.0</v>
      </c>
      <c r="U229" s="41"/>
      <c r="V229" s="41" t="s">
        <v>212</v>
      </c>
      <c r="W229" s="307">
        <v>228.0</v>
      </c>
      <c r="X229" s="41"/>
      <c r="Y229" s="682" t="s">
        <v>2655</v>
      </c>
      <c r="Z229" s="307">
        <v>228.0</v>
      </c>
      <c r="AA229" s="41"/>
      <c r="AB229" s="683" t="s">
        <v>224</v>
      </c>
      <c r="AC229" s="307">
        <v>228.0</v>
      </c>
      <c r="AD229" s="79"/>
      <c r="AE229" s="690" t="s">
        <v>268</v>
      </c>
      <c r="AF229" s="307">
        <v>228.0</v>
      </c>
      <c r="AH229" s="687" t="s">
        <v>2453</v>
      </c>
      <c r="AI229" s="307">
        <v>228.0</v>
      </c>
      <c r="AK229" s="687" t="s">
        <v>916</v>
      </c>
      <c r="AL229" s="307">
        <v>228.0</v>
      </c>
      <c r="AN229" s="687" t="s">
        <v>2643</v>
      </c>
      <c r="AO229" s="307">
        <v>228.0</v>
      </c>
      <c r="AQ229" s="687" t="s">
        <v>905</v>
      </c>
      <c r="AR229" s="307">
        <v>228.0</v>
      </c>
      <c r="AT229" s="687" t="s">
        <v>2257</v>
      </c>
      <c r="AU229" s="307">
        <v>228.0</v>
      </c>
      <c r="AW229" s="687" t="s">
        <v>263</v>
      </c>
      <c r="AX229" s="307">
        <v>228.0</v>
      </c>
      <c r="AZ229" s="687" t="s">
        <v>848</v>
      </c>
      <c r="BA229" s="307">
        <v>228.0</v>
      </c>
      <c r="BC229" s="691" t="s">
        <v>2698</v>
      </c>
      <c r="BD229" s="307">
        <v>228.0</v>
      </c>
      <c r="BF229" s="687" t="s">
        <v>2366</v>
      </c>
      <c r="BG229" s="145">
        <v>228.0</v>
      </c>
      <c r="BI229" s="688" t="s">
        <v>2490</v>
      </c>
      <c r="BJ229" s="145">
        <v>228.0</v>
      </c>
      <c r="BL229" s="692" t="s">
        <v>2677</v>
      </c>
      <c r="BM229" s="216">
        <v>228.0</v>
      </c>
    </row>
    <row r="230">
      <c r="A230" s="41" t="s">
        <v>2378</v>
      </c>
      <c r="B230" s="307">
        <v>229.0</v>
      </c>
      <c r="C230" s="41"/>
      <c r="D230" s="41" t="s">
        <v>69</v>
      </c>
      <c r="E230" s="307">
        <v>229.0</v>
      </c>
      <c r="F230" s="41"/>
      <c r="G230" s="41" t="s">
        <v>908</v>
      </c>
      <c r="H230" s="307">
        <v>229.0</v>
      </c>
      <c r="I230" s="41"/>
      <c r="J230" s="41" t="s">
        <v>2491</v>
      </c>
      <c r="K230" s="307">
        <v>229.0</v>
      </c>
      <c r="L230" s="41"/>
      <c r="M230" s="41" t="s">
        <v>228</v>
      </c>
      <c r="N230" s="307">
        <v>229.0</v>
      </c>
      <c r="O230" s="41"/>
      <c r="P230" s="41" t="s">
        <v>1251</v>
      </c>
      <c r="Q230" s="307">
        <v>229.0</v>
      </c>
      <c r="R230" s="41"/>
      <c r="S230" s="41" t="s">
        <v>2366</v>
      </c>
      <c r="T230" s="307">
        <v>229.0</v>
      </c>
      <c r="U230" s="41"/>
      <c r="V230" s="41" t="s">
        <v>271</v>
      </c>
      <c r="W230" s="307">
        <v>229.0</v>
      </c>
      <c r="X230" s="41"/>
      <c r="Y230" s="698" t="s">
        <v>924</v>
      </c>
      <c r="Z230" s="307">
        <v>229.0</v>
      </c>
      <c r="AA230" s="41"/>
      <c r="AB230" s="683" t="s">
        <v>921</v>
      </c>
      <c r="AC230" s="307">
        <v>229.0</v>
      </c>
      <c r="AD230" s="79"/>
      <c r="AE230" s="690" t="s">
        <v>224</v>
      </c>
      <c r="AF230" s="307">
        <v>229.0</v>
      </c>
      <c r="AH230" s="687" t="s">
        <v>856</v>
      </c>
      <c r="AI230" s="307">
        <v>229.0</v>
      </c>
      <c r="AK230" s="687" t="s">
        <v>2699</v>
      </c>
      <c r="AL230" s="307">
        <v>229.0</v>
      </c>
      <c r="AN230" s="687" t="s">
        <v>2677</v>
      </c>
      <c r="AO230" s="307">
        <v>229.0</v>
      </c>
      <c r="AQ230" s="687" t="s">
        <v>224</v>
      </c>
      <c r="AR230" s="307">
        <v>229.0</v>
      </c>
      <c r="AT230" s="687" t="s">
        <v>846</v>
      </c>
      <c r="AU230" s="307">
        <v>229.0</v>
      </c>
      <c r="AW230" s="687" t="s">
        <v>2294</v>
      </c>
      <c r="AX230" s="307">
        <v>229.0</v>
      </c>
      <c r="AZ230" s="687" t="s">
        <v>846</v>
      </c>
      <c r="BA230" s="307">
        <v>229.0</v>
      </c>
      <c r="BC230" s="691" t="s">
        <v>2492</v>
      </c>
      <c r="BD230" s="307">
        <v>229.0</v>
      </c>
      <c r="BF230" s="687" t="s">
        <v>2490</v>
      </c>
      <c r="BG230" s="145">
        <v>229.0</v>
      </c>
      <c r="BI230" s="688" t="s">
        <v>928</v>
      </c>
      <c r="BJ230" s="145">
        <v>229.0</v>
      </c>
      <c r="BL230" s="692" t="s">
        <v>2690</v>
      </c>
      <c r="BM230" s="216">
        <v>229.0</v>
      </c>
    </row>
    <row r="231">
      <c r="A231" s="41" t="s">
        <v>2340</v>
      </c>
      <c r="B231" s="307">
        <v>230.0</v>
      </c>
      <c r="C231" s="41"/>
      <c r="D231" s="41" t="s">
        <v>2375</v>
      </c>
      <c r="E231" s="307">
        <v>230.0</v>
      </c>
      <c r="F231" s="41"/>
      <c r="G231" s="41" t="s">
        <v>2375</v>
      </c>
      <c r="H231" s="307">
        <v>230.0</v>
      </c>
      <c r="I231" s="41"/>
      <c r="J231" s="41" t="s">
        <v>2428</v>
      </c>
      <c r="K231" s="307">
        <v>230.0</v>
      </c>
      <c r="L231" s="41"/>
      <c r="M231" s="41" t="s">
        <v>215</v>
      </c>
      <c r="N231" s="307">
        <v>230.0</v>
      </c>
      <c r="O231" s="41"/>
      <c r="P231" s="41" t="s">
        <v>815</v>
      </c>
      <c r="Q231" s="307">
        <v>230.0</v>
      </c>
      <c r="R231" s="41"/>
      <c r="S231" s="41" t="s">
        <v>236</v>
      </c>
      <c r="T231" s="307">
        <v>230.0</v>
      </c>
      <c r="U231" s="41"/>
      <c r="V231" s="41" t="s">
        <v>916</v>
      </c>
      <c r="W231" s="307">
        <v>230.0</v>
      </c>
      <c r="X231" s="41"/>
      <c r="Y231" s="682" t="s">
        <v>271</v>
      </c>
      <c r="Z231" s="307">
        <v>230.0</v>
      </c>
      <c r="AA231" s="41"/>
      <c r="AB231" s="683" t="s">
        <v>240</v>
      </c>
      <c r="AC231" s="307">
        <v>230.0</v>
      </c>
      <c r="AD231" s="79"/>
      <c r="AE231" s="690" t="s">
        <v>240</v>
      </c>
      <c r="AF231" s="307">
        <v>230.0</v>
      </c>
      <c r="AH231" s="687" t="s">
        <v>2250</v>
      </c>
      <c r="AI231" s="307">
        <v>230.0</v>
      </c>
      <c r="AK231" s="687" t="s">
        <v>2218</v>
      </c>
      <c r="AL231" s="307">
        <v>230.0</v>
      </c>
      <c r="AN231" s="687" t="s">
        <v>2435</v>
      </c>
      <c r="AO231" s="307">
        <v>230.0</v>
      </c>
      <c r="AQ231" s="700" t="s">
        <v>947</v>
      </c>
      <c r="AR231" s="307">
        <v>230.0</v>
      </c>
      <c r="AT231" s="687" t="s">
        <v>263</v>
      </c>
      <c r="AU231" s="307">
        <v>230.0</v>
      </c>
      <c r="AW231" s="687" t="s">
        <v>1048</v>
      </c>
      <c r="AX231" s="307">
        <v>230.0</v>
      </c>
      <c r="AZ231" s="687" t="s">
        <v>263</v>
      </c>
      <c r="BA231" s="307">
        <v>230.0</v>
      </c>
      <c r="BC231" s="691" t="s">
        <v>2701</v>
      </c>
      <c r="BD231" s="307">
        <v>230.0</v>
      </c>
      <c r="BF231" s="687" t="s">
        <v>931</v>
      </c>
      <c r="BG231" s="145">
        <v>230.0</v>
      </c>
      <c r="BI231" s="688" t="s">
        <v>2323</v>
      </c>
      <c r="BJ231" s="145">
        <v>230.0</v>
      </c>
      <c r="BL231" s="692" t="s">
        <v>2702</v>
      </c>
      <c r="BM231" s="216">
        <v>230.0</v>
      </c>
    </row>
    <row r="232">
      <c r="A232" s="41" t="s">
        <v>2382</v>
      </c>
      <c r="B232" s="307">
        <v>231.0</v>
      </c>
      <c r="C232" s="41"/>
      <c r="D232" s="41" t="s">
        <v>85</v>
      </c>
      <c r="E232" s="307">
        <v>231.0</v>
      </c>
      <c r="F232" s="41"/>
      <c r="G232" s="41" t="s">
        <v>2193</v>
      </c>
      <c r="H232" s="307">
        <v>231.0</v>
      </c>
      <c r="I232" s="41"/>
      <c r="J232" s="41" t="s">
        <v>2680</v>
      </c>
      <c r="K232" s="307">
        <v>231.0</v>
      </c>
      <c r="L232" s="41"/>
      <c r="M232" s="41" t="s">
        <v>2368</v>
      </c>
      <c r="N232" s="307">
        <v>231.0</v>
      </c>
      <c r="O232" s="41"/>
      <c r="P232" s="41" t="s">
        <v>2319</v>
      </c>
      <c r="Q232" s="307">
        <v>231.0</v>
      </c>
      <c r="R232" s="41"/>
      <c r="S232" s="41" t="s">
        <v>913</v>
      </c>
      <c r="T232" s="307">
        <v>231.0</v>
      </c>
      <c r="U232" s="41"/>
      <c r="V232" s="41" t="s">
        <v>2322</v>
      </c>
      <c r="W232" s="307">
        <v>231.0</v>
      </c>
      <c r="X232" s="41"/>
      <c r="Y232" s="682" t="s">
        <v>916</v>
      </c>
      <c r="Z232" s="307">
        <v>231.0</v>
      </c>
      <c r="AA232" s="41"/>
      <c r="AB232" s="683" t="s">
        <v>212</v>
      </c>
      <c r="AC232" s="307">
        <v>231.0</v>
      </c>
      <c r="AD232" s="79"/>
      <c r="AE232" s="690" t="s">
        <v>2648</v>
      </c>
      <c r="AF232" s="307">
        <v>231.0</v>
      </c>
      <c r="AH232" s="687" t="s">
        <v>70</v>
      </c>
      <c r="AI232" s="307">
        <v>231.0</v>
      </c>
      <c r="AK232" s="687" t="s">
        <v>1250</v>
      </c>
      <c r="AL232" s="307">
        <v>231.0</v>
      </c>
      <c r="AN232" s="687" t="s">
        <v>2322</v>
      </c>
      <c r="AO232" s="307">
        <v>231.0</v>
      </c>
      <c r="AQ232" s="687" t="s">
        <v>220</v>
      </c>
      <c r="AR232" s="307">
        <v>231.0</v>
      </c>
      <c r="AT232" s="687" t="s">
        <v>2449</v>
      </c>
      <c r="AU232" s="307">
        <v>231.0</v>
      </c>
      <c r="AW232" s="687" t="s">
        <v>1041</v>
      </c>
      <c r="AX232" s="307">
        <v>231.0</v>
      </c>
      <c r="AZ232" s="687" t="s">
        <v>1048</v>
      </c>
      <c r="BA232" s="307">
        <v>231.0</v>
      </c>
      <c r="BC232" s="691" t="s">
        <v>2366</v>
      </c>
      <c r="BD232" s="307">
        <v>231.0</v>
      </c>
      <c r="BF232" s="687" t="s">
        <v>2642</v>
      </c>
      <c r="BG232" s="145">
        <v>231.0</v>
      </c>
      <c r="BI232" s="688" t="s">
        <v>2294</v>
      </c>
      <c r="BJ232" s="145">
        <v>231.0</v>
      </c>
      <c r="BL232" s="692" t="s">
        <v>916</v>
      </c>
      <c r="BM232" s="216">
        <v>231.0</v>
      </c>
    </row>
    <row r="233">
      <c r="A233" s="41" t="s">
        <v>2133</v>
      </c>
      <c r="B233" s="307">
        <v>232.0</v>
      </c>
      <c r="C233" s="41"/>
      <c r="D233" s="41" t="s">
        <v>2417</v>
      </c>
      <c r="E233" s="307">
        <v>232.0</v>
      </c>
      <c r="F233" s="41"/>
      <c r="G233" s="41" t="s">
        <v>2408</v>
      </c>
      <c r="H233" s="307">
        <v>232.0</v>
      </c>
      <c r="I233" s="41"/>
      <c r="J233" s="41" t="s">
        <v>929</v>
      </c>
      <c r="K233" s="307">
        <v>232.0</v>
      </c>
      <c r="L233" s="41"/>
      <c r="M233" s="41" t="s">
        <v>2426</v>
      </c>
      <c r="N233" s="307">
        <v>232.0</v>
      </c>
      <c r="O233" s="41"/>
      <c r="P233" s="41" t="s">
        <v>2661</v>
      </c>
      <c r="Q233" s="307">
        <v>232.0</v>
      </c>
      <c r="R233" s="41"/>
      <c r="S233" s="41" t="s">
        <v>2655</v>
      </c>
      <c r="T233" s="307">
        <v>232.0</v>
      </c>
      <c r="U233" s="41"/>
      <c r="V233" s="41" t="s">
        <v>224</v>
      </c>
      <c r="W233" s="307">
        <v>232.0</v>
      </c>
      <c r="X233" s="41"/>
      <c r="Y233" s="698" t="s">
        <v>233</v>
      </c>
      <c r="Z233" s="307">
        <v>232.0</v>
      </c>
      <c r="AA233" s="41"/>
      <c r="AB233" s="683" t="s">
        <v>2648</v>
      </c>
      <c r="AC233" s="307">
        <v>232.0</v>
      </c>
      <c r="AD233" s="79"/>
      <c r="AE233" s="690" t="s">
        <v>241</v>
      </c>
      <c r="AF233" s="307">
        <v>232.0</v>
      </c>
      <c r="AH233" s="687" t="s">
        <v>2363</v>
      </c>
      <c r="AI233" s="307">
        <v>232.0</v>
      </c>
      <c r="AK233" s="687" t="s">
        <v>212</v>
      </c>
      <c r="AL233" s="307">
        <v>232.0</v>
      </c>
      <c r="AN233" s="687" t="s">
        <v>220</v>
      </c>
      <c r="AO233" s="307">
        <v>232.0</v>
      </c>
      <c r="AQ233" s="687" t="s">
        <v>2695</v>
      </c>
      <c r="AR233" s="307">
        <v>232.0</v>
      </c>
      <c r="AT233" s="687" t="s">
        <v>2703</v>
      </c>
      <c r="AU233" s="307">
        <v>232.0</v>
      </c>
      <c r="AW233" s="687" t="s">
        <v>2492</v>
      </c>
      <c r="AX233" s="307">
        <v>232.0</v>
      </c>
      <c r="AZ233" s="687" t="s">
        <v>1041</v>
      </c>
      <c r="BA233" s="307">
        <v>232.0</v>
      </c>
      <c r="BC233" s="691" t="s">
        <v>931</v>
      </c>
      <c r="BD233" s="307">
        <v>232.0</v>
      </c>
      <c r="BF233" s="687" t="s">
        <v>1243</v>
      </c>
      <c r="BG233" s="145">
        <v>232.0</v>
      </c>
      <c r="BI233" s="688" t="s">
        <v>215</v>
      </c>
      <c r="BJ233" s="145">
        <v>232.0</v>
      </c>
      <c r="BL233" s="692" t="s">
        <v>228</v>
      </c>
      <c r="BM233" s="216">
        <v>232.0</v>
      </c>
    </row>
    <row r="234">
      <c r="A234" s="41" t="s">
        <v>2408</v>
      </c>
      <c r="B234" s="307">
        <v>233.0</v>
      </c>
      <c r="C234" s="41"/>
      <c r="D234" s="41" t="s">
        <v>2699</v>
      </c>
      <c r="E234" s="307">
        <v>233.0</v>
      </c>
      <c r="F234" s="41"/>
      <c r="G234" s="41" t="s">
        <v>2420</v>
      </c>
      <c r="H234" s="307">
        <v>233.0</v>
      </c>
      <c r="I234" s="41"/>
      <c r="J234" s="41" t="s">
        <v>924</v>
      </c>
      <c r="K234" s="307">
        <v>233.0</v>
      </c>
      <c r="L234" s="41"/>
      <c r="M234" s="41" t="s">
        <v>947</v>
      </c>
      <c r="N234" s="307">
        <v>233.0</v>
      </c>
      <c r="O234" s="41"/>
      <c r="P234" s="41" t="s">
        <v>2366</v>
      </c>
      <c r="Q234" s="307">
        <v>233.0</v>
      </c>
      <c r="R234" s="41"/>
      <c r="S234" s="41" t="s">
        <v>2206</v>
      </c>
      <c r="T234" s="307">
        <v>233.0</v>
      </c>
      <c r="U234" s="41"/>
      <c r="V234" s="41" t="s">
        <v>921</v>
      </c>
      <c r="W234" s="307">
        <v>233.0</v>
      </c>
      <c r="X234" s="41"/>
      <c r="Y234" s="682" t="s">
        <v>2322</v>
      </c>
      <c r="Z234" s="307">
        <v>233.0</v>
      </c>
      <c r="AA234" s="41"/>
      <c r="AB234" s="41" t="s">
        <v>241</v>
      </c>
      <c r="AC234" s="307">
        <v>233.0</v>
      </c>
      <c r="AD234" s="79"/>
      <c r="AE234" s="690" t="s">
        <v>2250</v>
      </c>
      <c r="AF234" s="307">
        <v>233.0</v>
      </c>
      <c r="AH234" s="687" t="s">
        <v>2400</v>
      </c>
      <c r="AI234" s="307">
        <v>233.0</v>
      </c>
      <c r="AK234" s="687" t="s">
        <v>2250</v>
      </c>
      <c r="AL234" s="307">
        <v>233.0</v>
      </c>
      <c r="AN234" s="687" t="s">
        <v>2258</v>
      </c>
      <c r="AO234" s="307">
        <v>233.0</v>
      </c>
      <c r="AQ234" s="687" t="s">
        <v>848</v>
      </c>
      <c r="AR234" s="307">
        <v>233.0</v>
      </c>
      <c r="AT234" s="687" t="s">
        <v>1048</v>
      </c>
      <c r="AU234" s="307">
        <v>233.0</v>
      </c>
      <c r="AW234" s="687" t="s">
        <v>2704</v>
      </c>
      <c r="AX234" s="307">
        <v>233.0</v>
      </c>
      <c r="AZ234" s="687" t="s">
        <v>2492</v>
      </c>
      <c r="BA234" s="307">
        <v>233.0</v>
      </c>
      <c r="BC234" s="691" t="s">
        <v>229</v>
      </c>
      <c r="BD234" s="307">
        <v>233.0</v>
      </c>
      <c r="BF234" s="687" t="s">
        <v>215</v>
      </c>
      <c r="BG234" s="145">
        <v>233.0</v>
      </c>
      <c r="BI234" s="688" t="s">
        <v>1070</v>
      </c>
      <c r="BJ234" s="145">
        <v>233.0</v>
      </c>
      <c r="BL234" s="692" t="s">
        <v>856</v>
      </c>
      <c r="BM234" s="216">
        <v>233.0</v>
      </c>
    </row>
    <row r="235">
      <c r="A235" s="41" t="s">
        <v>2410</v>
      </c>
      <c r="B235" s="307">
        <v>234.0</v>
      </c>
      <c r="C235" s="41"/>
      <c r="D235" s="41" t="s">
        <v>924</v>
      </c>
      <c r="E235" s="307">
        <v>234.0</v>
      </c>
      <c r="F235" s="41"/>
      <c r="G235" s="41" t="s">
        <v>2658</v>
      </c>
      <c r="H235" s="307">
        <v>234.0</v>
      </c>
      <c r="I235" s="41"/>
      <c r="J235" s="41" t="s">
        <v>2697</v>
      </c>
      <c r="K235" s="307">
        <v>234.0</v>
      </c>
      <c r="L235" s="41"/>
      <c r="M235" s="41" t="s">
        <v>2250</v>
      </c>
      <c r="N235" s="307">
        <v>234.0</v>
      </c>
      <c r="O235" s="41"/>
      <c r="P235" s="41" t="s">
        <v>236</v>
      </c>
      <c r="Q235" s="307">
        <v>234.0</v>
      </c>
      <c r="R235" s="41"/>
      <c r="S235" s="41" t="s">
        <v>223</v>
      </c>
      <c r="T235" s="307">
        <v>234.0</v>
      </c>
      <c r="U235" s="41"/>
      <c r="V235" s="41" t="s">
        <v>2194</v>
      </c>
      <c r="W235" s="307">
        <v>234.0</v>
      </c>
      <c r="X235" s="41"/>
      <c r="Y235" s="698" t="s">
        <v>224</v>
      </c>
      <c r="Z235" s="307">
        <v>234.0</v>
      </c>
      <c r="AA235" s="41"/>
      <c r="AB235" s="41" t="s">
        <v>928</v>
      </c>
      <c r="AC235" s="307">
        <v>234.0</v>
      </c>
      <c r="AD235" s="79"/>
      <c r="AE235" s="690" t="s">
        <v>2363</v>
      </c>
      <c r="AF235" s="307">
        <v>234.0</v>
      </c>
      <c r="AH235" s="700" t="s">
        <v>2440</v>
      </c>
      <c r="AI235" s="307">
        <v>234.0</v>
      </c>
      <c r="AK235" s="687" t="s">
        <v>1136</v>
      </c>
      <c r="AL235" s="307">
        <v>234.0</v>
      </c>
      <c r="AN235" s="700" t="s">
        <v>2440</v>
      </c>
      <c r="AO235" s="307">
        <v>234.0</v>
      </c>
      <c r="AQ235" s="687" t="s">
        <v>2257</v>
      </c>
      <c r="AR235" s="307">
        <v>234.0</v>
      </c>
      <c r="AT235" s="687" t="s">
        <v>1041</v>
      </c>
      <c r="AU235" s="307">
        <v>234.0</v>
      </c>
      <c r="AW235" s="687" t="s">
        <v>2428</v>
      </c>
      <c r="AX235" s="307">
        <v>234.0</v>
      </c>
      <c r="AZ235" s="687" t="s">
        <v>2704</v>
      </c>
      <c r="BA235" s="307">
        <v>234.0</v>
      </c>
      <c r="BC235" s="691" t="s">
        <v>2642</v>
      </c>
      <c r="BD235" s="307">
        <v>234.0</v>
      </c>
      <c r="BF235" s="687" t="s">
        <v>224</v>
      </c>
      <c r="BG235" s="145">
        <v>234.0</v>
      </c>
      <c r="BI235" s="688" t="s">
        <v>2690</v>
      </c>
      <c r="BJ235" s="145">
        <v>234.0</v>
      </c>
      <c r="BL235" s="692" t="s">
        <v>915</v>
      </c>
      <c r="BM235" s="216">
        <v>234.0</v>
      </c>
    </row>
    <row r="236">
      <c r="A236" s="41" t="s">
        <v>225</v>
      </c>
      <c r="B236" s="307">
        <v>235.0</v>
      </c>
      <c r="C236" s="41"/>
      <c r="D236" s="41" t="s">
        <v>2391</v>
      </c>
      <c r="E236" s="307">
        <v>235.0</v>
      </c>
      <c r="F236" s="41"/>
      <c r="G236" s="41" t="s">
        <v>89</v>
      </c>
      <c r="H236" s="307">
        <v>235.0</v>
      </c>
      <c r="I236" s="41"/>
      <c r="J236" s="41" t="s">
        <v>2404</v>
      </c>
      <c r="K236" s="307">
        <v>235.0</v>
      </c>
      <c r="L236" s="41"/>
      <c r="M236" s="41" t="s">
        <v>2453</v>
      </c>
      <c r="N236" s="307">
        <v>235.0</v>
      </c>
      <c r="O236" s="41"/>
      <c r="P236" s="41" t="s">
        <v>913</v>
      </c>
      <c r="Q236" s="307">
        <v>235.0</v>
      </c>
      <c r="R236" s="41"/>
      <c r="S236" s="41" t="s">
        <v>2693</v>
      </c>
      <c r="T236" s="307">
        <v>235.0</v>
      </c>
      <c r="U236" s="41"/>
      <c r="V236" s="41" t="s">
        <v>2705</v>
      </c>
      <c r="W236" s="307">
        <v>235.0</v>
      </c>
      <c r="X236" s="41"/>
      <c r="Y236" s="682" t="s">
        <v>921</v>
      </c>
      <c r="Z236" s="307">
        <v>235.0</v>
      </c>
      <c r="AA236" s="41"/>
      <c r="AB236" s="41" t="s">
        <v>2250</v>
      </c>
      <c r="AC236" s="307">
        <v>235.0</v>
      </c>
      <c r="AD236" s="79"/>
      <c r="AE236" s="714" t="s">
        <v>2440</v>
      </c>
      <c r="AF236" s="307">
        <v>235.0</v>
      </c>
      <c r="AH236" s="687" t="s">
        <v>2435</v>
      </c>
      <c r="AI236" s="307">
        <v>235.0</v>
      </c>
      <c r="AK236" s="687" t="s">
        <v>2661</v>
      </c>
      <c r="AL236" s="307">
        <v>235.0</v>
      </c>
      <c r="AN236" s="687" t="s">
        <v>2671</v>
      </c>
      <c r="AO236" s="307">
        <v>235.0</v>
      </c>
      <c r="AQ236" s="687" t="s">
        <v>846</v>
      </c>
      <c r="AR236" s="307">
        <v>235.0</v>
      </c>
      <c r="AT236" s="687" t="s">
        <v>2492</v>
      </c>
      <c r="AU236" s="307">
        <v>235.0</v>
      </c>
      <c r="AW236" s="687" t="s">
        <v>2452</v>
      </c>
      <c r="AX236" s="307">
        <v>235.0</v>
      </c>
      <c r="AZ236" s="687" t="s">
        <v>2703</v>
      </c>
      <c r="BA236" s="307">
        <v>235.0</v>
      </c>
      <c r="BC236" s="691" t="s">
        <v>1243</v>
      </c>
      <c r="BD236" s="307">
        <v>235.0</v>
      </c>
      <c r="BF236" s="687" t="s">
        <v>2680</v>
      </c>
      <c r="BG236" s="145">
        <v>235.0</v>
      </c>
      <c r="BI236" s="688" t="s">
        <v>2448</v>
      </c>
      <c r="BJ236" s="145">
        <v>235.0</v>
      </c>
      <c r="BL236" s="692" t="s">
        <v>2444</v>
      </c>
      <c r="BM236" s="216">
        <v>235.0</v>
      </c>
    </row>
    <row r="237">
      <c r="A237" s="41" t="s">
        <v>908</v>
      </c>
      <c r="B237" s="307">
        <v>236.0</v>
      </c>
      <c r="C237" s="41"/>
      <c r="D237" s="41" t="s">
        <v>2296</v>
      </c>
      <c r="E237" s="307">
        <v>236.0</v>
      </c>
      <c r="F237" s="41"/>
      <c r="G237" s="41" t="s">
        <v>2666</v>
      </c>
      <c r="H237" s="307">
        <v>236.0</v>
      </c>
      <c r="I237" s="41"/>
      <c r="J237" s="41" t="s">
        <v>2666</v>
      </c>
      <c r="K237" s="307">
        <v>236.0</v>
      </c>
      <c r="L237" s="41"/>
      <c r="M237" s="41" t="s">
        <v>2650</v>
      </c>
      <c r="N237" s="307">
        <v>236.0</v>
      </c>
      <c r="O237" s="41"/>
      <c r="P237" s="41" t="s">
        <v>2655</v>
      </c>
      <c r="Q237" s="307">
        <v>236.0</v>
      </c>
      <c r="R237" s="41"/>
      <c r="S237" s="41" t="s">
        <v>916</v>
      </c>
      <c r="T237" s="307">
        <v>236.0</v>
      </c>
      <c r="U237" s="41"/>
      <c r="V237" s="41" t="s">
        <v>2452</v>
      </c>
      <c r="W237" s="307">
        <v>236.0</v>
      </c>
      <c r="X237" s="41"/>
      <c r="Y237" s="698" t="s">
        <v>2705</v>
      </c>
      <c r="Z237" s="307">
        <v>236.0</v>
      </c>
      <c r="AA237" s="41"/>
      <c r="AB237" s="41" t="s">
        <v>2363</v>
      </c>
      <c r="AC237" s="307">
        <v>236.0</v>
      </c>
      <c r="AD237" s="79"/>
      <c r="AE237" s="690" t="s">
        <v>2706</v>
      </c>
      <c r="AF237" s="307">
        <v>236.0</v>
      </c>
      <c r="AH237" s="687" t="s">
        <v>2699</v>
      </c>
      <c r="AI237" s="307">
        <v>236.0</v>
      </c>
      <c r="AK237" s="687" t="s">
        <v>214</v>
      </c>
      <c r="AL237" s="307">
        <v>236.0</v>
      </c>
      <c r="AN237" s="687" t="s">
        <v>905</v>
      </c>
      <c r="AO237" s="307">
        <v>236.0</v>
      </c>
      <c r="AQ237" s="687" t="s">
        <v>263</v>
      </c>
      <c r="AR237" s="307">
        <v>236.0</v>
      </c>
      <c r="AT237" s="687" t="s">
        <v>2704</v>
      </c>
      <c r="AU237" s="307">
        <v>236.0</v>
      </c>
      <c r="AW237" s="687" t="s">
        <v>2703</v>
      </c>
      <c r="AX237" s="307">
        <v>236.0</v>
      </c>
      <c r="AZ237" s="687" t="s">
        <v>1113</v>
      </c>
      <c r="BA237" s="307">
        <v>236.0</v>
      </c>
      <c r="BC237" s="691" t="s">
        <v>215</v>
      </c>
      <c r="BD237" s="307">
        <v>236.0</v>
      </c>
      <c r="BF237" s="687" t="s">
        <v>1086</v>
      </c>
      <c r="BG237" s="145">
        <v>236.0</v>
      </c>
      <c r="BI237" s="688" t="s">
        <v>1086</v>
      </c>
      <c r="BJ237" s="145">
        <v>236.0</v>
      </c>
      <c r="BL237" s="692" t="s">
        <v>251</v>
      </c>
      <c r="BM237" s="216">
        <v>236.0</v>
      </c>
    </row>
    <row r="238">
      <c r="A238" s="41" t="s">
        <v>2412</v>
      </c>
      <c r="B238" s="307">
        <v>237.0</v>
      </c>
      <c r="C238" s="41"/>
      <c r="D238" s="41" t="s">
        <v>929</v>
      </c>
      <c r="E238" s="307">
        <v>237.0</v>
      </c>
      <c r="F238" s="41"/>
      <c r="G238" s="41" t="s">
        <v>2634</v>
      </c>
      <c r="H238" s="307">
        <v>237.0</v>
      </c>
      <c r="I238" s="41"/>
      <c r="J238" s="41" t="s">
        <v>1076</v>
      </c>
      <c r="K238" s="307">
        <v>237.0</v>
      </c>
      <c r="L238" s="41"/>
      <c r="M238" s="41" t="s">
        <v>2684</v>
      </c>
      <c r="N238" s="307">
        <v>237.0</v>
      </c>
      <c r="O238" s="41"/>
      <c r="P238" s="41" t="s">
        <v>2707</v>
      </c>
      <c r="Q238" s="307">
        <v>237.0</v>
      </c>
      <c r="R238" s="41"/>
      <c r="S238" s="41" t="s">
        <v>2322</v>
      </c>
      <c r="T238" s="307">
        <v>237.0</v>
      </c>
      <c r="U238" s="41"/>
      <c r="V238" s="41" t="s">
        <v>241</v>
      </c>
      <c r="W238" s="307">
        <v>237.0</v>
      </c>
      <c r="X238" s="41"/>
      <c r="Y238" s="698" t="s">
        <v>2452</v>
      </c>
      <c r="Z238" s="307">
        <v>237.0</v>
      </c>
      <c r="AA238" s="41"/>
      <c r="AB238" s="41" t="s">
        <v>2440</v>
      </c>
      <c r="AC238" s="307">
        <v>237.0</v>
      </c>
      <c r="AD238" s="79"/>
      <c r="AE238" s="690" t="s">
        <v>2705</v>
      </c>
      <c r="AF238" s="307">
        <v>237.0</v>
      </c>
      <c r="AH238" s="700" t="s">
        <v>947</v>
      </c>
      <c r="AI238" s="307">
        <v>237.0</v>
      </c>
      <c r="AK238" s="687" t="s">
        <v>2668</v>
      </c>
      <c r="AL238" s="307">
        <v>237.0</v>
      </c>
      <c r="AN238" s="687" t="s">
        <v>224</v>
      </c>
      <c r="AO238" s="307">
        <v>237.0</v>
      </c>
      <c r="AQ238" s="687" t="s">
        <v>2703</v>
      </c>
      <c r="AR238" s="307">
        <v>237.0</v>
      </c>
      <c r="AT238" s="687" t="s">
        <v>2428</v>
      </c>
      <c r="AU238" s="307">
        <v>237.0</v>
      </c>
      <c r="AW238" s="687" t="s">
        <v>2432</v>
      </c>
      <c r="AX238" s="307">
        <v>237.0</v>
      </c>
      <c r="AZ238" s="687" t="s">
        <v>1252</v>
      </c>
      <c r="BA238" s="307">
        <v>237.0</v>
      </c>
      <c r="BC238" s="691" t="s">
        <v>224</v>
      </c>
      <c r="BD238" s="307">
        <v>237.0</v>
      </c>
      <c r="BF238" s="687" t="s">
        <v>827</v>
      </c>
      <c r="BG238" s="145">
        <v>237.0</v>
      </c>
      <c r="BI238" s="688" t="s">
        <v>2702</v>
      </c>
      <c r="BJ238" s="145">
        <v>237.0</v>
      </c>
      <c r="BL238" s="692" t="s">
        <v>1249</v>
      </c>
      <c r="BM238" s="216">
        <v>237.0</v>
      </c>
    </row>
    <row r="239">
      <c r="A239" s="41" t="s">
        <v>2413</v>
      </c>
      <c r="B239" s="307">
        <v>238.0</v>
      </c>
      <c r="C239" s="41"/>
      <c r="D239" s="41" t="s">
        <v>260</v>
      </c>
      <c r="E239" s="307">
        <v>238.0</v>
      </c>
      <c r="F239" s="41"/>
      <c r="G239" s="41" t="s">
        <v>816</v>
      </c>
      <c r="H239" s="307">
        <v>238.0</v>
      </c>
      <c r="I239" s="41"/>
      <c r="J239" s="41" t="s">
        <v>2665</v>
      </c>
      <c r="K239" s="307">
        <v>238.0</v>
      </c>
      <c r="L239" s="41"/>
      <c r="M239" s="41" t="s">
        <v>225</v>
      </c>
      <c r="N239" s="307">
        <v>238.0</v>
      </c>
      <c r="O239" s="41"/>
      <c r="P239" s="41" t="s">
        <v>2401</v>
      </c>
      <c r="Q239" s="307">
        <v>238.0</v>
      </c>
      <c r="R239" s="41"/>
      <c r="S239" s="41" t="s">
        <v>240</v>
      </c>
      <c r="T239" s="307">
        <v>238.0</v>
      </c>
      <c r="U239" s="41"/>
      <c r="V239" s="41" t="s">
        <v>928</v>
      </c>
      <c r="W239" s="307">
        <v>238.0</v>
      </c>
      <c r="X239" s="41"/>
      <c r="Y239" s="698" t="s">
        <v>212</v>
      </c>
      <c r="Z239" s="307">
        <v>238.0</v>
      </c>
      <c r="AA239" s="41"/>
      <c r="AB239" s="41" t="s">
        <v>2706</v>
      </c>
      <c r="AC239" s="307">
        <v>238.0</v>
      </c>
      <c r="AD239" s="79"/>
      <c r="AE239" s="714" t="s">
        <v>947</v>
      </c>
      <c r="AF239" s="307">
        <v>238.0</v>
      </c>
      <c r="AH239" s="687" t="s">
        <v>2661</v>
      </c>
      <c r="AI239" s="307">
        <v>238.0</v>
      </c>
      <c r="AK239" s="687" t="s">
        <v>2371</v>
      </c>
      <c r="AL239" s="307">
        <v>238.0</v>
      </c>
      <c r="AN239" s="687" t="s">
        <v>2695</v>
      </c>
      <c r="AO239" s="307">
        <v>238.0</v>
      </c>
      <c r="AQ239" s="687" t="s">
        <v>1048</v>
      </c>
      <c r="AR239" s="307">
        <v>238.0</v>
      </c>
      <c r="AT239" s="687" t="s">
        <v>2432</v>
      </c>
      <c r="AU239" s="307">
        <v>238.0</v>
      </c>
      <c r="AW239" s="687" t="s">
        <v>1113</v>
      </c>
      <c r="AX239" s="307">
        <v>238.0</v>
      </c>
      <c r="AZ239" s="687" t="s">
        <v>2701</v>
      </c>
      <c r="BA239" s="307">
        <v>238.0</v>
      </c>
      <c r="BC239" s="691" t="s">
        <v>1086</v>
      </c>
      <c r="BD239" s="307">
        <v>238.0</v>
      </c>
      <c r="BF239" s="687" t="s">
        <v>2414</v>
      </c>
      <c r="BG239" s="145">
        <v>238.0</v>
      </c>
      <c r="BI239" s="688" t="s">
        <v>2332</v>
      </c>
      <c r="BJ239" s="145">
        <v>238.0</v>
      </c>
      <c r="BL239" s="692" t="s">
        <v>2708</v>
      </c>
      <c r="BM239" s="216">
        <v>238.0</v>
      </c>
    </row>
    <row r="240">
      <c r="A240" s="41" t="s">
        <v>2385</v>
      </c>
      <c r="B240" s="307">
        <v>239.0</v>
      </c>
      <c r="C240" s="41"/>
      <c r="D240" s="41" t="s">
        <v>241</v>
      </c>
      <c r="E240" s="307">
        <v>239.0</v>
      </c>
      <c r="F240" s="41"/>
      <c r="G240" s="41" t="s">
        <v>2661</v>
      </c>
      <c r="H240" s="307">
        <v>239.0</v>
      </c>
      <c r="I240" s="41"/>
      <c r="J240" s="41" t="s">
        <v>2691</v>
      </c>
      <c r="K240" s="307">
        <v>239.0</v>
      </c>
      <c r="L240" s="41"/>
      <c r="M240" s="41" t="s">
        <v>224</v>
      </c>
      <c r="N240" s="307">
        <v>239.0</v>
      </c>
      <c r="O240" s="41"/>
      <c r="P240" s="41" t="s">
        <v>2206</v>
      </c>
      <c r="Q240" s="307">
        <v>239.0</v>
      </c>
      <c r="R240" s="41"/>
      <c r="S240" s="41" t="s">
        <v>2194</v>
      </c>
      <c r="T240" s="307">
        <v>239.0</v>
      </c>
      <c r="U240" s="41"/>
      <c r="V240" s="41" t="s">
        <v>252</v>
      </c>
      <c r="W240" s="307">
        <v>239.0</v>
      </c>
      <c r="X240" s="41"/>
      <c r="Y240" s="715" t="s">
        <v>241</v>
      </c>
      <c r="Z240" s="307">
        <v>239.0</v>
      </c>
      <c r="AA240" s="41"/>
      <c r="AB240" s="41" t="s">
        <v>2705</v>
      </c>
      <c r="AC240" s="307">
        <v>239.0</v>
      </c>
      <c r="AD240" s="79"/>
      <c r="AE240" s="690" t="s">
        <v>906</v>
      </c>
      <c r="AF240" s="307">
        <v>239.0</v>
      </c>
      <c r="AH240" s="687" t="s">
        <v>2332</v>
      </c>
      <c r="AI240" s="307">
        <v>239.0</v>
      </c>
      <c r="AK240" s="687" t="s">
        <v>2446</v>
      </c>
      <c r="AL240" s="307">
        <v>239.0</v>
      </c>
      <c r="AN240" s="687" t="s">
        <v>848</v>
      </c>
      <c r="AO240" s="307">
        <v>239.0</v>
      </c>
      <c r="AQ240" s="687" t="s">
        <v>1041</v>
      </c>
      <c r="AR240" s="307">
        <v>239.0</v>
      </c>
      <c r="AT240" s="687" t="s">
        <v>1113</v>
      </c>
      <c r="AU240" s="307">
        <v>239.0</v>
      </c>
      <c r="AW240" s="687" t="s">
        <v>1252</v>
      </c>
      <c r="AX240" s="307">
        <v>239.0</v>
      </c>
      <c r="AZ240" s="687" t="s">
        <v>2366</v>
      </c>
      <c r="BA240" s="307">
        <v>239.0</v>
      </c>
      <c r="BC240" s="691" t="s">
        <v>827</v>
      </c>
      <c r="BD240" s="307">
        <v>239.0</v>
      </c>
      <c r="BF240" s="687" t="s">
        <v>2323</v>
      </c>
      <c r="BG240" s="145">
        <v>239.0</v>
      </c>
      <c r="BI240" s="688" t="s">
        <v>916</v>
      </c>
      <c r="BJ240" s="145">
        <v>239.0</v>
      </c>
      <c r="BL240" s="692" t="s">
        <v>921</v>
      </c>
      <c r="BM240" s="216">
        <v>239.0</v>
      </c>
    </row>
    <row r="241">
      <c r="A241" s="705" t="s">
        <v>241</v>
      </c>
      <c r="B241" s="307">
        <v>240.0</v>
      </c>
      <c r="C241" s="705"/>
      <c r="D241" s="705" t="s">
        <v>2696</v>
      </c>
      <c r="E241" s="307">
        <v>240.0</v>
      </c>
      <c r="F241" s="705"/>
      <c r="G241" s="705" t="s">
        <v>218</v>
      </c>
      <c r="H241" s="307">
        <v>240.0</v>
      </c>
      <c r="I241" s="705"/>
      <c r="J241" s="705" t="s">
        <v>2664</v>
      </c>
      <c r="K241" s="307">
        <v>240.0</v>
      </c>
      <c r="L241" s="705"/>
      <c r="M241" s="705" t="s">
        <v>2682</v>
      </c>
      <c r="N241" s="307">
        <v>240.0</v>
      </c>
      <c r="O241" s="41"/>
      <c r="P241" s="41" t="s">
        <v>223</v>
      </c>
      <c r="Q241" s="307">
        <v>240.0</v>
      </c>
      <c r="R241" s="41"/>
      <c r="S241" s="41" t="s">
        <v>847</v>
      </c>
      <c r="T241" s="307">
        <v>240.0</v>
      </c>
      <c r="U241" s="41"/>
      <c r="V241" s="41" t="s">
        <v>2698</v>
      </c>
      <c r="W241" s="307">
        <v>240.0</v>
      </c>
      <c r="X241" s="41"/>
      <c r="Y241" s="682" t="s">
        <v>928</v>
      </c>
      <c r="Z241" s="307">
        <v>240.0</v>
      </c>
      <c r="AA241" s="41"/>
      <c r="AB241" s="41" t="s">
        <v>947</v>
      </c>
      <c r="AC241" s="307">
        <v>240.0</v>
      </c>
      <c r="AD241" s="79"/>
      <c r="AE241" s="690" t="s">
        <v>2366</v>
      </c>
      <c r="AF241" s="307">
        <v>240.0</v>
      </c>
      <c r="AH241" s="687" t="s">
        <v>2677</v>
      </c>
      <c r="AI241" s="307">
        <v>240.0</v>
      </c>
      <c r="AK241" s="687" t="s">
        <v>835</v>
      </c>
      <c r="AL241" s="307">
        <v>240.0</v>
      </c>
      <c r="AN241" s="687" t="s">
        <v>2257</v>
      </c>
      <c r="AO241" s="307">
        <v>240.0</v>
      </c>
      <c r="AQ241" s="687" t="s">
        <v>2492</v>
      </c>
      <c r="AR241" s="307">
        <v>240.0</v>
      </c>
      <c r="AT241" s="687" t="s">
        <v>1252</v>
      </c>
      <c r="AU241" s="307">
        <v>240.0</v>
      </c>
      <c r="AW241" s="687" t="s">
        <v>2701</v>
      </c>
      <c r="AX241" s="307">
        <v>240.0</v>
      </c>
      <c r="AZ241" s="687" t="s">
        <v>931</v>
      </c>
      <c r="BA241" s="307">
        <v>240.0</v>
      </c>
      <c r="BC241" s="691" t="s">
        <v>2414</v>
      </c>
      <c r="BD241" s="307">
        <v>240.0</v>
      </c>
      <c r="BF241" s="687" t="s">
        <v>817</v>
      </c>
      <c r="BG241" s="145">
        <v>240.0</v>
      </c>
      <c r="BI241" s="688" t="s">
        <v>915</v>
      </c>
      <c r="BJ241" s="145">
        <v>240.0</v>
      </c>
      <c r="BL241" s="692" t="s">
        <v>2709</v>
      </c>
      <c r="BM241" s="216">
        <v>240.0</v>
      </c>
    </row>
    <row r="242">
      <c r="A242" s="41" t="s">
        <v>921</v>
      </c>
      <c r="B242" s="307">
        <v>241.0</v>
      </c>
      <c r="C242" s="41"/>
      <c r="D242" s="41" t="s">
        <v>2683</v>
      </c>
      <c r="E242" s="307">
        <v>241.0</v>
      </c>
      <c r="F242" s="41"/>
      <c r="G242" s="41" t="s">
        <v>2404</v>
      </c>
      <c r="H242" s="307">
        <v>241.0</v>
      </c>
      <c r="I242" s="41"/>
      <c r="J242" s="41" t="s">
        <v>2411</v>
      </c>
      <c r="K242" s="307">
        <v>241.0</v>
      </c>
      <c r="L242" s="41"/>
      <c r="M242" s="41" t="s">
        <v>1251</v>
      </c>
      <c r="N242" s="307">
        <v>241.0</v>
      </c>
      <c r="O242" s="41"/>
      <c r="P242" s="41" t="s">
        <v>2693</v>
      </c>
      <c r="Q242" s="307">
        <v>241.0</v>
      </c>
      <c r="R242" s="41"/>
      <c r="S242" s="41" t="s">
        <v>252</v>
      </c>
      <c r="T242" s="307">
        <v>241.0</v>
      </c>
      <c r="U242" s="41"/>
      <c r="V242" s="41" t="s">
        <v>1080</v>
      </c>
      <c r="W242" s="307">
        <v>241.0</v>
      </c>
      <c r="X242" s="41"/>
      <c r="Y242" s="682" t="s">
        <v>1080</v>
      </c>
      <c r="Z242" s="307">
        <v>241.0</v>
      </c>
      <c r="AA242" s="41"/>
      <c r="AB242" s="41" t="s">
        <v>906</v>
      </c>
      <c r="AC242" s="307">
        <v>241.0</v>
      </c>
      <c r="AD242" s="79"/>
      <c r="AE242" s="704" t="s">
        <v>2677</v>
      </c>
      <c r="AF242" s="307">
        <v>241.0</v>
      </c>
      <c r="AG242" s="705"/>
      <c r="AH242" s="706" t="s">
        <v>224</v>
      </c>
      <c r="AI242" s="307">
        <v>241.0</v>
      </c>
      <c r="AJ242" s="705"/>
      <c r="AK242" s="706" t="s">
        <v>2682</v>
      </c>
      <c r="AL242" s="307">
        <v>241.0</v>
      </c>
      <c r="AN242" s="687" t="s">
        <v>939</v>
      </c>
      <c r="AO242" s="307">
        <v>241.0</v>
      </c>
      <c r="AQ242" s="687" t="s">
        <v>2704</v>
      </c>
      <c r="AR242" s="307">
        <v>241.0</v>
      </c>
      <c r="AT242" s="687" t="s">
        <v>2701</v>
      </c>
      <c r="AU242" s="307">
        <v>241.0</v>
      </c>
      <c r="AW242" s="687" t="s">
        <v>931</v>
      </c>
      <c r="AX242" s="307">
        <v>241.0</v>
      </c>
      <c r="AZ242" s="687" t="s">
        <v>229</v>
      </c>
      <c r="BA242" s="307">
        <v>241.0</v>
      </c>
      <c r="BC242" s="691" t="s">
        <v>2323</v>
      </c>
      <c r="BD242" s="307">
        <v>241.0</v>
      </c>
      <c r="BF242" s="687" t="s">
        <v>2435</v>
      </c>
      <c r="BG242" s="145">
        <v>241.0</v>
      </c>
      <c r="BI242" s="688" t="s">
        <v>2444</v>
      </c>
      <c r="BJ242" s="145">
        <v>241.0</v>
      </c>
      <c r="BL242" s="692" t="s">
        <v>2313</v>
      </c>
      <c r="BM242" s="216">
        <v>241.0</v>
      </c>
    </row>
    <row r="243">
      <c r="A243" s="41" t="s">
        <v>1113</v>
      </c>
      <c r="B243" s="307">
        <v>242.0</v>
      </c>
      <c r="C243" s="41"/>
      <c r="D243" s="41" t="s">
        <v>2257</v>
      </c>
      <c r="E243" s="307">
        <v>242.0</v>
      </c>
      <c r="F243" s="41"/>
      <c r="G243" s="41" t="s">
        <v>2694</v>
      </c>
      <c r="H243" s="307">
        <v>242.0</v>
      </c>
      <c r="I243" s="41"/>
      <c r="J243" s="41" t="s">
        <v>1126</v>
      </c>
      <c r="K243" s="307">
        <v>242.0</v>
      </c>
      <c r="L243" s="41"/>
      <c r="M243" s="41" t="s">
        <v>2681</v>
      </c>
      <c r="N243" s="307">
        <v>242.0</v>
      </c>
      <c r="O243" s="41"/>
      <c r="P243" s="41" t="s">
        <v>916</v>
      </c>
      <c r="Q243" s="307">
        <v>242.0</v>
      </c>
      <c r="R243" s="41"/>
      <c r="S243" s="41" t="s">
        <v>2707</v>
      </c>
      <c r="T243" s="307">
        <v>242.0</v>
      </c>
      <c r="U243" s="41"/>
      <c r="V243" s="41" t="s">
        <v>2250</v>
      </c>
      <c r="W243" s="307">
        <v>242.0</v>
      </c>
      <c r="X243" s="41"/>
      <c r="Y243" s="682" t="s">
        <v>2250</v>
      </c>
      <c r="Z243" s="307">
        <v>242.0</v>
      </c>
      <c r="AA243" s="41"/>
      <c r="AB243" s="41" t="s">
        <v>2684</v>
      </c>
      <c r="AC243" s="307">
        <v>242.0</v>
      </c>
      <c r="AD243" s="79"/>
      <c r="AE243" s="690" t="s">
        <v>214</v>
      </c>
      <c r="AF243" s="307">
        <v>242.0</v>
      </c>
      <c r="AH243" s="687" t="s">
        <v>2446</v>
      </c>
      <c r="AI243" s="307">
        <v>242.0</v>
      </c>
      <c r="AK243" s="687" t="s">
        <v>2487</v>
      </c>
      <c r="AL243" s="307">
        <v>242.0</v>
      </c>
      <c r="AN243" s="687" t="s">
        <v>846</v>
      </c>
      <c r="AO243" s="307">
        <v>242.0</v>
      </c>
      <c r="AQ243" s="687" t="s">
        <v>2428</v>
      </c>
      <c r="AR243" s="307">
        <v>242.0</v>
      </c>
      <c r="AT243" s="687" t="s">
        <v>931</v>
      </c>
      <c r="AU243" s="307">
        <v>242.0</v>
      </c>
      <c r="AW243" s="687" t="s">
        <v>229</v>
      </c>
      <c r="AX243" s="307">
        <v>242.0</v>
      </c>
      <c r="AZ243" s="687" t="s">
        <v>2690</v>
      </c>
      <c r="BA243" s="307">
        <v>242.0</v>
      </c>
      <c r="BC243" s="691" t="s">
        <v>2435</v>
      </c>
      <c r="BD243" s="307">
        <v>242.0</v>
      </c>
      <c r="BF243" s="687" t="s">
        <v>915</v>
      </c>
      <c r="BG243" s="145">
        <v>242.0</v>
      </c>
      <c r="BI243" s="688" t="s">
        <v>2194</v>
      </c>
      <c r="BJ243" s="145">
        <v>242.0</v>
      </c>
      <c r="BL243" s="692" t="s">
        <v>2710</v>
      </c>
      <c r="BM243" s="216">
        <v>242.0</v>
      </c>
    </row>
    <row r="244">
      <c r="A244" s="41" t="s">
        <v>2198</v>
      </c>
      <c r="B244" s="307">
        <v>243.0</v>
      </c>
      <c r="C244" s="41"/>
      <c r="D244" s="41" t="s">
        <v>2689</v>
      </c>
      <c r="E244" s="307">
        <v>243.0</v>
      </c>
      <c r="F244" s="41"/>
      <c r="G244" s="41" t="s">
        <v>2273</v>
      </c>
      <c r="H244" s="307">
        <v>243.0</v>
      </c>
      <c r="I244" s="41"/>
      <c r="J244" s="41" t="s">
        <v>2661</v>
      </c>
      <c r="K244" s="307">
        <v>243.0</v>
      </c>
      <c r="L244" s="41"/>
      <c r="M244" s="41" t="s">
        <v>815</v>
      </c>
      <c r="N244" s="307">
        <v>243.0</v>
      </c>
      <c r="O244" s="41"/>
      <c r="P244" s="41" t="s">
        <v>2684</v>
      </c>
      <c r="Q244" s="307">
        <v>243.0</v>
      </c>
      <c r="R244" s="41"/>
      <c r="S244" s="41" t="s">
        <v>2705</v>
      </c>
      <c r="T244" s="307">
        <v>243.0</v>
      </c>
      <c r="U244" s="41"/>
      <c r="V244" s="41" t="s">
        <v>2706</v>
      </c>
      <c r="W244" s="307">
        <v>243.0</v>
      </c>
      <c r="X244" s="41"/>
      <c r="Y244" s="682" t="s">
        <v>2706</v>
      </c>
      <c r="Z244" s="307">
        <v>243.0</v>
      </c>
      <c r="AA244" s="41"/>
      <c r="AB244" s="41" t="s">
        <v>2677</v>
      </c>
      <c r="AC244" s="307">
        <v>243.0</v>
      </c>
      <c r="AD244" s="79"/>
      <c r="AE244" s="690" t="s">
        <v>2699</v>
      </c>
      <c r="AF244" s="307">
        <v>243.0</v>
      </c>
      <c r="AH244" s="687" t="s">
        <v>930</v>
      </c>
      <c r="AI244" s="307">
        <v>243.0</v>
      </c>
      <c r="AK244" s="687" t="s">
        <v>271</v>
      </c>
      <c r="AL244" s="307">
        <v>243.0</v>
      </c>
      <c r="AN244" s="687" t="s">
        <v>263</v>
      </c>
      <c r="AO244" s="307">
        <v>243.0</v>
      </c>
      <c r="AQ244" s="687" t="s">
        <v>1251</v>
      </c>
      <c r="AR244" s="307">
        <v>243.0</v>
      </c>
      <c r="AT244" s="687" t="s">
        <v>229</v>
      </c>
      <c r="AU244" s="307">
        <v>243.0</v>
      </c>
      <c r="AW244" s="687" t="s">
        <v>2690</v>
      </c>
      <c r="AX244" s="307">
        <v>243.0</v>
      </c>
      <c r="AZ244" s="687" t="s">
        <v>2294</v>
      </c>
      <c r="BA244" s="307">
        <v>243.0</v>
      </c>
      <c r="BC244" s="691" t="s">
        <v>915</v>
      </c>
      <c r="BD244" s="307">
        <v>243.0</v>
      </c>
      <c r="BF244" s="687" t="s">
        <v>2194</v>
      </c>
      <c r="BG244" s="145">
        <v>243.0</v>
      </c>
      <c r="BI244" s="688" t="s">
        <v>1249</v>
      </c>
      <c r="BJ244" s="145">
        <v>243.0</v>
      </c>
      <c r="BL244" s="692" t="s">
        <v>1105</v>
      </c>
      <c r="BM244" s="216">
        <v>243.0</v>
      </c>
    </row>
    <row r="245">
      <c r="A245" s="41" t="s">
        <v>69</v>
      </c>
      <c r="B245" s="307">
        <v>244.0</v>
      </c>
      <c r="C245" s="41"/>
      <c r="D245" s="41" t="s">
        <v>214</v>
      </c>
      <c r="E245" s="307">
        <v>244.0</v>
      </c>
      <c r="F245" s="41"/>
      <c r="G245" s="41" t="s">
        <v>2378</v>
      </c>
      <c r="H245" s="307">
        <v>244.0</v>
      </c>
      <c r="I245" s="41"/>
      <c r="J245" s="41" t="s">
        <v>848</v>
      </c>
      <c r="K245" s="307">
        <v>244.0</v>
      </c>
      <c r="L245" s="41"/>
      <c r="M245" s="41" t="s">
        <v>2319</v>
      </c>
      <c r="N245" s="307">
        <v>244.0</v>
      </c>
      <c r="O245" s="41"/>
      <c r="P245" s="41" t="s">
        <v>2322</v>
      </c>
      <c r="Q245" s="307">
        <v>244.0</v>
      </c>
      <c r="R245" s="41"/>
      <c r="S245" s="41" t="s">
        <v>2432</v>
      </c>
      <c r="T245" s="307">
        <v>244.0</v>
      </c>
      <c r="U245" s="41"/>
      <c r="V245" s="41" t="s">
        <v>947</v>
      </c>
      <c r="W245" s="307">
        <v>244.0</v>
      </c>
      <c r="X245" s="41"/>
      <c r="Y245" s="682" t="s">
        <v>947</v>
      </c>
      <c r="Z245" s="307">
        <v>244.0</v>
      </c>
      <c r="AA245" s="41"/>
      <c r="AB245" s="41" t="s">
        <v>214</v>
      </c>
      <c r="AC245" s="307">
        <v>244.0</v>
      </c>
      <c r="AD245" s="79"/>
      <c r="AE245" s="690" t="s">
        <v>1126</v>
      </c>
      <c r="AF245" s="307">
        <v>244.0</v>
      </c>
      <c r="AH245" s="687" t="s">
        <v>924</v>
      </c>
      <c r="AI245" s="307">
        <v>244.0</v>
      </c>
      <c r="AK245" s="687" t="s">
        <v>2706</v>
      </c>
      <c r="AL245" s="307">
        <v>244.0</v>
      </c>
      <c r="AN245" s="687" t="s">
        <v>2703</v>
      </c>
      <c r="AO245" s="307">
        <v>244.0</v>
      </c>
      <c r="AQ245" s="687" t="s">
        <v>2432</v>
      </c>
      <c r="AR245" s="307">
        <v>244.0</v>
      </c>
      <c r="AT245" s="687" t="s">
        <v>2690</v>
      </c>
      <c r="AU245" s="307">
        <v>244.0</v>
      </c>
      <c r="AW245" s="687" t="s">
        <v>1243</v>
      </c>
      <c r="AX245" s="307">
        <v>244.0</v>
      </c>
      <c r="AZ245" s="687" t="s">
        <v>1243</v>
      </c>
      <c r="BA245" s="307">
        <v>244.0</v>
      </c>
      <c r="BC245" s="691" t="s">
        <v>1249</v>
      </c>
      <c r="BD245" s="307">
        <v>244.0</v>
      </c>
      <c r="BF245" s="687" t="s">
        <v>1249</v>
      </c>
      <c r="BG245" s="145">
        <v>244.0</v>
      </c>
      <c r="BI245" s="688" t="s">
        <v>921</v>
      </c>
      <c r="BJ245" s="145">
        <v>244.0</v>
      </c>
      <c r="BL245" s="692" t="s">
        <v>2695</v>
      </c>
      <c r="BM245" s="216">
        <v>244.0</v>
      </c>
    </row>
    <row r="246">
      <c r="A246" s="41" t="s">
        <v>2650</v>
      </c>
      <c r="B246" s="307">
        <v>245.0</v>
      </c>
      <c r="C246" s="41"/>
      <c r="D246" s="41" t="s">
        <v>254</v>
      </c>
      <c r="E246" s="307">
        <v>245.0</v>
      </c>
      <c r="F246" s="41"/>
      <c r="G246" s="41" t="s">
        <v>929</v>
      </c>
      <c r="H246" s="307">
        <v>245.0</v>
      </c>
      <c r="I246" s="41"/>
      <c r="J246" s="41" t="s">
        <v>830</v>
      </c>
      <c r="K246" s="307">
        <v>245.0</v>
      </c>
      <c r="L246" s="41"/>
      <c r="M246" s="41" t="s">
        <v>2421</v>
      </c>
      <c r="N246" s="307">
        <v>245.0</v>
      </c>
      <c r="O246" s="41"/>
      <c r="P246" s="41" t="s">
        <v>240</v>
      </c>
      <c r="Q246" s="307">
        <v>245.0</v>
      </c>
      <c r="R246" s="41"/>
      <c r="S246" s="41" t="s">
        <v>273</v>
      </c>
      <c r="T246" s="307">
        <v>245.0</v>
      </c>
      <c r="U246" s="41"/>
      <c r="V246" s="41" t="s">
        <v>838</v>
      </c>
      <c r="W246" s="307">
        <v>245.0</v>
      </c>
      <c r="X246" s="41"/>
      <c r="Y246" s="682" t="s">
        <v>838</v>
      </c>
      <c r="Z246" s="307">
        <v>245.0</v>
      </c>
      <c r="AA246" s="41"/>
      <c r="AB246" s="41" t="s">
        <v>2699</v>
      </c>
      <c r="AC246" s="307">
        <v>245.0</v>
      </c>
      <c r="AD246" s="79"/>
      <c r="AE246" s="690" t="s">
        <v>2695</v>
      </c>
      <c r="AF246" s="307">
        <v>245.0</v>
      </c>
      <c r="AH246" s="687" t="s">
        <v>2695</v>
      </c>
      <c r="AI246" s="307">
        <v>245.0</v>
      </c>
      <c r="AK246" s="687" t="s">
        <v>2284</v>
      </c>
      <c r="AL246" s="307">
        <v>245.0</v>
      </c>
      <c r="AN246" s="687" t="s">
        <v>1048</v>
      </c>
      <c r="AO246" s="307">
        <v>245.0</v>
      </c>
      <c r="AQ246" s="687" t="s">
        <v>1113</v>
      </c>
      <c r="AR246" s="307">
        <v>245.0</v>
      </c>
      <c r="AT246" s="687" t="s">
        <v>2711</v>
      </c>
      <c r="AU246" s="307">
        <v>245.0</v>
      </c>
      <c r="AW246" s="687" t="s">
        <v>215</v>
      </c>
      <c r="AX246" s="307">
        <v>245.0</v>
      </c>
      <c r="AZ246" s="687" t="s">
        <v>215</v>
      </c>
      <c r="BA246" s="307">
        <v>245.0</v>
      </c>
      <c r="BC246" s="691" t="s">
        <v>921</v>
      </c>
      <c r="BD246" s="307">
        <v>245.0</v>
      </c>
      <c r="BF246" s="687" t="s">
        <v>921</v>
      </c>
      <c r="BG246" s="145">
        <v>245.0</v>
      </c>
      <c r="BI246" s="688" t="s">
        <v>2310</v>
      </c>
      <c r="BJ246" s="145">
        <v>245.0</v>
      </c>
      <c r="BL246" s="692" t="s">
        <v>827</v>
      </c>
      <c r="BM246" s="216">
        <v>245.0</v>
      </c>
    </row>
    <row r="247">
      <c r="A247" s="41" t="s">
        <v>2416</v>
      </c>
      <c r="B247" s="307">
        <v>246.0</v>
      </c>
      <c r="C247" s="41"/>
      <c r="D247" s="41" t="s">
        <v>2416</v>
      </c>
      <c r="E247" s="307">
        <v>246.0</v>
      </c>
      <c r="F247" s="41"/>
      <c r="G247" s="41" t="s">
        <v>2352</v>
      </c>
      <c r="H247" s="307">
        <v>246.0</v>
      </c>
      <c r="I247" s="41"/>
      <c r="J247" s="41" t="s">
        <v>220</v>
      </c>
      <c r="K247" s="307">
        <v>246.0</v>
      </c>
      <c r="L247" s="41"/>
      <c r="M247" s="41" t="s">
        <v>262</v>
      </c>
      <c r="N247" s="307">
        <v>246.0</v>
      </c>
      <c r="O247" s="41"/>
      <c r="P247" s="41" t="s">
        <v>2194</v>
      </c>
      <c r="Q247" s="307">
        <v>246.0</v>
      </c>
      <c r="R247" s="41"/>
      <c r="S247" s="41" t="s">
        <v>2452</v>
      </c>
      <c r="T247" s="307">
        <v>246.0</v>
      </c>
      <c r="U247" s="41"/>
      <c r="V247" s="41" t="s">
        <v>2676</v>
      </c>
      <c r="W247" s="307">
        <v>246.0</v>
      </c>
      <c r="X247" s="41"/>
      <c r="Y247" s="698" t="s">
        <v>2676</v>
      </c>
      <c r="Z247" s="307">
        <v>246.0</v>
      </c>
      <c r="AA247" s="41"/>
      <c r="AB247" s="41" t="s">
        <v>1126</v>
      </c>
      <c r="AC247" s="307">
        <v>246.0</v>
      </c>
      <c r="AD247" s="79"/>
      <c r="AE247" s="690" t="s">
        <v>2661</v>
      </c>
      <c r="AF247" s="307">
        <v>246.0</v>
      </c>
      <c r="AH247" s="687" t="s">
        <v>848</v>
      </c>
      <c r="AI247" s="307">
        <v>246.0</v>
      </c>
      <c r="AK247" s="687" t="s">
        <v>2363</v>
      </c>
      <c r="AL247" s="307">
        <v>246.0</v>
      </c>
      <c r="AN247" s="687" t="s">
        <v>1041</v>
      </c>
      <c r="AO247" s="307">
        <v>246.0</v>
      </c>
      <c r="AQ247" s="687" t="s">
        <v>1252</v>
      </c>
      <c r="AR247" s="307">
        <v>246.0</v>
      </c>
      <c r="AT247" s="687" t="s">
        <v>1243</v>
      </c>
      <c r="AU247" s="307">
        <v>246.0</v>
      </c>
      <c r="AW247" s="687" t="s">
        <v>224</v>
      </c>
      <c r="AX247" s="307">
        <v>246.0</v>
      </c>
      <c r="AZ247" s="687" t="s">
        <v>224</v>
      </c>
      <c r="BA247" s="307">
        <v>246.0</v>
      </c>
      <c r="BC247" s="691" t="s">
        <v>2418</v>
      </c>
      <c r="BD247" s="307">
        <v>246.0</v>
      </c>
      <c r="BF247" s="687" t="s">
        <v>2310</v>
      </c>
      <c r="BG247" s="145">
        <v>246.0</v>
      </c>
      <c r="BI247" s="688" t="s">
        <v>2709</v>
      </c>
      <c r="BJ247" s="145">
        <v>246.0</v>
      </c>
      <c r="BL247" s="692" t="s">
        <v>260</v>
      </c>
      <c r="BM247" s="216">
        <v>246.0</v>
      </c>
    </row>
    <row r="248">
      <c r="A248" s="41" t="s">
        <v>2712</v>
      </c>
      <c r="B248" s="307">
        <v>247.0</v>
      </c>
      <c r="C248" s="41"/>
      <c r="D248" s="41" t="s">
        <v>2713</v>
      </c>
      <c r="E248" s="307">
        <v>247.0</v>
      </c>
      <c r="F248" s="41"/>
      <c r="G248" s="41" t="s">
        <v>2491</v>
      </c>
      <c r="H248" s="307">
        <v>247.0</v>
      </c>
      <c r="I248" s="41"/>
      <c r="J248" s="41" t="s">
        <v>231</v>
      </c>
      <c r="K248" s="307">
        <v>247.0</v>
      </c>
      <c r="L248" s="41"/>
      <c r="M248" s="41" t="s">
        <v>2661</v>
      </c>
      <c r="N248" s="307">
        <v>247.0</v>
      </c>
      <c r="O248" s="41"/>
      <c r="P248" s="41" t="s">
        <v>847</v>
      </c>
      <c r="Q248" s="307">
        <v>247.0</v>
      </c>
      <c r="R248" s="41"/>
      <c r="S248" s="41" t="s">
        <v>241</v>
      </c>
      <c r="T248" s="307">
        <v>247.0</v>
      </c>
      <c r="U248" s="41"/>
      <c r="V248" s="41" t="s">
        <v>2684</v>
      </c>
      <c r="W248" s="307">
        <v>247.0</v>
      </c>
      <c r="X248" s="41"/>
      <c r="Y248" s="682" t="s">
        <v>2684</v>
      </c>
      <c r="Z248" s="307">
        <v>247.0</v>
      </c>
      <c r="AA248" s="41"/>
      <c r="AB248" s="41" t="s">
        <v>2695</v>
      </c>
      <c r="AC248" s="307">
        <v>247.0</v>
      </c>
      <c r="AD248" s="79"/>
      <c r="AE248" s="690" t="s">
        <v>922</v>
      </c>
      <c r="AF248" s="307">
        <v>247.0</v>
      </c>
      <c r="AH248" s="687" t="s">
        <v>214</v>
      </c>
      <c r="AI248" s="307">
        <v>247.0</v>
      </c>
      <c r="AK248" s="687" t="s">
        <v>2643</v>
      </c>
      <c r="AL248" s="307">
        <v>247.0</v>
      </c>
      <c r="AN248" s="687" t="s">
        <v>2492</v>
      </c>
      <c r="AO248" s="307">
        <v>247.0</v>
      </c>
      <c r="AQ248" s="687" t="s">
        <v>2701</v>
      </c>
      <c r="AR248" s="307">
        <v>247.0</v>
      </c>
      <c r="AT248" s="687" t="s">
        <v>215</v>
      </c>
      <c r="AU248" s="307">
        <v>247.0</v>
      </c>
      <c r="AW248" s="687" t="s">
        <v>827</v>
      </c>
      <c r="AX248" s="307">
        <v>247.0</v>
      </c>
      <c r="AZ248" s="687" t="s">
        <v>827</v>
      </c>
      <c r="BA248" s="307">
        <v>247.0</v>
      </c>
      <c r="BC248" s="691" t="s">
        <v>2310</v>
      </c>
      <c r="BD248" s="307">
        <v>247.0</v>
      </c>
      <c r="BF248" s="687" t="s">
        <v>2709</v>
      </c>
      <c r="BG248" s="145">
        <v>247.0</v>
      </c>
      <c r="BI248" s="688" t="s">
        <v>2313</v>
      </c>
      <c r="BJ248" s="145">
        <v>247.0</v>
      </c>
      <c r="BL248" s="692" t="s">
        <v>945</v>
      </c>
      <c r="BM248" s="216">
        <v>247.0</v>
      </c>
    </row>
    <row r="249">
      <c r="A249" s="41" t="s">
        <v>85</v>
      </c>
      <c r="B249" s="307">
        <v>248.0</v>
      </c>
      <c r="C249" s="41"/>
      <c r="D249" s="41" t="s">
        <v>89</v>
      </c>
      <c r="E249" s="307">
        <v>248.0</v>
      </c>
      <c r="F249" s="41"/>
      <c r="G249" s="41" t="s">
        <v>2686</v>
      </c>
      <c r="H249" s="307">
        <v>248.0</v>
      </c>
      <c r="I249" s="41"/>
      <c r="J249" s="41" t="s">
        <v>2426</v>
      </c>
      <c r="K249" s="307">
        <v>248.0</v>
      </c>
      <c r="L249" s="41"/>
      <c r="M249" s="41" t="s">
        <v>236</v>
      </c>
      <c r="N249" s="307">
        <v>248.0</v>
      </c>
      <c r="O249" s="41"/>
      <c r="P249" s="41" t="s">
        <v>2705</v>
      </c>
      <c r="Q249" s="307">
        <v>248.0</v>
      </c>
      <c r="R249" s="41"/>
      <c r="S249" s="41" t="s">
        <v>816</v>
      </c>
      <c r="T249" s="307">
        <v>248.0</v>
      </c>
      <c r="U249" s="41"/>
      <c r="V249" s="41" t="s">
        <v>2677</v>
      </c>
      <c r="W249" s="307">
        <v>248.0</v>
      </c>
      <c r="X249" s="41"/>
      <c r="Y249" s="682" t="s">
        <v>2677</v>
      </c>
      <c r="Z249" s="307">
        <v>248.0</v>
      </c>
      <c r="AA249" s="41"/>
      <c r="AB249" s="41" t="s">
        <v>2661</v>
      </c>
      <c r="AC249" s="307">
        <v>248.0</v>
      </c>
      <c r="AD249" s="79"/>
      <c r="AE249" s="690" t="s">
        <v>2442</v>
      </c>
      <c r="AF249" s="307">
        <v>248.0</v>
      </c>
      <c r="AH249" s="687" t="s">
        <v>253</v>
      </c>
      <c r="AI249" s="307">
        <v>248.0</v>
      </c>
      <c r="AK249" s="687" t="s">
        <v>273</v>
      </c>
      <c r="AL249" s="307">
        <v>248.0</v>
      </c>
      <c r="AN249" s="687" t="s">
        <v>2704</v>
      </c>
      <c r="AO249" s="307">
        <v>248.0</v>
      </c>
      <c r="AQ249" s="687" t="s">
        <v>931</v>
      </c>
      <c r="AR249" s="307">
        <v>248.0</v>
      </c>
      <c r="AT249" s="687" t="s">
        <v>224</v>
      </c>
      <c r="AU249" s="307">
        <v>248.0</v>
      </c>
      <c r="AW249" s="687" t="s">
        <v>2414</v>
      </c>
      <c r="AX249" s="307">
        <v>248.0</v>
      </c>
      <c r="AZ249" s="687" t="s">
        <v>2414</v>
      </c>
      <c r="BA249" s="307">
        <v>248.0</v>
      </c>
      <c r="BC249" s="691" t="s">
        <v>2709</v>
      </c>
      <c r="BD249" s="307">
        <v>248.0</v>
      </c>
      <c r="BF249" s="687" t="s">
        <v>2313</v>
      </c>
      <c r="BG249" s="145">
        <v>248.0</v>
      </c>
      <c r="BI249" s="688" t="s">
        <v>1105</v>
      </c>
      <c r="BJ249" s="145">
        <v>248.0</v>
      </c>
      <c r="BL249" s="692" t="s">
        <v>231</v>
      </c>
      <c r="BM249" s="216">
        <v>248.0</v>
      </c>
    </row>
    <row r="250">
      <c r="A250" s="41" t="s">
        <v>2417</v>
      </c>
      <c r="B250" s="307">
        <v>249.0</v>
      </c>
      <c r="C250" s="41"/>
      <c r="D250" s="41" t="s">
        <v>816</v>
      </c>
      <c r="E250" s="307">
        <v>249.0</v>
      </c>
      <c r="F250" s="41"/>
      <c r="G250" s="41" t="s">
        <v>2680</v>
      </c>
      <c r="H250" s="307">
        <v>249.0</v>
      </c>
      <c r="I250" s="41"/>
      <c r="J250" s="41" t="s">
        <v>2292</v>
      </c>
      <c r="K250" s="307">
        <v>249.0</v>
      </c>
      <c r="L250" s="41"/>
      <c r="M250" s="41" t="s">
        <v>2655</v>
      </c>
      <c r="N250" s="307">
        <v>249.0</v>
      </c>
      <c r="O250" s="41"/>
      <c r="P250" s="41" t="s">
        <v>2432</v>
      </c>
      <c r="Q250" s="307">
        <v>249.0</v>
      </c>
      <c r="R250" s="41"/>
      <c r="S250" s="41" t="s">
        <v>928</v>
      </c>
      <c r="T250" s="307">
        <v>249.0</v>
      </c>
      <c r="U250" s="41"/>
      <c r="V250" s="41" t="s">
        <v>214</v>
      </c>
      <c r="W250" s="307">
        <v>249.0</v>
      </c>
      <c r="X250" s="41"/>
      <c r="Y250" s="682" t="s">
        <v>214</v>
      </c>
      <c r="Z250" s="307">
        <v>249.0</v>
      </c>
      <c r="AA250" s="41"/>
      <c r="AB250" s="41" t="s">
        <v>922</v>
      </c>
      <c r="AC250" s="307">
        <v>249.0</v>
      </c>
      <c r="AD250" s="79"/>
      <c r="AE250" s="690" t="s">
        <v>1113</v>
      </c>
      <c r="AF250" s="307">
        <v>249.0</v>
      </c>
      <c r="AH250" s="687" t="s">
        <v>263</v>
      </c>
      <c r="AI250" s="307">
        <v>249.0</v>
      </c>
      <c r="AK250" s="687" t="s">
        <v>2677</v>
      </c>
      <c r="AL250" s="307">
        <v>249.0</v>
      </c>
      <c r="AN250" s="687" t="s">
        <v>2428</v>
      </c>
      <c r="AO250" s="307">
        <v>249.0</v>
      </c>
      <c r="AQ250" s="687" t="s">
        <v>229</v>
      </c>
      <c r="AR250" s="307">
        <v>249.0</v>
      </c>
      <c r="AT250" s="687" t="s">
        <v>827</v>
      </c>
      <c r="AU250" s="307">
        <v>249.0</v>
      </c>
      <c r="AW250" s="687" t="s">
        <v>2323</v>
      </c>
      <c r="AX250" s="307">
        <v>249.0</v>
      </c>
      <c r="AZ250" s="687" t="s">
        <v>2323</v>
      </c>
      <c r="BA250" s="307">
        <v>249.0</v>
      </c>
      <c r="BC250" s="691" t="s">
        <v>2313</v>
      </c>
      <c r="BD250" s="307">
        <v>249.0</v>
      </c>
      <c r="BF250" s="687" t="s">
        <v>1105</v>
      </c>
      <c r="BG250" s="145">
        <v>249.0</v>
      </c>
      <c r="BI250" s="688" t="s">
        <v>827</v>
      </c>
      <c r="BJ250" s="145">
        <v>249.0</v>
      </c>
      <c r="BL250" s="692" t="s">
        <v>2714</v>
      </c>
      <c r="BM250" s="216">
        <v>249.0</v>
      </c>
    </row>
    <row r="251">
      <c r="A251" s="41" t="s">
        <v>2713</v>
      </c>
      <c r="B251" s="307">
        <v>250.0</v>
      </c>
      <c r="C251" s="41"/>
      <c r="D251" s="41" t="s">
        <v>2378</v>
      </c>
      <c r="E251" s="307">
        <v>250.0</v>
      </c>
      <c r="F251" s="41"/>
      <c r="G251" s="41" t="s">
        <v>2681</v>
      </c>
      <c r="H251" s="307">
        <v>250.0</v>
      </c>
      <c r="I251" s="41"/>
      <c r="J251" s="41" t="s">
        <v>2453</v>
      </c>
      <c r="K251" s="307">
        <v>250.0</v>
      </c>
      <c r="L251" s="41"/>
      <c r="M251" s="41" t="s">
        <v>2707</v>
      </c>
      <c r="N251" s="307">
        <v>250.0</v>
      </c>
      <c r="O251" s="41"/>
      <c r="P251" s="41" t="s">
        <v>273</v>
      </c>
      <c r="Q251" s="307">
        <v>250.0</v>
      </c>
      <c r="R251" s="41"/>
      <c r="S251" s="41" t="s">
        <v>2697</v>
      </c>
      <c r="T251" s="307">
        <v>250.0</v>
      </c>
      <c r="U251" s="41"/>
      <c r="V251" s="41" t="s">
        <v>2449</v>
      </c>
      <c r="W251" s="307">
        <v>250.0</v>
      </c>
      <c r="X251" s="41"/>
      <c r="Y251" s="682" t="s">
        <v>2699</v>
      </c>
      <c r="Z251" s="307">
        <v>250.0</v>
      </c>
      <c r="AA251" s="41"/>
      <c r="AB251" s="41" t="s">
        <v>1113</v>
      </c>
      <c r="AC251" s="307">
        <v>250.0</v>
      </c>
      <c r="AD251" s="79"/>
      <c r="AE251" s="690" t="s">
        <v>2284</v>
      </c>
      <c r="AF251" s="307">
        <v>250.0</v>
      </c>
      <c r="AH251" s="687" t="s">
        <v>2218</v>
      </c>
      <c r="AI251" s="307">
        <v>250.0</v>
      </c>
      <c r="AK251" s="687" t="s">
        <v>2435</v>
      </c>
      <c r="AL251" s="307">
        <v>250.0</v>
      </c>
      <c r="AN251" s="687" t="s">
        <v>1251</v>
      </c>
      <c r="AO251" s="307">
        <v>250.0</v>
      </c>
      <c r="AQ251" s="687" t="s">
        <v>2690</v>
      </c>
      <c r="AR251" s="307">
        <v>250.0</v>
      </c>
      <c r="AT251" s="687" t="s">
        <v>2414</v>
      </c>
      <c r="AU251" s="307">
        <v>250.0</v>
      </c>
      <c r="AW251" s="687" t="s">
        <v>1249</v>
      </c>
      <c r="AX251" s="307">
        <v>250.0</v>
      </c>
      <c r="AZ251" s="687" t="s">
        <v>2435</v>
      </c>
      <c r="BA251" s="307">
        <v>250.0</v>
      </c>
      <c r="BC251" s="691" t="s">
        <v>1105</v>
      </c>
      <c r="BD251" s="307">
        <v>250.0</v>
      </c>
      <c r="BF251" s="687" t="s">
        <v>1247</v>
      </c>
      <c r="BG251" s="145">
        <v>250.0</v>
      </c>
      <c r="BI251" s="688" t="s">
        <v>2688</v>
      </c>
      <c r="BJ251" s="145">
        <v>250.0</v>
      </c>
      <c r="BL251" s="692" t="s">
        <v>1246</v>
      </c>
      <c r="BM251" s="216">
        <v>250.0</v>
      </c>
    </row>
    <row r="252">
      <c r="A252" s="41" t="s">
        <v>1080</v>
      </c>
      <c r="B252" s="307">
        <v>251.0</v>
      </c>
      <c r="C252" s="41"/>
      <c r="D252" s="41" t="s">
        <v>2650</v>
      </c>
      <c r="E252" s="307">
        <v>251.0</v>
      </c>
      <c r="F252" s="41"/>
      <c r="G252" s="41" t="s">
        <v>2697</v>
      </c>
      <c r="H252" s="307">
        <v>251.0</v>
      </c>
      <c r="I252" s="41"/>
      <c r="J252" s="41" t="s">
        <v>2650</v>
      </c>
      <c r="K252" s="307">
        <v>251.0</v>
      </c>
      <c r="L252" s="41"/>
      <c r="M252" s="41" t="s">
        <v>2206</v>
      </c>
      <c r="N252" s="307">
        <v>251.0</v>
      </c>
      <c r="O252" s="41"/>
      <c r="P252" s="41" t="s">
        <v>2452</v>
      </c>
      <c r="Q252" s="307">
        <v>251.0</v>
      </c>
      <c r="R252" s="41"/>
      <c r="S252" s="41" t="s">
        <v>235</v>
      </c>
      <c r="T252" s="307">
        <v>251.0</v>
      </c>
      <c r="U252" s="41"/>
      <c r="V252" s="41" t="s">
        <v>2699</v>
      </c>
      <c r="W252" s="307">
        <v>251.0</v>
      </c>
      <c r="X252" s="41"/>
      <c r="Y252" s="682" t="s">
        <v>2668</v>
      </c>
      <c r="Z252" s="307">
        <v>251.0</v>
      </c>
      <c r="AA252" s="41"/>
      <c r="AB252" s="41" t="s">
        <v>2453</v>
      </c>
      <c r="AC252" s="307">
        <v>251.0</v>
      </c>
      <c r="AD252" s="79"/>
      <c r="AE252" s="690" t="s">
        <v>263</v>
      </c>
      <c r="AF252" s="307">
        <v>251.0</v>
      </c>
      <c r="AH252" s="687" t="s">
        <v>1250</v>
      </c>
      <c r="AI252" s="307">
        <v>251.0</v>
      </c>
      <c r="AK252" s="687" t="s">
        <v>250</v>
      </c>
      <c r="AL252" s="307">
        <v>251.0</v>
      </c>
      <c r="AN252" s="687" t="s">
        <v>2432</v>
      </c>
      <c r="AO252" s="307">
        <v>251.0</v>
      </c>
      <c r="AQ252" s="687" t="s">
        <v>2711</v>
      </c>
      <c r="AR252" s="307">
        <v>251.0</v>
      </c>
      <c r="AT252" s="687" t="s">
        <v>2323</v>
      </c>
      <c r="AU252" s="307">
        <v>251.0</v>
      </c>
      <c r="AW252" s="687" t="s">
        <v>921</v>
      </c>
      <c r="AX252" s="307">
        <v>251.0</v>
      </c>
      <c r="AZ252" s="687" t="s">
        <v>915</v>
      </c>
      <c r="BA252" s="307">
        <v>251.0</v>
      </c>
      <c r="BC252" s="691" t="s">
        <v>1247</v>
      </c>
      <c r="BD252" s="307">
        <v>251.0</v>
      </c>
      <c r="BF252" s="700" t="s">
        <v>947</v>
      </c>
      <c r="BG252" s="145">
        <v>251.0</v>
      </c>
      <c r="BI252" s="688" t="s">
        <v>945</v>
      </c>
      <c r="BJ252" s="145">
        <v>251.0</v>
      </c>
      <c r="BL252" s="692" t="s">
        <v>1251</v>
      </c>
      <c r="BM252" s="216">
        <v>251.0</v>
      </c>
    </row>
    <row r="253">
      <c r="A253" s="41" t="s">
        <v>924</v>
      </c>
      <c r="B253" s="307">
        <v>252.0</v>
      </c>
      <c r="C253" s="41"/>
      <c r="D253" s="41" t="s">
        <v>2404</v>
      </c>
      <c r="E253" s="307">
        <v>252.0</v>
      </c>
      <c r="F253" s="41"/>
      <c r="G253" s="41" t="s">
        <v>262</v>
      </c>
      <c r="H253" s="307">
        <v>252.0</v>
      </c>
      <c r="I253" s="41"/>
      <c r="J253" s="41" t="s">
        <v>2684</v>
      </c>
      <c r="K253" s="307">
        <v>252.0</v>
      </c>
      <c r="L253" s="41"/>
      <c r="M253" s="41" t="s">
        <v>223</v>
      </c>
      <c r="N253" s="307">
        <v>252.0</v>
      </c>
      <c r="O253" s="41"/>
      <c r="P253" s="41" t="s">
        <v>2407</v>
      </c>
      <c r="Q253" s="307">
        <v>252.0</v>
      </c>
      <c r="R253" s="41"/>
      <c r="S253" s="41" t="s">
        <v>2698</v>
      </c>
      <c r="T253" s="307">
        <v>252.0</v>
      </c>
      <c r="U253" s="41"/>
      <c r="V253" s="41" t="s">
        <v>2668</v>
      </c>
      <c r="W253" s="307">
        <v>252.0</v>
      </c>
      <c r="X253" s="41"/>
      <c r="Y253" s="698" t="s">
        <v>1126</v>
      </c>
      <c r="Z253" s="307">
        <v>252.0</v>
      </c>
      <c r="AA253" s="41"/>
      <c r="AB253" s="41" t="s">
        <v>2284</v>
      </c>
      <c r="AC253" s="307">
        <v>252.0</v>
      </c>
      <c r="AD253" s="79"/>
      <c r="AE253" s="690" t="s">
        <v>1250</v>
      </c>
      <c r="AF253" s="307">
        <v>252.0</v>
      </c>
      <c r="AH253" s="687" t="s">
        <v>271</v>
      </c>
      <c r="AI253" s="307">
        <v>252.0</v>
      </c>
      <c r="AK253" s="687" t="s">
        <v>2322</v>
      </c>
      <c r="AL253" s="307">
        <v>252.0</v>
      </c>
      <c r="AN253" s="687" t="s">
        <v>228</v>
      </c>
      <c r="AO253" s="307">
        <v>252.0</v>
      </c>
      <c r="AQ253" s="687" t="s">
        <v>1243</v>
      </c>
      <c r="AR253" s="307">
        <v>252.0</v>
      </c>
      <c r="AT253" s="687" t="s">
        <v>1249</v>
      </c>
      <c r="AU253" s="307">
        <v>252.0</v>
      </c>
      <c r="AW253" s="687" t="s">
        <v>2310</v>
      </c>
      <c r="AX253" s="307">
        <v>252.0</v>
      </c>
      <c r="AZ253" s="687" t="s">
        <v>1249</v>
      </c>
      <c r="BA253" s="307">
        <v>252.0</v>
      </c>
      <c r="BC253" s="713" t="s">
        <v>947</v>
      </c>
      <c r="BD253" s="307">
        <v>252.0</v>
      </c>
      <c r="BF253" s="687" t="s">
        <v>2715</v>
      </c>
      <c r="BG253" s="145">
        <v>252.0</v>
      </c>
      <c r="BI253" s="688" t="s">
        <v>2714</v>
      </c>
      <c r="BJ253" s="145">
        <v>252.0</v>
      </c>
      <c r="BL253" s="692" t="s">
        <v>1098</v>
      </c>
      <c r="BM253" s="216">
        <v>252.0</v>
      </c>
    </row>
    <row r="254">
      <c r="A254" s="41" t="s">
        <v>2194</v>
      </c>
      <c r="B254" s="307">
        <v>253.0</v>
      </c>
      <c r="C254" s="41"/>
      <c r="D254" s="41" t="s">
        <v>231</v>
      </c>
      <c r="E254" s="307">
        <v>253.0</v>
      </c>
      <c r="F254" s="41"/>
      <c r="G254" s="41" t="s">
        <v>2428</v>
      </c>
      <c r="H254" s="307">
        <v>253.0</v>
      </c>
      <c r="I254" s="41"/>
      <c r="J254" s="41" t="s">
        <v>225</v>
      </c>
      <c r="K254" s="307">
        <v>253.0</v>
      </c>
      <c r="L254" s="41"/>
      <c r="M254" s="41" t="s">
        <v>2693</v>
      </c>
      <c r="N254" s="307">
        <v>253.0</v>
      </c>
      <c r="O254" s="41"/>
      <c r="P254" s="41" t="s">
        <v>241</v>
      </c>
      <c r="Q254" s="307">
        <v>253.0</v>
      </c>
      <c r="R254" s="41"/>
      <c r="S254" s="41" t="s">
        <v>1080</v>
      </c>
      <c r="T254" s="307">
        <v>253.0</v>
      </c>
      <c r="U254" s="41"/>
      <c r="V254" s="41" t="s">
        <v>1126</v>
      </c>
      <c r="W254" s="307">
        <v>253.0</v>
      </c>
      <c r="X254" s="41"/>
      <c r="Y254" s="698" t="s">
        <v>2695</v>
      </c>
      <c r="Z254" s="307">
        <v>253.0</v>
      </c>
      <c r="AA254" s="41"/>
      <c r="AB254" s="41" t="s">
        <v>2401</v>
      </c>
      <c r="AC254" s="307">
        <v>253.0</v>
      </c>
      <c r="AD254" s="79"/>
      <c r="AE254" s="690" t="s">
        <v>2400</v>
      </c>
      <c r="AF254" s="307">
        <v>253.0</v>
      </c>
      <c r="AH254" s="687" t="s">
        <v>2668</v>
      </c>
      <c r="AI254" s="307">
        <v>253.0</v>
      </c>
      <c r="AK254" s="687" t="s">
        <v>220</v>
      </c>
      <c r="AL254" s="307">
        <v>253.0</v>
      </c>
      <c r="AN254" s="687" t="s">
        <v>2716</v>
      </c>
      <c r="AO254" s="307">
        <v>253.0</v>
      </c>
      <c r="AQ254" s="687" t="s">
        <v>215</v>
      </c>
      <c r="AR254" s="307">
        <v>253.0</v>
      </c>
      <c r="AT254" s="687" t="s">
        <v>921</v>
      </c>
      <c r="AU254" s="307">
        <v>253.0</v>
      </c>
      <c r="AW254" s="687" t="s">
        <v>852</v>
      </c>
      <c r="AX254" s="307">
        <v>253.0</v>
      </c>
      <c r="AZ254" s="687" t="s">
        <v>921</v>
      </c>
      <c r="BA254" s="307">
        <v>253.0</v>
      </c>
      <c r="BC254" s="691" t="s">
        <v>2715</v>
      </c>
      <c r="BD254" s="307">
        <v>253.0</v>
      </c>
      <c r="BF254" s="687" t="s">
        <v>2458</v>
      </c>
      <c r="BG254" s="145">
        <v>253.0</v>
      </c>
      <c r="BI254" s="688" t="s">
        <v>1246</v>
      </c>
      <c r="BJ254" s="145">
        <v>253.0</v>
      </c>
      <c r="BL254" s="692" t="s">
        <v>817</v>
      </c>
      <c r="BM254" s="216">
        <v>253.0</v>
      </c>
    </row>
    <row r="255">
      <c r="A255" s="41" t="s">
        <v>2391</v>
      </c>
      <c r="B255" s="307">
        <v>254.0</v>
      </c>
      <c r="C255" s="41"/>
      <c r="D255" s="41" t="s">
        <v>2273</v>
      </c>
      <c r="E255" s="307">
        <v>254.0</v>
      </c>
      <c r="F255" s="41"/>
      <c r="G255" s="41" t="s">
        <v>2366</v>
      </c>
      <c r="H255" s="307">
        <v>254.0</v>
      </c>
      <c r="I255" s="41"/>
      <c r="J255" s="41" t="s">
        <v>2681</v>
      </c>
      <c r="K255" s="307">
        <v>254.0</v>
      </c>
      <c r="L255" s="41"/>
      <c r="M255" s="41" t="s">
        <v>916</v>
      </c>
      <c r="N255" s="307">
        <v>254.0</v>
      </c>
      <c r="O255" s="41"/>
      <c r="P255" s="41" t="s">
        <v>816</v>
      </c>
      <c r="Q255" s="307">
        <v>254.0</v>
      </c>
      <c r="R255" s="41"/>
      <c r="S255" s="41" t="s">
        <v>2706</v>
      </c>
      <c r="T255" s="307">
        <v>254.0</v>
      </c>
      <c r="U255" s="41"/>
      <c r="V255" s="41" t="s">
        <v>1113</v>
      </c>
      <c r="W255" s="307">
        <v>254.0</v>
      </c>
      <c r="X255" s="41"/>
      <c r="Y255" s="682" t="s">
        <v>1113</v>
      </c>
      <c r="Z255" s="307">
        <v>254.0</v>
      </c>
      <c r="AA255" s="41"/>
      <c r="AB255" s="41" t="s">
        <v>263</v>
      </c>
      <c r="AC255" s="307">
        <v>254.0</v>
      </c>
      <c r="AD255" s="79"/>
      <c r="AE255" s="690" t="s">
        <v>273</v>
      </c>
      <c r="AF255" s="307">
        <v>254.0</v>
      </c>
      <c r="AH255" s="687" t="s">
        <v>931</v>
      </c>
      <c r="AI255" s="307">
        <v>254.0</v>
      </c>
      <c r="AK255" s="687" t="s">
        <v>2258</v>
      </c>
      <c r="AL255" s="307">
        <v>254.0</v>
      </c>
      <c r="AN255" s="687" t="s">
        <v>1113</v>
      </c>
      <c r="AO255" s="307">
        <v>254.0</v>
      </c>
      <c r="AQ255" s="687" t="s">
        <v>827</v>
      </c>
      <c r="AR255" s="307">
        <v>254.0</v>
      </c>
      <c r="AT255" s="687" t="s">
        <v>2310</v>
      </c>
      <c r="AU255" s="307">
        <v>254.0</v>
      </c>
      <c r="AW255" s="687" t="s">
        <v>2709</v>
      </c>
      <c r="AX255" s="307">
        <v>254.0</v>
      </c>
      <c r="AZ255" s="687" t="s">
        <v>2310</v>
      </c>
      <c r="BA255" s="307">
        <v>254.0</v>
      </c>
      <c r="BC255" s="691" t="s">
        <v>2458</v>
      </c>
      <c r="BD255" s="307">
        <v>254.0</v>
      </c>
      <c r="BF255" s="687" t="s">
        <v>2708</v>
      </c>
      <c r="BG255" s="145">
        <v>254.0</v>
      </c>
      <c r="BI255" s="688" t="s">
        <v>1251</v>
      </c>
      <c r="BJ255" s="145">
        <v>254.0</v>
      </c>
      <c r="BL255" s="692" t="s">
        <v>2501</v>
      </c>
      <c r="BM255" s="216">
        <v>254.0</v>
      </c>
    </row>
    <row r="256">
      <c r="A256" s="41" t="s">
        <v>2296</v>
      </c>
      <c r="B256" s="307">
        <v>255.0</v>
      </c>
      <c r="C256" s="41"/>
      <c r="D256" s="41" t="s">
        <v>830</v>
      </c>
      <c r="E256" s="307">
        <v>255.0</v>
      </c>
      <c r="F256" s="41"/>
      <c r="G256" s="41" t="s">
        <v>2693</v>
      </c>
      <c r="H256" s="307">
        <v>255.0</v>
      </c>
      <c r="I256" s="41"/>
      <c r="J256" s="41" t="s">
        <v>815</v>
      </c>
      <c r="K256" s="307">
        <v>255.0</v>
      </c>
      <c r="L256" s="41"/>
      <c r="M256" s="41" t="s">
        <v>2651</v>
      </c>
      <c r="N256" s="307">
        <v>255.0</v>
      </c>
      <c r="O256" s="41"/>
      <c r="P256" s="41" t="s">
        <v>928</v>
      </c>
      <c r="Q256" s="307">
        <v>255.0</v>
      </c>
      <c r="R256" s="41"/>
      <c r="S256" s="41" t="s">
        <v>947</v>
      </c>
      <c r="T256" s="307">
        <v>255.0</v>
      </c>
      <c r="U256" s="41"/>
      <c r="V256" s="41" t="s">
        <v>2440</v>
      </c>
      <c r="W256" s="307">
        <v>255.0</v>
      </c>
      <c r="X256" s="41"/>
      <c r="Y256" s="682" t="s">
        <v>2440</v>
      </c>
      <c r="Z256" s="307">
        <v>255.0</v>
      </c>
      <c r="AA256" s="41"/>
      <c r="AB256" s="41" t="s">
        <v>1250</v>
      </c>
      <c r="AC256" s="307">
        <v>255.0</v>
      </c>
      <c r="AD256" s="79"/>
      <c r="AE256" s="690" t="s">
        <v>212</v>
      </c>
      <c r="AF256" s="307">
        <v>255.0</v>
      </c>
      <c r="AH256" s="687" t="s">
        <v>2432</v>
      </c>
      <c r="AI256" s="307">
        <v>255.0</v>
      </c>
      <c r="AK256" s="700" t="s">
        <v>2440</v>
      </c>
      <c r="AL256" s="307">
        <v>255.0</v>
      </c>
      <c r="AN256" s="687" t="s">
        <v>1252</v>
      </c>
      <c r="AO256" s="307">
        <v>255.0</v>
      </c>
      <c r="AQ256" s="687" t="s">
        <v>2414</v>
      </c>
      <c r="AR256" s="307">
        <v>255.0</v>
      </c>
      <c r="AT256" s="687" t="s">
        <v>2313</v>
      </c>
      <c r="AU256" s="307">
        <v>255.0</v>
      </c>
      <c r="AW256" s="687" t="s">
        <v>2313</v>
      </c>
      <c r="AX256" s="307">
        <v>255.0</v>
      </c>
      <c r="AZ256" s="687" t="s">
        <v>2709</v>
      </c>
      <c r="BA256" s="307">
        <v>255.0</v>
      </c>
      <c r="BC256" s="691" t="s">
        <v>2708</v>
      </c>
      <c r="BD256" s="307">
        <v>255.0</v>
      </c>
      <c r="BF256" s="687" t="s">
        <v>2714</v>
      </c>
      <c r="BG256" s="145">
        <v>255.0</v>
      </c>
      <c r="BI256" s="688" t="s">
        <v>1098</v>
      </c>
      <c r="BJ256" s="145">
        <v>255.0</v>
      </c>
      <c r="BL256" s="692" t="s">
        <v>920</v>
      </c>
      <c r="BM256" s="216">
        <v>255.0</v>
      </c>
    </row>
    <row r="257">
      <c r="A257" s="41" t="s">
        <v>929</v>
      </c>
      <c r="B257" s="307">
        <v>256.0</v>
      </c>
      <c r="C257" s="41"/>
      <c r="D257" s="41" t="s">
        <v>71</v>
      </c>
      <c r="E257" s="307">
        <v>256.0</v>
      </c>
      <c r="F257" s="41"/>
      <c r="G257" s="41" t="s">
        <v>2426</v>
      </c>
      <c r="H257" s="307">
        <v>256.0</v>
      </c>
      <c r="I257" s="41"/>
      <c r="J257" s="41" t="s">
        <v>262</v>
      </c>
      <c r="K257" s="307">
        <v>256.0</v>
      </c>
      <c r="L257" s="41"/>
      <c r="M257" s="41" t="s">
        <v>2667</v>
      </c>
      <c r="N257" s="307">
        <v>256.0</v>
      </c>
      <c r="O257" s="41"/>
      <c r="P257" s="41" t="s">
        <v>2697</v>
      </c>
      <c r="Q257" s="307">
        <v>256.0</v>
      </c>
      <c r="R257" s="41"/>
      <c r="S257" s="41" t="s">
        <v>838</v>
      </c>
      <c r="T257" s="307">
        <v>256.0</v>
      </c>
      <c r="U257" s="41"/>
      <c r="V257" s="41" t="s">
        <v>816</v>
      </c>
      <c r="W257" s="307">
        <v>256.0</v>
      </c>
      <c r="X257" s="41"/>
      <c r="Y257" s="682" t="s">
        <v>2284</v>
      </c>
      <c r="Z257" s="307">
        <v>256.0</v>
      </c>
      <c r="AA257" s="41"/>
      <c r="AB257" s="41" t="s">
        <v>2400</v>
      </c>
      <c r="AC257" s="307">
        <v>256.0</v>
      </c>
      <c r="AD257" s="79"/>
      <c r="AE257" s="690" t="s">
        <v>271</v>
      </c>
      <c r="AF257" s="307">
        <v>256.0</v>
      </c>
      <c r="AH257" s="687" t="s">
        <v>273</v>
      </c>
      <c r="AI257" s="307">
        <v>256.0</v>
      </c>
      <c r="AK257" s="687" t="s">
        <v>2402</v>
      </c>
      <c r="AL257" s="307">
        <v>256.0</v>
      </c>
      <c r="AN257" s="687" t="s">
        <v>931</v>
      </c>
      <c r="AO257" s="307">
        <v>256.0</v>
      </c>
      <c r="AQ257" s="687" t="s">
        <v>2323</v>
      </c>
      <c r="AR257" s="307">
        <v>256.0</v>
      </c>
      <c r="AT257" s="687" t="s">
        <v>2717</v>
      </c>
      <c r="AU257" s="307">
        <v>256.0</v>
      </c>
      <c r="AW257" s="687" t="s">
        <v>2717</v>
      </c>
      <c r="AX257" s="307">
        <v>256.0</v>
      </c>
      <c r="AZ257" s="687" t="s">
        <v>2313</v>
      </c>
      <c r="BA257" s="307">
        <v>256.0</v>
      </c>
      <c r="BC257" s="691" t="s">
        <v>2703</v>
      </c>
      <c r="BD257" s="307">
        <v>256.0</v>
      </c>
      <c r="BF257" s="687" t="s">
        <v>1251</v>
      </c>
      <c r="BG257" s="145">
        <v>256.0</v>
      </c>
      <c r="BI257" s="688" t="s">
        <v>817</v>
      </c>
      <c r="BJ257" s="145">
        <v>256.0</v>
      </c>
      <c r="BL257" s="692" t="s">
        <v>2718</v>
      </c>
      <c r="BM257" s="216">
        <v>256.0</v>
      </c>
    </row>
    <row r="258">
      <c r="A258" s="41" t="s">
        <v>260</v>
      </c>
      <c r="B258" s="307">
        <v>257.0</v>
      </c>
      <c r="C258" s="41"/>
      <c r="D258" s="41" t="s">
        <v>2377</v>
      </c>
      <c r="E258" s="307">
        <v>257.0</v>
      </c>
      <c r="F258" s="41"/>
      <c r="G258" s="41" t="s">
        <v>248</v>
      </c>
      <c r="H258" s="307">
        <v>257.0</v>
      </c>
      <c r="I258" s="41"/>
      <c r="J258" s="41" t="s">
        <v>2417</v>
      </c>
      <c r="K258" s="307">
        <v>257.0</v>
      </c>
      <c r="L258" s="41"/>
      <c r="M258" s="41" t="s">
        <v>2322</v>
      </c>
      <c r="N258" s="307">
        <v>257.0</v>
      </c>
      <c r="O258" s="41"/>
      <c r="P258" s="41" t="s">
        <v>235</v>
      </c>
      <c r="Q258" s="307">
        <v>257.0</v>
      </c>
      <c r="R258" s="41"/>
      <c r="S258" s="41" t="s">
        <v>2676</v>
      </c>
      <c r="T258" s="307">
        <v>257.0</v>
      </c>
      <c r="U258" s="41"/>
      <c r="V258" s="41" t="s">
        <v>2284</v>
      </c>
      <c r="W258" s="307">
        <v>257.0</v>
      </c>
      <c r="X258" s="41"/>
      <c r="Y258" s="682" t="s">
        <v>263</v>
      </c>
      <c r="Z258" s="307">
        <v>257.0</v>
      </c>
      <c r="AA258" s="41"/>
      <c r="AB258" s="41" t="s">
        <v>273</v>
      </c>
      <c r="AC258" s="307">
        <v>257.0</v>
      </c>
      <c r="AD258" s="79"/>
      <c r="AE258" s="690" t="s">
        <v>215</v>
      </c>
      <c r="AF258" s="307">
        <v>257.0</v>
      </c>
      <c r="AH258" s="687" t="s">
        <v>2705</v>
      </c>
      <c r="AI258" s="307">
        <v>257.0</v>
      </c>
      <c r="AK258" s="687" t="s">
        <v>905</v>
      </c>
      <c r="AL258" s="307">
        <v>257.0</v>
      </c>
      <c r="AN258" s="687" t="s">
        <v>229</v>
      </c>
      <c r="AO258" s="307">
        <v>257.0</v>
      </c>
      <c r="AQ258" s="687" t="s">
        <v>1249</v>
      </c>
      <c r="AR258" s="307">
        <v>257.0</v>
      </c>
      <c r="AT258" s="687" t="s">
        <v>1105</v>
      </c>
      <c r="AU258" s="307">
        <v>257.0</v>
      </c>
      <c r="AW258" s="687" t="s">
        <v>1105</v>
      </c>
      <c r="AX258" s="307">
        <v>257.0</v>
      </c>
      <c r="AZ258" s="687" t="s">
        <v>2717</v>
      </c>
      <c r="BA258" s="307">
        <v>257.0</v>
      </c>
      <c r="BC258" s="691" t="s">
        <v>2714</v>
      </c>
      <c r="BD258" s="307">
        <v>257.0</v>
      </c>
      <c r="BF258" s="687" t="s">
        <v>1098</v>
      </c>
      <c r="BG258" s="145">
        <v>257.0</v>
      </c>
      <c r="BI258" s="688" t="s">
        <v>2501</v>
      </c>
      <c r="BJ258" s="145">
        <v>257.0</v>
      </c>
      <c r="BL258" s="692" t="s">
        <v>1070</v>
      </c>
      <c r="BM258" s="216">
        <v>257.0</v>
      </c>
    </row>
    <row r="259">
      <c r="A259" s="41" t="s">
        <v>2696</v>
      </c>
      <c r="B259" s="307">
        <v>258.0</v>
      </c>
      <c r="C259" s="41"/>
      <c r="D259" s="41" t="s">
        <v>2712</v>
      </c>
      <c r="E259" s="307">
        <v>258.0</v>
      </c>
      <c r="F259" s="41"/>
      <c r="G259" s="41" t="s">
        <v>830</v>
      </c>
      <c r="H259" s="307">
        <v>258.0</v>
      </c>
      <c r="I259" s="41"/>
      <c r="J259" s="41" t="s">
        <v>2421</v>
      </c>
      <c r="K259" s="307">
        <v>258.0</v>
      </c>
      <c r="L259" s="41"/>
      <c r="M259" s="41" t="s">
        <v>240</v>
      </c>
      <c r="N259" s="307">
        <v>258.0</v>
      </c>
      <c r="O259" s="41"/>
      <c r="P259" s="41" t="s">
        <v>2698</v>
      </c>
      <c r="Q259" s="307">
        <v>258.0</v>
      </c>
      <c r="R259" s="41"/>
      <c r="S259" s="41" t="s">
        <v>2686</v>
      </c>
      <c r="T259" s="307">
        <v>258.0</v>
      </c>
      <c r="U259" s="41"/>
      <c r="V259" s="41" t="s">
        <v>2686</v>
      </c>
      <c r="W259" s="307">
        <v>258.0</v>
      </c>
      <c r="X259" s="41"/>
      <c r="Y259" s="682" t="s">
        <v>922</v>
      </c>
      <c r="Z259" s="307">
        <v>258.0</v>
      </c>
      <c r="AA259" s="41"/>
      <c r="AB259" s="41" t="s">
        <v>271</v>
      </c>
      <c r="AC259" s="307">
        <v>258.0</v>
      </c>
      <c r="AD259" s="79"/>
      <c r="AE259" s="690" t="s">
        <v>2435</v>
      </c>
      <c r="AF259" s="307">
        <v>258.0</v>
      </c>
      <c r="AH259" s="687" t="s">
        <v>830</v>
      </c>
      <c r="AI259" s="307">
        <v>258.0</v>
      </c>
      <c r="AK259" s="687" t="s">
        <v>2719</v>
      </c>
      <c r="AL259" s="307">
        <v>258.0</v>
      </c>
      <c r="AN259" s="687" t="s">
        <v>2687</v>
      </c>
      <c r="AO259" s="307">
        <v>258.0</v>
      </c>
      <c r="AQ259" s="687" t="s">
        <v>921</v>
      </c>
      <c r="AR259" s="307">
        <v>258.0</v>
      </c>
      <c r="AT259" s="687" t="s">
        <v>2720</v>
      </c>
      <c r="AU259" s="307">
        <v>258.0</v>
      </c>
      <c r="AW259" s="687" t="s">
        <v>2720</v>
      </c>
      <c r="AX259" s="307">
        <v>258.0</v>
      </c>
      <c r="AZ259" s="687" t="s">
        <v>1105</v>
      </c>
      <c r="BA259" s="307">
        <v>258.0</v>
      </c>
      <c r="BC259" s="691" t="s">
        <v>1251</v>
      </c>
      <c r="BD259" s="307">
        <v>258.0</v>
      </c>
      <c r="BF259" s="687" t="s">
        <v>2363</v>
      </c>
      <c r="BG259" s="145">
        <v>258.0</v>
      </c>
      <c r="BI259" s="688" t="s">
        <v>2335</v>
      </c>
      <c r="BJ259" s="145">
        <v>258.0</v>
      </c>
      <c r="BL259" s="692" t="s">
        <v>2721</v>
      </c>
      <c r="BM259" s="216">
        <v>258.0</v>
      </c>
    </row>
    <row r="260">
      <c r="A260" s="41" t="s">
        <v>2257</v>
      </c>
      <c r="B260" s="307">
        <v>259.0</v>
      </c>
      <c r="C260" s="41"/>
      <c r="D260" s="41" t="s">
        <v>2193</v>
      </c>
      <c r="E260" s="307">
        <v>259.0</v>
      </c>
      <c r="F260" s="41"/>
      <c r="G260" s="41" t="s">
        <v>225</v>
      </c>
      <c r="H260" s="307">
        <v>259.0</v>
      </c>
      <c r="I260" s="41"/>
      <c r="J260" s="41" t="s">
        <v>236</v>
      </c>
      <c r="K260" s="307">
        <v>259.0</v>
      </c>
      <c r="L260" s="41"/>
      <c r="M260" s="41" t="s">
        <v>2194</v>
      </c>
      <c r="N260" s="307">
        <v>259.0</v>
      </c>
      <c r="O260" s="41"/>
      <c r="P260" s="41" t="s">
        <v>1080</v>
      </c>
      <c r="Q260" s="307">
        <v>259.0</v>
      </c>
      <c r="R260" s="41"/>
      <c r="S260" s="41" t="s">
        <v>2677</v>
      </c>
      <c r="T260" s="307">
        <v>259.0</v>
      </c>
      <c r="U260" s="41"/>
      <c r="V260" s="41" t="s">
        <v>922</v>
      </c>
      <c r="W260" s="307">
        <v>259.0</v>
      </c>
      <c r="X260" s="41"/>
      <c r="Y260" s="682" t="s">
        <v>1250</v>
      </c>
      <c r="Z260" s="307">
        <v>259.0</v>
      </c>
      <c r="AA260" s="41"/>
      <c r="AB260" s="41" t="s">
        <v>215</v>
      </c>
      <c r="AC260" s="307">
        <v>259.0</v>
      </c>
      <c r="AD260" s="79"/>
      <c r="AE260" s="690" t="s">
        <v>2414</v>
      </c>
      <c r="AF260" s="307">
        <v>259.0</v>
      </c>
      <c r="AH260" s="687" t="s">
        <v>2693</v>
      </c>
      <c r="AI260" s="307">
        <v>259.0</v>
      </c>
      <c r="AK260" s="687" t="s">
        <v>224</v>
      </c>
      <c r="AL260" s="307">
        <v>259.0</v>
      </c>
      <c r="AN260" s="687" t="s">
        <v>1243</v>
      </c>
      <c r="AO260" s="307">
        <v>259.0</v>
      </c>
      <c r="AQ260" s="687" t="s">
        <v>2310</v>
      </c>
      <c r="AR260" s="307">
        <v>259.0</v>
      </c>
      <c r="AT260" s="700" t="s">
        <v>947</v>
      </c>
      <c r="AU260" s="307">
        <v>259.0</v>
      </c>
      <c r="AW260" s="700" t="s">
        <v>947</v>
      </c>
      <c r="AX260" s="307">
        <v>259.0</v>
      </c>
      <c r="AZ260" s="687" t="s">
        <v>2720</v>
      </c>
      <c r="BA260" s="307">
        <v>259.0</v>
      </c>
      <c r="BC260" s="691" t="s">
        <v>1098</v>
      </c>
      <c r="BD260" s="307">
        <v>259.0</v>
      </c>
      <c r="BF260" s="687" t="s">
        <v>2335</v>
      </c>
      <c r="BG260" s="145">
        <v>259.0</v>
      </c>
      <c r="BI260" s="688" t="s">
        <v>228</v>
      </c>
      <c r="BJ260" s="145">
        <v>259.0</v>
      </c>
      <c r="BL260" s="692" t="s">
        <v>2722</v>
      </c>
      <c r="BM260" s="216">
        <v>259.0</v>
      </c>
    </row>
    <row r="261">
      <c r="A261" s="41" t="s">
        <v>2651</v>
      </c>
      <c r="B261" s="307">
        <v>260.0</v>
      </c>
      <c r="C261" s="41"/>
      <c r="D261" s="41" t="s">
        <v>2352</v>
      </c>
      <c r="E261" s="307">
        <v>260.0</v>
      </c>
      <c r="F261" s="41"/>
      <c r="G261" s="41" t="s">
        <v>847</v>
      </c>
      <c r="H261" s="307">
        <v>260.0</v>
      </c>
      <c r="I261" s="41"/>
      <c r="J261" s="41" t="s">
        <v>2655</v>
      </c>
      <c r="K261" s="307">
        <v>260.0</v>
      </c>
      <c r="L261" s="41"/>
      <c r="M261" s="41" t="s">
        <v>847</v>
      </c>
      <c r="N261" s="307">
        <v>260.0</v>
      </c>
      <c r="O261" s="41"/>
      <c r="P261" s="41" t="s">
        <v>2706</v>
      </c>
      <c r="Q261" s="307">
        <v>260.0</v>
      </c>
      <c r="R261" s="41"/>
      <c r="S261" s="41" t="s">
        <v>1136</v>
      </c>
      <c r="T261" s="307">
        <v>260.0</v>
      </c>
      <c r="U261" s="41"/>
      <c r="V261" s="41" t="s">
        <v>1250</v>
      </c>
      <c r="W261" s="307">
        <v>260.0</v>
      </c>
      <c r="X261" s="41"/>
      <c r="Y261" s="682" t="s">
        <v>2400</v>
      </c>
      <c r="Z261" s="307">
        <v>260.0</v>
      </c>
      <c r="AA261" s="41"/>
      <c r="AB261" s="41" t="s">
        <v>2435</v>
      </c>
      <c r="AC261" s="307">
        <v>260.0</v>
      </c>
      <c r="AD261" s="79"/>
      <c r="AE261" s="690" t="s">
        <v>2453</v>
      </c>
      <c r="AF261" s="307">
        <v>260.0</v>
      </c>
      <c r="AH261" s="687" t="s">
        <v>1251</v>
      </c>
      <c r="AI261" s="307">
        <v>260.0</v>
      </c>
      <c r="AK261" s="687" t="s">
        <v>2695</v>
      </c>
      <c r="AL261" s="307">
        <v>260.0</v>
      </c>
      <c r="AN261" s="687" t="s">
        <v>215</v>
      </c>
      <c r="AO261" s="307">
        <v>260.0</v>
      </c>
      <c r="AQ261" s="687" t="s">
        <v>228</v>
      </c>
      <c r="AR261" s="307">
        <v>260.0</v>
      </c>
      <c r="AT261" s="687" t="s">
        <v>2715</v>
      </c>
      <c r="AU261" s="307">
        <v>260.0</v>
      </c>
      <c r="AW261" s="687" t="s">
        <v>2715</v>
      </c>
      <c r="AX261" s="307">
        <v>260.0</v>
      </c>
      <c r="AZ261" s="700" t="s">
        <v>947</v>
      </c>
      <c r="BA261" s="307">
        <v>260.0</v>
      </c>
      <c r="BC261" s="691" t="s">
        <v>2363</v>
      </c>
      <c r="BD261" s="307">
        <v>260.0</v>
      </c>
      <c r="BF261" s="687" t="s">
        <v>2705</v>
      </c>
      <c r="BG261" s="145">
        <v>260.0</v>
      </c>
      <c r="BI261" s="688" t="s">
        <v>2717</v>
      </c>
      <c r="BJ261" s="145">
        <v>260.0</v>
      </c>
      <c r="BL261" s="692" t="s">
        <v>229</v>
      </c>
      <c r="BM261" s="216">
        <v>260.0</v>
      </c>
    </row>
    <row r="262">
      <c r="A262" s="41" t="s">
        <v>273</v>
      </c>
      <c r="B262" s="307">
        <v>261.0</v>
      </c>
      <c r="C262" s="41"/>
      <c r="D262" s="41" t="s">
        <v>2723</v>
      </c>
      <c r="E262" s="307">
        <v>261.0</v>
      </c>
      <c r="F262" s="41"/>
      <c r="G262" s="41" t="s">
        <v>241</v>
      </c>
      <c r="H262" s="307">
        <v>261.0</v>
      </c>
      <c r="I262" s="41"/>
      <c r="J262" s="41" t="s">
        <v>2658</v>
      </c>
      <c r="K262" s="307">
        <v>261.0</v>
      </c>
      <c r="L262" s="41"/>
      <c r="M262" s="41" t="s">
        <v>2366</v>
      </c>
      <c r="N262" s="307">
        <v>261.0</v>
      </c>
      <c r="O262" s="41"/>
      <c r="P262" s="41" t="s">
        <v>947</v>
      </c>
      <c r="Q262" s="307">
        <v>261.0</v>
      </c>
      <c r="R262" s="41"/>
      <c r="S262" s="41" t="s">
        <v>2667</v>
      </c>
      <c r="T262" s="307">
        <v>261.0</v>
      </c>
      <c r="U262" s="41"/>
      <c r="V262" s="41" t="s">
        <v>2400</v>
      </c>
      <c r="W262" s="307">
        <v>261.0</v>
      </c>
      <c r="X262" s="41"/>
      <c r="Y262" s="698" t="s">
        <v>229</v>
      </c>
      <c r="Z262" s="307">
        <v>261.0</v>
      </c>
      <c r="AA262" s="41"/>
      <c r="AB262" s="41" t="s">
        <v>2414</v>
      </c>
      <c r="AC262" s="307">
        <v>261.0</v>
      </c>
      <c r="AD262" s="79"/>
      <c r="AE262" s="690" t="s">
        <v>930</v>
      </c>
      <c r="AF262" s="307">
        <v>261.0</v>
      </c>
      <c r="AH262" s="687" t="s">
        <v>212</v>
      </c>
      <c r="AI262" s="307">
        <v>261.0</v>
      </c>
      <c r="AK262" s="687" t="s">
        <v>848</v>
      </c>
      <c r="AL262" s="307">
        <v>261.0</v>
      </c>
      <c r="AN262" s="687" t="s">
        <v>827</v>
      </c>
      <c r="AO262" s="307">
        <v>261.0</v>
      </c>
      <c r="AQ262" s="687" t="s">
        <v>2717</v>
      </c>
      <c r="AR262" s="307">
        <v>261.0</v>
      </c>
      <c r="AT262" s="687" t="s">
        <v>1086</v>
      </c>
      <c r="AU262" s="307">
        <v>261.0</v>
      </c>
      <c r="AW262" s="687" t="s">
        <v>1086</v>
      </c>
      <c r="AX262" s="307">
        <v>261.0</v>
      </c>
      <c r="AZ262" s="687" t="s">
        <v>2715</v>
      </c>
      <c r="BA262" s="307">
        <v>261.0</v>
      </c>
      <c r="BC262" s="691" t="s">
        <v>2335</v>
      </c>
      <c r="BD262" s="307">
        <v>261.0</v>
      </c>
      <c r="BF262" s="687" t="s">
        <v>2717</v>
      </c>
      <c r="BG262" s="145">
        <v>261.0</v>
      </c>
      <c r="BI262" s="688" t="s">
        <v>2718</v>
      </c>
      <c r="BJ262" s="145">
        <v>261.0</v>
      </c>
      <c r="BL262" s="692" t="s">
        <v>2435</v>
      </c>
      <c r="BM262" s="216">
        <v>261.0</v>
      </c>
    </row>
    <row r="263">
      <c r="A263" s="41" t="s">
        <v>214</v>
      </c>
      <c r="B263" s="307">
        <v>262.0</v>
      </c>
      <c r="C263" s="41"/>
      <c r="D263" s="41" t="s">
        <v>2686</v>
      </c>
      <c r="E263" s="307">
        <v>262.0</v>
      </c>
      <c r="F263" s="41"/>
      <c r="G263" s="41" t="s">
        <v>236</v>
      </c>
      <c r="H263" s="307">
        <v>262.0</v>
      </c>
      <c r="I263" s="41"/>
      <c r="J263" s="41" t="s">
        <v>80</v>
      </c>
      <c r="K263" s="307">
        <v>262.0</v>
      </c>
      <c r="L263" s="41"/>
      <c r="M263" s="41" t="s">
        <v>2705</v>
      </c>
      <c r="N263" s="307">
        <v>262.0</v>
      </c>
      <c r="O263" s="41"/>
      <c r="P263" s="41" t="s">
        <v>838</v>
      </c>
      <c r="Q263" s="307">
        <v>262.0</v>
      </c>
      <c r="R263" s="41"/>
      <c r="S263" s="41" t="s">
        <v>2449</v>
      </c>
      <c r="T263" s="307">
        <v>262.0</v>
      </c>
      <c r="U263" s="41"/>
      <c r="V263" s="41" t="s">
        <v>229</v>
      </c>
      <c r="W263" s="307">
        <v>262.0</v>
      </c>
      <c r="X263" s="41"/>
      <c r="Y263" s="698" t="s">
        <v>847</v>
      </c>
      <c r="Z263" s="307">
        <v>262.0</v>
      </c>
      <c r="AA263" s="41"/>
      <c r="AB263" s="41" t="s">
        <v>2487</v>
      </c>
      <c r="AC263" s="307">
        <v>262.0</v>
      </c>
      <c r="AD263" s="79"/>
      <c r="AE263" s="690" t="s">
        <v>2487</v>
      </c>
      <c r="AF263" s="307">
        <v>262.0</v>
      </c>
      <c r="AH263" s="687" t="s">
        <v>2706</v>
      </c>
      <c r="AI263" s="307">
        <v>262.0</v>
      </c>
      <c r="AK263" s="687" t="s">
        <v>2724</v>
      </c>
      <c r="AL263" s="307">
        <v>262.0</v>
      </c>
      <c r="AN263" s="687" t="s">
        <v>2414</v>
      </c>
      <c r="AO263" s="307">
        <v>262.0</v>
      </c>
      <c r="AQ263" s="687" t="s">
        <v>2720</v>
      </c>
      <c r="AR263" s="307">
        <v>262.0</v>
      </c>
      <c r="AT263" s="687" t="s">
        <v>945</v>
      </c>
      <c r="AU263" s="307">
        <v>262.0</v>
      </c>
      <c r="AW263" s="687" t="s">
        <v>945</v>
      </c>
      <c r="AX263" s="307">
        <v>262.0</v>
      </c>
      <c r="AZ263" s="687" t="s">
        <v>1086</v>
      </c>
      <c r="BA263" s="307">
        <v>262.0</v>
      </c>
      <c r="BC263" s="691" t="s">
        <v>2705</v>
      </c>
      <c r="BD263" s="307">
        <v>262.0</v>
      </c>
      <c r="BF263" s="687" t="s">
        <v>2718</v>
      </c>
      <c r="BG263" s="145">
        <v>262.0</v>
      </c>
      <c r="BI263" s="688" t="s">
        <v>2721</v>
      </c>
      <c r="BJ263" s="145">
        <v>262.0</v>
      </c>
      <c r="BL263" s="711" t="s">
        <v>947</v>
      </c>
      <c r="BM263" s="216">
        <v>262.0</v>
      </c>
    </row>
    <row r="264">
      <c r="A264" s="41" t="s">
        <v>89</v>
      </c>
      <c r="B264" s="307">
        <v>263.0</v>
      </c>
      <c r="C264" s="41"/>
      <c r="D264" s="41" t="s">
        <v>2700</v>
      </c>
      <c r="E264" s="307">
        <v>263.0</v>
      </c>
      <c r="F264" s="41"/>
      <c r="G264" s="41" t="s">
        <v>231</v>
      </c>
      <c r="H264" s="307">
        <v>263.0</v>
      </c>
      <c r="I264" s="41"/>
      <c r="J264" s="41" t="s">
        <v>2707</v>
      </c>
      <c r="K264" s="307">
        <v>263.0</v>
      </c>
      <c r="L264" s="41"/>
      <c r="M264" s="41" t="s">
        <v>2432</v>
      </c>
      <c r="N264" s="307">
        <v>263.0</v>
      </c>
      <c r="O264" s="41"/>
      <c r="P264" s="41" t="s">
        <v>2683</v>
      </c>
      <c r="Q264" s="307">
        <v>263.0</v>
      </c>
      <c r="R264" s="41"/>
      <c r="S264" s="41" t="s">
        <v>2699</v>
      </c>
      <c r="T264" s="307">
        <v>263.0</v>
      </c>
      <c r="U264" s="41"/>
      <c r="V264" s="41" t="s">
        <v>847</v>
      </c>
      <c r="W264" s="307">
        <v>263.0</v>
      </c>
      <c r="X264" s="41"/>
      <c r="Y264" s="682" t="s">
        <v>273</v>
      </c>
      <c r="Z264" s="307">
        <v>263.0</v>
      </c>
      <c r="AA264" s="41"/>
      <c r="AB264" s="41" t="s">
        <v>2310</v>
      </c>
      <c r="AC264" s="307">
        <v>263.0</v>
      </c>
      <c r="AD264" s="79"/>
      <c r="AE264" s="690" t="s">
        <v>2310</v>
      </c>
      <c r="AF264" s="307">
        <v>263.0</v>
      </c>
      <c r="AH264" s="687" t="s">
        <v>835</v>
      </c>
      <c r="AI264" s="307">
        <v>263.0</v>
      </c>
      <c r="AK264" s="687" t="s">
        <v>2257</v>
      </c>
      <c r="AL264" s="307">
        <v>263.0</v>
      </c>
      <c r="AN264" s="687" t="s">
        <v>2323</v>
      </c>
      <c r="AO264" s="307">
        <v>263.0</v>
      </c>
      <c r="AQ264" s="687" t="s">
        <v>2715</v>
      </c>
      <c r="AR264" s="307">
        <v>263.0</v>
      </c>
      <c r="AT264" s="687" t="s">
        <v>2708</v>
      </c>
      <c r="AU264" s="307">
        <v>263.0</v>
      </c>
      <c r="AW264" s="687" t="s">
        <v>2708</v>
      </c>
      <c r="AX264" s="307">
        <v>263.0</v>
      </c>
      <c r="AZ264" s="687" t="s">
        <v>945</v>
      </c>
      <c r="BA264" s="307">
        <v>263.0</v>
      </c>
      <c r="BC264" s="691" t="s">
        <v>2717</v>
      </c>
      <c r="BD264" s="307">
        <v>263.0</v>
      </c>
      <c r="BF264" s="687" t="s">
        <v>230</v>
      </c>
      <c r="BG264" s="145">
        <v>263.0</v>
      </c>
      <c r="BI264" s="688" t="s">
        <v>230</v>
      </c>
      <c r="BJ264" s="145">
        <v>263.0</v>
      </c>
      <c r="BL264" s="692" t="s">
        <v>2447</v>
      </c>
      <c r="BM264" s="216">
        <v>263.0</v>
      </c>
    </row>
    <row r="265">
      <c r="A265" s="41" t="s">
        <v>816</v>
      </c>
      <c r="B265" s="307">
        <v>264.0</v>
      </c>
      <c r="C265" s="41"/>
      <c r="D265" s="41" t="s">
        <v>2402</v>
      </c>
      <c r="E265" s="307">
        <v>264.0</v>
      </c>
      <c r="F265" s="41"/>
      <c r="G265" s="41" t="s">
        <v>2399</v>
      </c>
      <c r="H265" s="307">
        <v>264.0</v>
      </c>
      <c r="I265" s="41"/>
      <c r="J265" s="41" t="s">
        <v>74</v>
      </c>
      <c r="K265" s="307">
        <v>264.0</v>
      </c>
      <c r="L265" s="41"/>
      <c r="M265" s="41" t="s">
        <v>273</v>
      </c>
      <c r="N265" s="307">
        <v>264.0</v>
      </c>
      <c r="O265" s="41"/>
      <c r="P265" s="41" t="s">
        <v>2699</v>
      </c>
      <c r="Q265" s="307">
        <v>264.0</v>
      </c>
      <c r="R265" s="41"/>
      <c r="S265" s="41" t="s">
        <v>2668</v>
      </c>
      <c r="T265" s="307">
        <v>264.0</v>
      </c>
      <c r="U265" s="41"/>
      <c r="V265" s="41" t="s">
        <v>273</v>
      </c>
      <c r="W265" s="307">
        <v>264.0</v>
      </c>
      <c r="X265" s="41"/>
      <c r="Y265" s="682" t="s">
        <v>215</v>
      </c>
      <c r="Z265" s="307">
        <v>264.0</v>
      </c>
      <c r="AA265" s="41"/>
      <c r="AB265" s="41" t="s">
        <v>2257</v>
      </c>
      <c r="AC265" s="307">
        <v>264.0</v>
      </c>
      <c r="AD265" s="79"/>
      <c r="AE265" s="690" t="s">
        <v>2257</v>
      </c>
      <c r="AF265" s="307">
        <v>264.0</v>
      </c>
      <c r="AH265" s="687" t="s">
        <v>2414</v>
      </c>
      <c r="AI265" s="307">
        <v>264.0</v>
      </c>
      <c r="AK265" s="687" t="s">
        <v>939</v>
      </c>
      <c r="AL265" s="307">
        <v>264.0</v>
      </c>
      <c r="AN265" s="687" t="s">
        <v>1249</v>
      </c>
      <c r="AO265" s="307">
        <v>264.0</v>
      </c>
      <c r="AQ265" s="687" t="s">
        <v>1086</v>
      </c>
      <c r="AR265" s="307">
        <v>264.0</v>
      </c>
      <c r="AT265" s="687" t="s">
        <v>2714</v>
      </c>
      <c r="AU265" s="307">
        <v>264.0</v>
      </c>
      <c r="AW265" s="687" t="s">
        <v>2714</v>
      </c>
      <c r="AX265" s="307">
        <v>264.0</v>
      </c>
      <c r="AZ265" s="687" t="s">
        <v>2708</v>
      </c>
      <c r="BA265" s="307">
        <v>264.0</v>
      </c>
      <c r="BC265" s="691" t="s">
        <v>2718</v>
      </c>
      <c r="BD265" s="307">
        <v>264.0</v>
      </c>
      <c r="BF265" s="687" t="s">
        <v>2685</v>
      </c>
      <c r="BG265" s="145">
        <v>264.0</v>
      </c>
      <c r="BI265" s="688" t="s">
        <v>2722</v>
      </c>
      <c r="BJ265" s="145">
        <v>264.0</v>
      </c>
      <c r="BL265" s="692" t="s">
        <v>2643</v>
      </c>
      <c r="BM265" s="216">
        <v>264.0</v>
      </c>
    </row>
    <row r="266">
      <c r="A266" s="41" t="s">
        <v>2668</v>
      </c>
      <c r="B266" s="307">
        <v>265.0</v>
      </c>
      <c r="C266" s="41"/>
      <c r="D266" s="41" t="s">
        <v>2681</v>
      </c>
      <c r="E266" s="307">
        <v>265.0</v>
      </c>
      <c r="F266" s="41"/>
      <c r="G266" s="41" t="s">
        <v>2411</v>
      </c>
      <c r="H266" s="307">
        <v>265.0</v>
      </c>
      <c r="I266" s="41"/>
      <c r="J266" s="41" t="s">
        <v>2699</v>
      </c>
      <c r="K266" s="307">
        <v>265.0</v>
      </c>
      <c r="L266" s="41"/>
      <c r="M266" s="41" t="s">
        <v>2452</v>
      </c>
      <c r="N266" s="307">
        <v>265.0</v>
      </c>
      <c r="O266" s="41"/>
      <c r="P266" s="41" t="s">
        <v>2676</v>
      </c>
      <c r="Q266" s="307">
        <v>265.0</v>
      </c>
      <c r="R266" s="41"/>
      <c r="S266" s="41" t="s">
        <v>1126</v>
      </c>
      <c r="T266" s="307">
        <v>265.0</v>
      </c>
      <c r="U266" s="41"/>
      <c r="V266" s="41" t="s">
        <v>215</v>
      </c>
      <c r="W266" s="307">
        <v>265.0</v>
      </c>
      <c r="X266" s="41"/>
      <c r="Y266" s="698" t="s">
        <v>2435</v>
      </c>
      <c r="Z266" s="307">
        <v>265.0</v>
      </c>
      <c r="AA266" s="41"/>
      <c r="AB266" s="41" t="s">
        <v>905</v>
      </c>
      <c r="AC266" s="307">
        <v>265.0</v>
      </c>
      <c r="AD266" s="79"/>
      <c r="AE266" s="690" t="s">
        <v>905</v>
      </c>
      <c r="AF266" s="307">
        <v>265.0</v>
      </c>
      <c r="AH266" s="687" t="s">
        <v>2442</v>
      </c>
      <c r="AI266" s="307">
        <v>265.0</v>
      </c>
      <c r="AK266" s="687" t="s">
        <v>846</v>
      </c>
      <c r="AL266" s="307">
        <v>265.0</v>
      </c>
      <c r="AN266" s="687" t="s">
        <v>921</v>
      </c>
      <c r="AO266" s="307">
        <v>265.0</v>
      </c>
      <c r="AQ266" s="687" t="s">
        <v>945</v>
      </c>
      <c r="AR266" s="307">
        <v>265.0</v>
      </c>
      <c r="AT266" s="687" t="s">
        <v>2442</v>
      </c>
      <c r="AU266" s="307">
        <v>265.0</v>
      </c>
      <c r="AW266" s="687" t="s">
        <v>1251</v>
      </c>
      <c r="AX266" s="307">
        <v>265.0</v>
      </c>
      <c r="AZ266" s="687" t="s">
        <v>2714</v>
      </c>
      <c r="BA266" s="307">
        <v>265.0</v>
      </c>
      <c r="BC266" s="691" t="s">
        <v>230</v>
      </c>
      <c r="BD266" s="307">
        <v>265.0</v>
      </c>
      <c r="BF266" s="687" t="s">
        <v>2444</v>
      </c>
      <c r="BG266" s="145">
        <v>265.0</v>
      </c>
      <c r="BI266" s="688" t="s">
        <v>229</v>
      </c>
      <c r="BJ266" s="145">
        <v>265.0</v>
      </c>
      <c r="BL266" s="692" t="s">
        <v>230</v>
      </c>
      <c r="BM266" s="216">
        <v>265.0</v>
      </c>
    </row>
    <row r="267">
      <c r="A267" s="41" t="s">
        <v>2693</v>
      </c>
      <c r="B267" s="307">
        <v>266.0</v>
      </c>
      <c r="C267" s="41"/>
      <c r="D267" s="41" t="s">
        <v>2697</v>
      </c>
      <c r="E267" s="307">
        <v>266.0</v>
      </c>
      <c r="F267" s="41"/>
      <c r="G267" s="41" t="s">
        <v>2414</v>
      </c>
      <c r="H267" s="307">
        <v>266.0</v>
      </c>
      <c r="I267" s="41"/>
      <c r="J267" s="41" t="s">
        <v>2206</v>
      </c>
      <c r="K267" s="307">
        <v>266.0</v>
      </c>
      <c r="L267" s="41"/>
      <c r="M267" s="41" t="s">
        <v>2407</v>
      </c>
      <c r="N267" s="307">
        <v>266.0</v>
      </c>
      <c r="O267" s="41"/>
      <c r="P267" s="41" t="s">
        <v>2677</v>
      </c>
      <c r="Q267" s="307">
        <v>266.0</v>
      </c>
      <c r="R267" s="41"/>
      <c r="S267" s="41" t="s">
        <v>1113</v>
      </c>
      <c r="T267" s="307">
        <v>266.0</v>
      </c>
      <c r="U267" s="41"/>
      <c r="V267" s="41" t="s">
        <v>2435</v>
      </c>
      <c r="W267" s="307">
        <v>266.0</v>
      </c>
      <c r="X267" s="41"/>
      <c r="Y267" s="682" t="s">
        <v>2414</v>
      </c>
      <c r="Z267" s="307">
        <v>266.0</v>
      </c>
      <c r="AA267" s="41"/>
      <c r="AB267" s="41" t="s">
        <v>930</v>
      </c>
      <c r="AC267" s="307">
        <v>266.0</v>
      </c>
      <c r="AD267" s="79"/>
      <c r="AE267" s="690" t="s">
        <v>2704</v>
      </c>
      <c r="AF267" s="307">
        <v>266.0</v>
      </c>
      <c r="AH267" s="687" t="s">
        <v>2487</v>
      </c>
      <c r="AI267" s="307">
        <v>266.0</v>
      </c>
      <c r="AK267" s="687" t="s">
        <v>263</v>
      </c>
      <c r="AL267" s="307">
        <v>266.0</v>
      </c>
      <c r="AN267" s="687" t="s">
        <v>2310</v>
      </c>
      <c r="AO267" s="307">
        <v>266.0</v>
      </c>
      <c r="AQ267" s="687" t="s">
        <v>2708</v>
      </c>
      <c r="AR267" s="307">
        <v>266.0</v>
      </c>
      <c r="AT267" s="687" t="s">
        <v>1251</v>
      </c>
      <c r="AU267" s="307">
        <v>266.0</v>
      </c>
      <c r="AW267" s="687" t="s">
        <v>1098</v>
      </c>
      <c r="AX267" s="307">
        <v>266.0</v>
      </c>
      <c r="AZ267" s="687" t="s">
        <v>1251</v>
      </c>
      <c r="BA267" s="307">
        <v>266.0</v>
      </c>
      <c r="BC267" s="691" t="s">
        <v>2685</v>
      </c>
      <c r="BD267" s="307">
        <v>266.0</v>
      </c>
      <c r="BF267" s="687" t="s">
        <v>847</v>
      </c>
      <c r="BG267" s="145">
        <v>266.0</v>
      </c>
      <c r="BI267" s="688" t="s">
        <v>2710</v>
      </c>
      <c r="BJ267" s="145">
        <v>266.0</v>
      </c>
      <c r="BL267" s="692" t="s">
        <v>2332</v>
      </c>
      <c r="BM267" s="216">
        <v>266.0</v>
      </c>
    </row>
    <row r="268">
      <c r="A268" s="41" t="s">
        <v>2399</v>
      </c>
      <c r="B268" s="307">
        <v>267.0</v>
      </c>
      <c r="C268" s="41"/>
      <c r="D268" s="41" t="s">
        <v>2693</v>
      </c>
      <c r="E268" s="307">
        <v>267.0</v>
      </c>
      <c r="F268" s="41"/>
      <c r="G268" s="41" t="s">
        <v>2292</v>
      </c>
      <c r="H268" s="307">
        <v>267.0</v>
      </c>
      <c r="I268" s="41"/>
      <c r="J268" s="41" t="s">
        <v>2694</v>
      </c>
      <c r="K268" s="307">
        <v>267.0</v>
      </c>
      <c r="L268" s="41"/>
      <c r="M268" s="41" t="s">
        <v>2439</v>
      </c>
      <c r="N268" s="307">
        <v>267.0</v>
      </c>
      <c r="O268" s="41"/>
      <c r="P268" s="41" t="s">
        <v>1136</v>
      </c>
      <c r="Q268" s="307">
        <v>267.0</v>
      </c>
      <c r="R268" s="41"/>
      <c r="S268" s="41" t="s">
        <v>2440</v>
      </c>
      <c r="T268" s="307">
        <v>267.0</v>
      </c>
      <c r="U268" s="41"/>
      <c r="V268" s="41" t="s">
        <v>2487</v>
      </c>
      <c r="W268" s="307">
        <v>267.0</v>
      </c>
      <c r="X268" s="41"/>
      <c r="Y268" s="682" t="s">
        <v>2487</v>
      </c>
      <c r="Z268" s="307">
        <v>267.0</v>
      </c>
      <c r="AA268" s="41"/>
      <c r="AB268" s="41" t="s">
        <v>2704</v>
      </c>
      <c r="AC268" s="307">
        <v>267.0</v>
      </c>
      <c r="AD268" s="79"/>
      <c r="AE268" s="690" t="s">
        <v>228</v>
      </c>
      <c r="AF268" s="307">
        <v>267.0</v>
      </c>
      <c r="AH268" s="687" t="s">
        <v>1041</v>
      </c>
      <c r="AI268" s="307">
        <v>267.0</v>
      </c>
      <c r="AK268" s="687" t="s">
        <v>2703</v>
      </c>
      <c r="AL268" s="307">
        <v>267.0</v>
      </c>
      <c r="AN268" s="687" t="s">
        <v>830</v>
      </c>
      <c r="AO268" s="307">
        <v>267.0</v>
      </c>
      <c r="AQ268" s="687" t="s">
        <v>2442</v>
      </c>
      <c r="AR268" s="307">
        <v>267.0</v>
      </c>
      <c r="AT268" s="687" t="s">
        <v>1098</v>
      </c>
      <c r="AU268" s="307">
        <v>267.0</v>
      </c>
      <c r="AW268" s="687" t="s">
        <v>1070</v>
      </c>
      <c r="AX268" s="307">
        <v>267.0</v>
      </c>
      <c r="AZ268" s="687" t="s">
        <v>1098</v>
      </c>
      <c r="BA268" s="307">
        <v>267.0</v>
      </c>
      <c r="BC268" s="691" t="s">
        <v>2704</v>
      </c>
      <c r="BD268" s="307">
        <v>267.0</v>
      </c>
      <c r="BF268" s="687" t="s">
        <v>229</v>
      </c>
      <c r="BG268" s="145">
        <v>267.0</v>
      </c>
      <c r="BI268" s="688" t="s">
        <v>2435</v>
      </c>
      <c r="BJ268" s="145">
        <v>267.0</v>
      </c>
      <c r="BL268" s="692" t="s">
        <v>1113</v>
      </c>
      <c r="BM268" s="216">
        <v>267.0</v>
      </c>
    </row>
    <row r="269">
      <c r="A269" s="41" t="s">
        <v>2418</v>
      </c>
      <c r="B269" s="307">
        <v>268.0</v>
      </c>
      <c r="C269" s="41"/>
      <c r="D269" s="41" t="s">
        <v>2704</v>
      </c>
      <c r="E269" s="307">
        <v>268.0</v>
      </c>
      <c r="F269" s="41"/>
      <c r="G269" s="41" t="s">
        <v>2655</v>
      </c>
      <c r="H269" s="307">
        <v>268.0</v>
      </c>
      <c r="I269" s="41"/>
      <c r="J269" s="41" t="s">
        <v>2419</v>
      </c>
      <c r="K269" s="307">
        <v>268.0</v>
      </c>
      <c r="L269" s="41"/>
      <c r="M269" s="41" t="s">
        <v>241</v>
      </c>
      <c r="N269" s="307">
        <v>268.0</v>
      </c>
      <c r="O269" s="41"/>
      <c r="P269" s="41" t="s">
        <v>2667</v>
      </c>
      <c r="Q269" s="307">
        <v>268.0</v>
      </c>
      <c r="R269" s="41"/>
      <c r="S269" s="41" t="s">
        <v>2284</v>
      </c>
      <c r="T269" s="307">
        <v>268.0</v>
      </c>
      <c r="U269" s="41"/>
      <c r="V269" s="41" t="s">
        <v>2310</v>
      </c>
      <c r="W269" s="307">
        <v>268.0</v>
      </c>
      <c r="X269" s="41"/>
      <c r="Y269" s="682" t="s">
        <v>2310</v>
      </c>
      <c r="Z269" s="307">
        <v>268.0</v>
      </c>
      <c r="AA269" s="41"/>
      <c r="AB269" s="41" t="s">
        <v>228</v>
      </c>
      <c r="AC269" s="307">
        <v>268.0</v>
      </c>
      <c r="AD269" s="79"/>
      <c r="AE269" s="690" t="s">
        <v>230</v>
      </c>
      <c r="AF269" s="307">
        <v>268.0</v>
      </c>
      <c r="AH269" s="687" t="s">
        <v>1113</v>
      </c>
      <c r="AI269" s="307">
        <v>268.0</v>
      </c>
      <c r="AK269" s="687" t="s">
        <v>830</v>
      </c>
      <c r="AL269" s="307">
        <v>268.0</v>
      </c>
      <c r="AN269" s="687" t="s">
        <v>2717</v>
      </c>
      <c r="AO269" s="307">
        <v>268.0</v>
      </c>
      <c r="AQ269" s="687" t="s">
        <v>847</v>
      </c>
      <c r="AR269" s="307">
        <v>268.0</v>
      </c>
      <c r="AT269" s="687" t="s">
        <v>2335</v>
      </c>
      <c r="AU269" s="307">
        <v>268.0</v>
      </c>
      <c r="AW269" s="687" t="s">
        <v>2335</v>
      </c>
      <c r="AX269" s="307">
        <v>268.0</v>
      </c>
      <c r="AZ269" s="687" t="s">
        <v>1070</v>
      </c>
      <c r="BA269" s="307">
        <v>268.0</v>
      </c>
      <c r="BC269" s="691" t="s">
        <v>2725</v>
      </c>
      <c r="BD269" s="307">
        <v>268.0</v>
      </c>
      <c r="BF269" s="687" t="s">
        <v>945</v>
      </c>
      <c r="BG269" s="145">
        <v>268.0</v>
      </c>
      <c r="BI269" s="712" t="s">
        <v>947</v>
      </c>
      <c r="BJ269" s="145">
        <v>268.0</v>
      </c>
      <c r="BL269" s="692" t="s">
        <v>2726</v>
      </c>
      <c r="BM269" s="216">
        <v>268.0</v>
      </c>
    </row>
    <row r="270">
      <c r="A270" s="41" t="s">
        <v>2273</v>
      </c>
      <c r="B270" s="307">
        <v>269.0</v>
      </c>
      <c r="C270" s="41"/>
      <c r="D270" s="41" t="s">
        <v>225</v>
      </c>
      <c r="E270" s="307">
        <v>269.0</v>
      </c>
      <c r="F270" s="41"/>
      <c r="G270" s="41" t="s">
        <v>214</v>
      </c>
      <c r="H270" s="307">
        <v>269.0</v>
      </c>
      <c r="I270" s="41"/>
      <c r="J270" s="41" t="s">
        <v>223</v>
      </c>
      <c r="K270" s="307">
        <v>269.0</v>
      </c>
      <c r="L270" s="41"/>
      <c r="M270" s="41" t="s">
        <v>816</v>
      </c>
      <c r="N270" s="307">
        <v>269.0</v>
      </c>
      <c r="O270" s="41"/>
      <c r="P270" s="41" t="s">
        <v>2449</v>
      </c>
      <c r="Q270" s="307">
        <v>269.0</v>
      </c>
      <c r="R270" s="41"/>
      <c r="S270" s="41" t="s">
        <v>230</v>
      </c>
      <c r="T270" s="307">
        <v>269.0</v>
      </c>
      <c r="U270" s="41"/>
      <c r="V270" s="41" t="s">
        <v>2658</v>
      </c>
      <c r="W270" s="307">
        <v>269.0</v>
      </c>
      <c r="X270" s="41"/>
      <c r="Y270" s="682" t="s">
        <v>2257</v>
      </c>
      <c r="Z270" s="307">
        <v>269.0</v>
      </c>
      <c r="AA270" s="41"/>
      <c r="AB270" s="41" t="s">
        <v>230</v>
      </c>
      <c r="AC270" s="307">
        <v>269.0</v>
      </c>
      <c r="AD270" s="79"/>
      <c r="AE270" s="690" t="s">
        <v>1243</v>
      </c>
      <c r="AF270" s="307">
        <v>269.0</v>
      </c>
      <c r="AH270" s="687" t="s">
        <v>2310</v>
      </c>
      <c r="AI270" s="307">
        <v>269.0</v>
      </c>
      <c r="AK270" s="687" t="s">
        <v>2705</v>
      </c>
      <c r="AL270" s="307">
        <v>269.0</v>
      </c>
      <c r="AN270" s="687" t="s">
        <v>2720</v>
      </c>
      <c r="AO270" s="307">
        <v>269.0</v>
      </c>
      <c r="AQ270" s="687" t="s">
        <v>2714</v>
      </c>
      <c r="AR270" s="307">
        <v>269.0</v>
      </c>
      <c r="AT270" s="687" t="s">
        <v>2705</v>
      </c>
      <c r="AU270" s="307">
        <v>269.0</v>
      </c>
      <c r="AW270" s="687" t="s">
        <v>2705</v>
      </c>
      <c r="AX270" s="307">
        <v>269.0</v>
      </c>
      <c r="AZ270" s="687" t="s">
        <v>2335</v>
      </c>
      <c r="BA270" s="307">
        <v>269.0</v>
      </c>
      <c r="BC270" s="691" t="s">
        <v>847</v>
      </c>
      <c r="BD270" s="307">
        <v>269.0</v>
      </c>
      <c r="BF270" s="687" t="s">
        <v>2702</v>
      </c>
      <c r="BG270" s="145">
        <v>269.0</v>
      </c>
      <c r="BI270" s="688" t="s">
        <v>2447</v>
      </c>
      <c r="BJ270" s="145">
        <v>269.0</v>
      </c>
      <c r="BL270" s="692" t="s">
        <v>852</v>
      </c>
      <c r="BM270" s="216">
        <v>269.0</v>
      </c>
    </row>
    <row r="271">
      <c r="A271" s="41" t="s">
        <v>830</v>
      </c>
      <c r="B271" s="307">
        <v>270.0</v>
      </c>
      <c r="C271" s="41"/>
      <c r="D271" s="41" t="s">
        <v>847</v>
      </c>
      <c r="E271" s="307">
        <v>270.0</v>
      </c>
      <c r="F271" s="41"/>
      <c r="G271" s="41" t="s">
        <v>916</v>
      </c>
      <c r="H271" s="307">
        <v>270.0</v>
      </c>
      <c r="I271" s="41"/>
      <c r="J271" s="41" t="s">
        <v>1005</v>
      </c>
      <c r="K271" s="307">
        <v>270.0</v>
      </c>
      <c r="L271" s="41"/>
      <c r="M271" s="41" t="s">
        <v>928</v>
      </c>
      <c r="N271" s="307">
        <v>270.0</v>
      </c>
      <c r="O271" s="41"/>
      <c r="P271" s="41" t="s">
        <v>2668</v>
      </c>
      <c r="Q271" s="307">
        <v>270.0</v>
      </c>
      <c r="R271" s="41"/>
      <c r="S271" s="41" t="s">
        <v>922</v>
      </c>
      <c r="T271" s="307">
        <v>270.0</v>
      </c>
      <c r="U271" s="41"/>
      <c r="V271" s="41" t="s">
        <v>225</v>
      </c>
      <c r="W271" s="307">
        <v>270.0</v>
      </c>
      <c r="X271" s="41"/>
      <c r="Y271" s="682" t="s">
        <v>905</v>
      </c>
      <c r="Z271" s="307">
        <v>270.0</v>
      </c>
      <c r="AA271" s="41"/>
      <c r="AB271" s="41" t="s">
        <v>2727</v>
      </c>
      <c r="AC271" s="307">
        <v>270.0</v>
      </c>
      <c r="AD271" s="79"/>
      <c r="AE271" s="690" t="s">
        <v>2716</v>
      </c>
      <c r="AF271" s="307">
        <v>270.0</v>
      </c>
      <c r="AH271" s="687" t="s">
        <v>2428</v>
      </c>
      <c r="AI271" s="307">
        <v>270.0</v>
      </c>
      <c r="AK271" s="687" t="s">
        <v>252</v>
      </c>
      <c r="AL271" s="307">
        <v>270.0</v>
      </c>
      <c r="AN271" s="687" t="s">
        <v>2715</v>
      </c>
      <c r="AO271" s="307">
        <v>270.0</v>
      </c>
      <c r="AQ271" s="687" t="s">
        <v>1098</v>
      </c>
      <c r="AR271" s="307">
        <v>270.0</v>
      </c>
      <c r="AT271" s="687" t="s">
        <v>2718</v>
      </c>
      <c r="AU271" s="307">
        <v>270.0</v>
      </c>
      <c r="AW271" s="687" t="s">
        <v>2718</v>
      </c>
      <c r="AX271" s="307">
        <v>270.0</v>
      </c>
      <c r="AZ271" s="687" t="s">
        <v>2705</v>
      </c>
      <c r="BA271" s="307">
        <v>270.0</v>
      </c>
      <c r="BC271" s="691" t="s">
        <v>945</v>
      </c>
      <c r="BD271" s="307">
        <v>270.0</v>
      </c>
      <c r="BF271" s="687" t="s">
        <v>2447</v>
      </c>
      <c r="BG271" s="145">
        <v>270.0</v>
      </c>
      <c r="BI271" s="688" t="s">
        <v>2643</v>
      </c>
      <c r="BJ271" s="145">
        <v>270.0</v>
      </c>
      <c r="BL271" s="692" t="s">
        <v>2421</v>
      </c>
      <c r="BM271" s="216">
        <v>270.0</v>
      </c>
    </row>
    <row r="272">
      <c r="A272" s="41" t="s">
        <v>71</v>
      </c>
      <c r="B272" s="307">
        <v>271.0</v>
      </c>
      <c r="C272" s="41"/>
      <c r="D272" s="41" t="s">
        <v>2684</v>
      </c>
      <c r="E272" s="307">
        <v>271.0</v>
      </c>
      <c r="F272" s="41"/>
      <c r="G272" s="41" t="s">
        <v>74</v>
      </c>
      <c r="H272" s="307">
        <v>271.0</v>
      </c>
      <c r="I272" s="41"/>
      <c r="J272" s="41" t="s">
        <v>2693</v>
      </c>
      <c r="K272" s="307">
        <v>271.0</v>
      </c>
      <c r="L272" s="41"/>
      <c r="M272" s="41" t="s">
        <v>235</v>
      </c>
      <c r="N272" s="307">
        <v>271.0</v>
      </c>
      <c r="O272" s="41"/>
      <c r="P272" s="41" t="s">
        <v>2653</v>
      </c>
      <c r="Q272" s="307">
        <v>271.0</v>
      </c>
      <c r="R272" s="41"/>
      <c r="S272" s="41" t="s">
        <v>1250</v>
      </c>
      <c r="T272" s="307">
        <v>271.0</v>
      </c>
      <c r="U272" s="41"/>
      <c r="V272" s="41" t="s">
        <v>2257</v>
      </c>
      <c r="W272" s="307">
        <v>271.0</v>
      </c>
      <c r="X272" s="41"/>
      <c r="Y272" s="698" t="s">
        <v>930</v>
      </c>
      <c r="Z272" s="307">
        <v>271.0</v>
      </c>
      <c r="AA272" s="41"/>
      <c r="AB272" s="41" t="s">
        <v>1243</v>
      </c>
      <c r="AC272" s="307">
        <v>271.0</v>
      </c>
      <c r="AD272" s="79"/>
      <c r="AE272" s="690" t="s">
        <v>2401</v>
      </c>
      <c r="AF272" s="307">
        <v>271.0</v>
      </c>
      <c r="AH272" s="687" t="s">
        <v>2421</v>
      </c>
      <c r="AI272" s="307">
        <v>271.0</v>
      </c>
      <c r="AK272" s="687" t="s">
        <v>1048</v>
      </c>
      <c r="AL272" s="307">
        <v>271.0</v>
      </c>
      <c r="AN272" s="687" t="s">
        <v>1086</v>
      </c>
      <c r="AO272" s="307">
        <v>271.0</v>
      </c>
      <c r="AQ272" s="687" t="s">
        <v>2335</v>
      </c>
      <c r="AR272" s="307">
        <v>271.0</v>
      </c>
      <c r="AT272" s="687" t="s">
        <v>1247</v>
      </c>
      <c r="AU272" s="307">
        <v>271.0</v>
      </c>
      <c r="AW272" s="687" t="s">
        <v>1247</v>
      </c>
      <c r="AX272" s="307">
        <v>271.0</v>
      </c>
      <c r="AZ272" s="687" t="s">
        <v>2718</v>
      </c>
      <c r="BA272" s="307">
        <v>271.0</v>
      </c>
      <c r="BC272" s="691" t="s">
        <v>2702</v>
      </c>
      <c r="BD272" s="307">
        <v>271.0</v>
      </c>
      <c r="BF272" s="687" t="s">
        <v>2643</v>
      </c>
      <c r="BG272" s="145">
        <v>271.0</v>
      </c>
      <c r="BI272" s="688" t="s">
        <v>1113</v>
      </c>
      <c r="BJ272" s="145">
        <v>271.0</v>
      </c>
      <c r="BL272" s="692" t="s">
        <v>2728</v>
      </c>
      <c r="BM272" s="216">
        <v>271.0</v>
      </c>
    </row>
    <row r="273">
      <c r="A273" s="41" t="s">
        <v>2707</v>
      </c>
      <c r="B273" s="307">
        <v>272.0</v>
      </c>
      <c r="C273" s="41"/>
      <c r="D273" s="41" t="s">
        <v>2412</v>
      </c>
      <c r="E273" s="307">
        <v>272.0</v>
      </c>
      <c r="F273" s="41"/>
      <c r="G273" s="41" t="s">
        <v>2665</v>
      </c>
      <c r="H273" s="307">
        <v>272.0</v>
      </c>
      <c r="I273" s="41"/>
      <c r="J273" s="41" t="s">
        <v>916</v>
      </c>
      <c r="K273" s="307">
        <v>272.0</v>
      </c>
      <c r="L273" s="41"/>
      <c r="M273" s="41" t="s">
        <v>2385</v>
      </c>
      <c r="N273" s="307">
        <v>272.0</v>
      </c>
      <c r="O273" s="41"/>
      <c r="P273" s="41" t="s">
        <v>1126</v>
      </c>
      <c r="Q273" s="307">
        <v>272.0</v>
      </c>
      <c r="R273" s="41"/>
      <c r="S273" s="41" t="s">
        <v>2400</v>
      </c>
      <c r="T273" s="307">
        <v>272.0</v>
      </c>
      <c r="U273" s="41"/>
      <c r="V273" s="41" t="s">
        <v>905</v>
      </c>
      <c r="W273" s="307">
        <v>272.0</v>
      </c>
      <c r="X273" s="41"/>
      <c r="Y273" s="698" t="s">
        <v>2704</v>
      </c>
      <c r="Z273" s="307">
        <v>272.0</v>
      </c>
      <c r="AA273" s="41"/>
      <c r="AB273" s="41" t="s">
        <v>2716</v>
      </c>
      <c r="AC273" s="307">
        <v>272.0</v>
      </c>
      <c r="AD273" s="79"/>
      <c r="AE273" s="690" t="s">
        <v>856</v>
      </c>
      <c r="AF273" s="307">
        <v>272.0</v>
      </c>
      <c r="AH273" s="687" t="s">
        <v>250</v>
      </c>
      <c r="AI273" s="307">
        <v>272.0</v>
      </c>
      <c r="AK273" s="687" t="s">
        <v>1041</v>
      </c>
      <c r="AL273" s="307">
        <v>272.0</v>
      </c>
      <c r="AN273" s="687" t="s">
        <v>2397</v>
      </c>
      <c r="AO273" s="307">
        <v>272.0</v>
      </c>
      <c r="AQ273" s="687" t="s">
        <v>2705</v>
      </c>
      <c r="AR273" s="307">
        <v>272.0</v>
      </c>
      <c r="AT273" s="687" t="s">
        <v>230</v>
      </c>
      <c r="AU273" s="307">
        <v>272.0</v>
      </c>
      <c r="AW273" s="687" t="s">
        <v>230</v>
      </c>
      <c r="AX273" s="307">
        <v>272.0</v>
      </c>
      <c r="AZ273" s="687" t="s">
        <v>1247</v>
      </c>
      <c r="BA273" s="307">
        <v>272.0</v>
      </c>
      <c r="BC273" s="691" t="s">
        <v>2447</v>
      </c>
      <c r="BD273" s="307">
        <v>272.0</v>
      </c>
      <c r="BF273" s="687" t="s">
        <v>1070</v>
      </c>
      <c r="BG273" s="145">
        <v>272.0</v>
      </c>
      <c r="BI273" s="688" t="s">
        <v>2726</v>
      </c>
      <c r="BJ273" s="145">
        <v>272.0</v>
      </c>
      <c r="BL273" s="692" t="s">
        <v>2729</v>
      </c>
      <c r="BM273" s="216">
        <v>272.0</v>
      </c>
    </row>
    <row r="274">
      <c r="A274" s="41" t="s">
        <v>2695</v>
      </c>
      <c r="B274" s="307">
        <v>273.0</v>
      </c>
      <c r="C274" s="41"/>
      <c r="D274" s="41" t="s">
        <v>2407</v>
      </c>
      <c r="E274" s="307">
        <v>273.0</v>
      </c>
      <c r="F274" s="41"/>
      <c r="G274" s="41" t="s">
        <v>2385</v>
      </c>
      <c r="H274" s="307">
        <v>273.0</v>
      </c>
      <c r="I274" s="41"/>
      <c r="J274" s="41" t="s">
        <v>2422</v>
      </c>
      <c r="K274" s="307">
        <v>273.0</v>
      </c>
      <c r="L274" s="41"/>
      <c r="M274" s="41" t="s">
        <v>2698</v>
      </c>
      <c r="N274" s="307">
        <v>273.0</v>
      </c>
      <c r="O274" s="41"/>
      <c r="P274" s="41" t="s">
        <v>1113</v>
      </c>
      <c r="Q274" s="307">
        <v>273.0</v>
      </c>
      <c r="R274" s="41"/>
      <c r="S274" s="41" t="s">
        <v>229</v>
      </c>
      <c r="T274" s="307">
        <v>273.0</v>
      </c>
      <c r="U274" s="41"/>
      <c r="V274" s="41" t="s">
        <v>2704</v>
      </c>
      <c r="W274" s="307">
        <v>273.0</v>
      </c>
      <c r="X274" s="41"/>
      <c r="Y274" s="682" t="s">
        <v>2697</v>
      </c>
      <c r="Z274" s="307">
        <v>273.0</v>
      </c>
      <c r="AA274" s="41"/>
      <c r="AB274" s="41" t="s">
        <v>856</v>
      </c>
      <c r="AC274" s="307">
        <v>273.0</v>
      </c>
      <c r="AD274" s="79"/>
      <c r="AE274" s="690" t="s">
        <v>2426</v>
      </c>
      <c r="AF274" s="307">
        <v>273.0</v>
      </c>
      <c r="AH274" s="687" t="s">
        <v>2257</v>
      </c>
      <c r="AI274" s="307">
        <v>273.0</v>
      </c>
      <c r="AK274" s="687" t="s">
        <v>2492</v>
      </c>
      <c r="AL274" s="307">
        <v>273.0</v>
      </c>
      <c r="AN274" s="687" t="s">
        <v>945</v>
      </c>
      <c r="AO274" s="307">
        <v>273.0</v>
      </c>
      <c r="AQ274" s="687" t="s">
        <v>2718</v>
      </c>
      <c r="AR274" s="307">
        <v>273.0</v>
      </c>
      <c r="AT274" s="687" t="s">
        <v>908</v>
      </c>
      <c r="AU274" s="307">
        <v>273.0</v>
      </c>
      <c r="AW274" s="687" t="s">
        <v>2711</v>
      </c>
      <c r="AX274" s="307">
        <v>273.0</v>
      </c>
      <c r="AZ274" s="687" t="s">
        <v>230</v>
      </c>
      <c r="BA274" s="307">
        <v>273.0</v>
      </c>
      <c r="BC274" s="691" t="s">
        <v>2643</v>
      </c>
      <c r="BD274" s="307">
        <v>273.0</v>
      </c>
      <c r="BF274" s="687" t="s">
        <v>2725</v>
      </c>
      <c r="BG274" s="145">
        <v>273.0</v>
      </c>
      <c r="BI274" s="688" t="s">
        <v>2414</v>
      </c>
      <c r="BJ274" s="145">
        <v>273.0</v>
      </c>
      <c r="BL274" s="692" t="s">
        <v>1238</v>
      </c>
      <c r="BM274" s="216">
        <v>273.0</v>
      </c>
    </row>
    <row r="275">
      <c r="A275" s="41" t="s">
        <v>2400</v>
      </c>
      <c r="B275" s="307">
        <v>274.0</v>
      </c>
      <c r="C275" s="41"/>
      <c r="D275" s="41" t="s">
        <v>2418</v>
      </c>
      <c r="E275" s="307">
        <v>274.0</v>
      </c>
      <c r="F275" s="41"/>
      <c r="G275" s="41" t="s">
        <v>2695</v>
      </c>
      <c r="H275" s="307">
        <v>274.0</v>
      </c>
      <c r="I275" s="41"/>
      <c r="J275" s="41" t="s">
        <v>2713</v>
      </c>
      <c r="K275" s="307">
        <v>274.0</v>
      </c>
      <c r="L275" s="41"/>
      <c r="M275" s="41" t="s">
        <v>1080</v>
      </c>
      <c r="N275" s="307">
        <v>274.0</v>
      </c>
      <c r="O275" s="41"/>
      <c r="P275" s="41" t="s">
        <v>2440</v>
      </c>
      <c r="Q275" s="307">
        <v>274.0</v>
      </c>
      <c r="R275" s="41"/>
      <c r="S275" s="41" t="s">
        <v>2435</v>
      </c>
      <c r="T275" s="307">
        <v>274.0</v>
      </c>
      <c r="U275" s="41"/>
      <c r="V275" s="41" t="s">
        <v>230</v>
      </c>
      <c r="W275" s="307">
        <v>274.0</v>
      </c>
      <c r="X275" s="41"/>
      <c r="Y275" s="682" t="s">
        <v>2672</v>
      </c>
      <c r="Z275" s="307">
        <v>274.0</v>
      </c>
      <c r="AA275" s="41"/>
      <c r="AB275" s="41" t="s">
        <v>2426</v>
      </c>
      <c r="AC275" s="307">
        <v>274.0</v>
      </c>
      <c r="AD275" s="79"/>
      <c r="AE275" s="690" t="s">
        <v>827</v>
      </c>
      <c r="AF275" s="307">
        <v>274.0</v>
      </c>
      <c r="AH275" s="687" t="s">
        <v>2402</v>
      </c>
      <c r="AI275" s="307">
        <v>274.0</v>
      </c>
      <c r="AK275" s="687" t="s">
        <v>2704</v>
      </c>
      <c r="AL275" s="307">
        <v>274.0</v>
      </c>
      <c r="AN275" s="687" t="s">
        <v>2708</v>
      </c>
      <c r="AO275" s="307">
        <v>274.0</v>
      </c>
      <c r="AQ275" s="687" t="s">
        <v>1247</v>
      </c>
      <c r="AR275" s="307">
        <v>274.0</v>
      </c>
      <c r="AT275" s="687" t="s">
        <v>2431</v>
      </c>
      <c r="AU275" s="307">
        <v>274.0</v>
      </c>
      <c r="AW275" s="687" t="s">
        <v>2431</v>
      </c>
      <c r="AX275" s="307">
        <v>274.0</v>
      </c>
      <c r="AZ275" s="687" t="s">
        <v>2431</v>
      </c>
      <c r="BA275" s="307">
        <v>274.0</v>
      </c>
      <c r="BC275" s="691" t="s">
        <v>1070</v>
      </c>
      <c r="BD275" s="307">
        <v>274.0</v>
      </c>
      <c r="BF275" s="687" t="s">
        <v>852</v>
      </c>
      <c r="BG275" s="145">
        <v>274.0</v>
      </c>
      <c r="BI275" s="688" t="s">
        <v>852</v>
      </c>
      <c r="BJ275" s="145">
        <v>274.0</v>
      </c>
      <c r="BL275" s="692" t="s">
        <v>2730</v>
      </c>
      <c r="BM275" s="216">
        <v>274.0</v>
      </c>
    </row>
    <row r="276">
      <c r="A276" s="41" t="s">
        <v>2352</v>
      </c>
      <c r="B276" s="307">
        <v>275.0</v>
      </c>
      <c r="C276" s="41"/>
      <c r="D276" s="41" t="s">
        <v>2420</v>
      </c>
      <c r="E276" s="307">
        <v>275.0</v>
      </c>
      <c r="F276" s="41"/>
      <c r="G276" s="41" t="s">
        <v>2377</v>
      </c>
      <c r="H276" s="307">
        <v>275.0</v>
      </c>
      <c r="I276" s="41"/>
      <c r="J276" s="41" t="s">
        <v>2651</v>
      </c>
      <c r="K276" s="307">
        <v>275.0</v>
      </c>
      <c r="L276" s="41"/>
      <c r="M276" s="41" t="s">
        <v>2706</v>
      </c>
      <c r="N276" s="307">
        <v>275.0</v>
      </c>
      <c r="O276" s="41"/>
      <c r="P276" s="41" t="s">
        <v>2377</v>
      </c>
      <c r="Q276" s="307">
        <v>275.0</v>
      </c>
      <c r="R276" s="41"/>
      <c r="S276" s="41" t="s">
        <v>2487</v>
      </c>
      <c r="T276" s="307">
        <v>275.0</v>
      </c>
      <c r="U276" s="41"/>
      <c r="V276" s="41" t="s">
        <v>2697</v>
      </c>
      <c r="W276" s="307">
        <v>275.0</v>
      </c>
      <c r="X276" s="41"/>
      <c r="Y276" s="698" t="s">
        <v>228</v>
      </c>
      <c r="Z276" s="307">
        <v>275.0</v>
      </c>
      <c r="AA276" s="41"/>
      <c r="AB276" s="41" t="s">
        <v>931</v>
      </c>
      <c r="AC276" s="307">
        <v>275.0</v>
      </c>
      <c r="AD276" s="79"/>
      <c r="AE276" s="690" t="s">
        <v>931</v>
      </c>
      <c r="AF276" s="307">
        <v>275.0</v>
      </c>
      <c r="AH276" s="687" t="s">
        <v>846</v>
      </c>
      <c r="AI276" s="307">
        <v>275.0</v>
      </c>
      <c r="AK276" s="687" t="s">
        <v>2428</v>
      </c>
      <c r="AL276" s="307">
        <v>275.0</v>
      </c>
      <c r="AN276" s="687" t="s">
        <v>2442</v>
      </c>
      <c r="AO276" s="307">
        <v>275.0</v>
      </c>
      <c r="AQ276" s="687" t="s">
        <v>230</v>
      </c>
      <c r="AR276" s="307">
        <v>275.0</v>
      </c>
      <c r="AT276" s="687" t="s">
        <v>2685</v>
      </c>
      <c r="AU276" s="307">
        <v>275.0</v>
      </c>
      <c r="AW276" s="687" t="s">
        <v>2685</v>
      </c>
      <c r="AX276" s="307">
        <v>275.0</v>
      </c>
      <c r="AZ276" s="687" t="s">
        <v>2685</v>
      </c>
      <c r="BA276" s="307">
        <v>275.0</v>
      </c>
      <c r="BC276" s="691" t="s">
        <v>852</v>
      </c>
      <c r="BD276" s="307">
        <v>275.0</v>
      </c>
      <c r="BF276" s="687" t="s">
        <v>2501</v>
      </c>
      <c r="BG276" s="145">
        <v>275.0</v>
      </c>
      <c r="BI276" s="688" t="s">
        <v>2421</v>
      </c>
      <c r="BJ276" s="145">
        <v>275.0</v>
      </c>
      <c r="BL276" s="692" t="s">
        <v>2731</v>
      </c>
      <c r="BM276" s="216">
        <v>275.0</v>
      </c>
    </row>
    <row r="277">
      <c r="A277" s="41" t="s">
        <v>2723</v>
      </c>
      <c r="B277" s="307">
        <v>276.0</v>
      </c>
      <c r="C277" s="41"/>
      <c r="D277" s="41" t="s">
        <v>2409</v>
      </c>
      <c r="E277" s="307">
        <v>276.0</v>
      </c>
      <c r="F277" s="41"/>
      <c r="G277" s="41" t="s">
        <v>2650</v>
      </c>
      <c r="H277" s="307">
        <v>276.0</v>
      </c>
      <c r="I277" s="41"/>
      <c r="J277" s="41" t="s">
        <v>2322</v>
      </c>
      <c r="K277" s="307">
        <v>276.0</v>
      </c>
      <c r="L277" s="41"/>
      <c r="M277" s="41" t="s">
        <v>2377</v>
      </c>
      <c r="N277" s="307">
        <v>276.0</v>
      </c>
      <c r="O277" s="41"/>
      <c r="P277" s="41" t="s">
        <v>2284</v>
      </c>
      <c r="Q277" s="307">
        <v>276.0</v>
      </c>
      <c r="R277" s="41"/>
      <c r="S277" s="41" t="s">
        <v>2310</v>
      </c>
      <c r="T277" s="307">
        <v>276.0</v>
      </c>
      <c r="U277" s="41"/>
      <c r="V277" s="41" t="s">
        <v>2672</v>
      </c>
      <c r="W277" s="307">
        <v>276.0</v>
      </c>
      <c r="X277" s="41"/>
      <c r="Y277" s="698" t="s">
        <v>230</v>
      </c>
      <c r="Z277" s="307">
        <v>276.0</v>
      </c>
      <c r="AA277" s="41"/>
      <c r="AB277" s="41" t="s">
        <v>2446</v>
      </c>
      <c r="AC277" s="307">
        <v>276.0</v>
      </c>
      <c r="AD277" s="79"/>
      <c r="AE277" s="690" t="s">
        <v>2446</v>
      </c>
      <c r="AF277" s="307">
        <v>276.0</v>
      </c>
      <c r="AH277" s="687" t="s">
        <v>2704</v>
      </c>
      <c r="AI277" s="307">
        <v>276.0</v>
      </c>
      <c r="AK277" s="687" t="s">
        <v>1251</v>
      </c>
      <c r="AL277" s="307">
        <v>276.0</v>
      </c>
      <c r="AN277" s="687" t="s">
        <v>847</v>
      </c>
      <c r="AO277" s="307">
        <v>276.0</v>
      </c>
      <c r="AQ277" s="687" t="s">
        <v>2431</v>
      </c>
      <c r="AR277" s="307">
        <v>276.0</v>
      </c>
      <c r="AT277" s="687" t="s">
        <v>847</v>
      </c>
      <c r="AU277" s="307">
        <v>276.0</v>
      </c>
      <c r="AW277" s="687" t="s">
        <v>847</v>
      </c>
      <c r="AX277" s="307">
        <v>276.0</v>
      </c>
      <c r="AZ277" s="687" t="s">
        <v>847</v>
      </c>
      <c r="BA277" s="307">
        <v>276.0</v>
      </c>
      <c r="BC277" s="691" t="s">
        <v>2501</v>
      </c>
      <c r="BD277" s="307">
        <v>276.0</v>
      </c>
      <c r="BF277" s="687" t="s">
        <v>2421</v>
      </c>
      <c r="BG277" s="145">
        <v>276.0</v>
      </c>
      <c r="BI277" s="688" t="s">
        <v>2708</v>
      </c>
      <c r="BJ277" s="145">
        <v>276.0</v>
      </c>
      <c r="BL277" s="692" t="s">
        <v>2448</v>
      </c>
      <c r="BM277" s="216">
        <v>276.0</v>
      </c>
    </row>
    <row r="278">
      <c r="A278" s="41" t="s">
        <v>2686</v>
      </c>
      <c r="B278" s="307">
        <v>277.0</v>
      </c>
      <c r="C278" s="41"/>
      <c r="D278" s="41" t="s">
        <v>2705</v>
      </c>
      <c r="E278" s="307">
        <v>277.0</v>
      </c>
      <c r="F278" s="41"/>
      <c r="G278" s="41" t="s">
        <v>2712</v>
      </c>
      <c r="H278" s="307">
        <v>277.0</v>
      </c>
      <c r="I278" s="41"/>
      <c r="J278" s="41" t="s">
        <v>240</v>
      </c>
      <c r="K278" s="307">
        <v>277.0</v>
      </c>
      <c r="L278" s="41"/>
      <c r="M278" s="41" t="s">
        <v>838</v>
      </c>
      <c r="N278" s="307">
        <v>277.0</v>
      </c>
      <c r="O278" s="41"/>
      <c r="P278" s="41" t="s">
        <v>230</v>
      </c>
      <c r="Q278" s="307">
        <v>277.0</v>
      </c>
      <c r="R278" s="41"/>
      <c r="S278" s="41" t="s">
        <v>2658</v>
      </c>
      <c r="T278" s="307">
        <v>277.0</v>
      </c>
      <c r="U278" s="41"/>
      <c r="V278" s="41" t="s">
        <v>228</v>
      </c>
      <c r="W278" s="307">
        <v>277.0</v>
      </c>
      <c r="X278" s="41"/>
      <c r="Y278" s="682" t="s">
        <v>816</v>
      </c>
      <c r="Z278" s="307">
        <v>277.0</v>
      </c>
      <c r="AA278" s="41"/>
      <c r="AB278" s="41" t="s">
        <v>2323</v>
      </c>
      <c r="AC278" s="307">
        <v>277.0</v>
      </c>
      <c r="AD278" s="79"/>
      <c r="AE278" s="690" t="s">
        <v>2323</v>
      </c>
      <c r="AF278" s="307">
        <v>277.0</v>
      </c>
      <c r="AH278" s="687" t="s">
        <v>228</v>
      </c>
      <c r="AI278" s="307">
        <v>277.0</v>
      </c>
      <c r="AK278" s="687" t="s">
        <v>2693</v>
      </c>
      <c r="AL278" s="307">
        <v>277.0</v>
      </c>
      <c r="AN278" s="687" t="s">
        <v>2714</v>
      </c>
      <c r="AO278" s="307">
        <v>277.0</v>
      </c>
      <c r="AQ278" s="687" t="s">
        <v>2407</v>
      </c>
      <c r="AR278" s="307">
        <v>277.0</v>
      </c>
      <c r="AT278" s="687" t="s">
        <v>2407</v>
      </c>
      <c r="AU278" s="307">
        <v>277.0</v>
      </c>
      <c r="AW278" s="687" t="s">
        <v>2407</v>
      </c>
      <c r="AX278" s="307">
        <v>277.0</v>
      </c>
      <c r="AZ278" s="687" t="s">
        <v>2407</v>
      </c>
      <c r="BA278" s="307">
        <v>277.0</v>
      </c>
      <c r="BC278" s="691" t="s">
        <v>2421</v>
      </c>
      <c r="BD278" s="307">
        <v>277.0</v>
      </c>
      <c r="BF278" s="687" t="s">
        <v>2728</v>
      </c>
      <c r="BG278" s="145">
        <v>277.0</v>
      </c>
      <c r="BI278" s="688" t="s">
        <v>2705</v>
      </c>
      <c r="BJ278" s="145">
        <v>277.0</v>
      </c>
      <c r="BL278" s="692" t="s">
        <v>2727</v>
      </c>
      <c r="BM278" s="216">
        <v>277.0</v>
      </c>
    </row>
    <row r="279">
      <c r="A279" s="41" t="s">
        <v>2402</v>
      </c>
      <c r="B279" s="307">
        <v>278.0</v>
      </c>
      <c r="C279" s="41"/>
      <c r="D279" s="41" t="s">
        <v>2411</v>
      </c>
      <c r="E279" s="307">
        <v>278.0</v>
      </c>
      <c r="F279" s="41"/>
      <c r="G279" s="41" t="s">
        <v>2684</v>
      </c>
      <c r="H279" s="307">
        <v>278.0</v>
      </c>
      <c r="I279" s="41"/>
      <c r="J279" s="41" t="s">
        <v>2194</v>
      </c>
      <c r="K279" s="307">
        <v>278.0</v>
      </c>
      <c r="L279" s="41"/>
      <c r="M279" s="41" t="s">
        <v>2683</v>
      </c>
      <c r="N279" s="307">
        <v>278.0</v>
      </c>
      <c r="O279" s="41"/>
      <c r="P279" s="41" t="s">
        <v>1250</v>
      </c>
      <c r="Q279" s="307">
        <v>278.0</v>
      </c>
      <c r="R279" s="41"/>
      <c r="S279" s="41" t="s">
        <v>2426</v>
      </c>
      <c r="T279" s="307">
        <v>278.0</v>
      </c>
      <c r="U279" s="41"/>
      <c r="V279" s="41" t="s">
        <v>263</v>
      </c>
      <c r="W279" s="307">
        <v>278.0</v>
      </c>
      <c r="X279" s="41"/>
      <c r="Y279" s="682" t="s">
        <v>2686</v>
      </c>
      <c r="Z279" s="307">
        <v>278.0</v>
      </c>
      <c r="AA279" s="41"/>
      <c r="AB279" s="41" t="s">
        <v>939</v>
      </c>
      <c r="AC279" s="307">
        <v>278.0</v>
      </c>
      <c r="AD279" s="79"/>
      <c r="AE279" s="690" t="s">
        <v>939</v>
      </c>
      <c r="AF279" s="307">
        <v>278.0</v>
      </c>
      <c r="AH279" s="687" t="s">
        <v>939</v>
      </c>
      <c r="AI279" s="307">
        <v>278.0</v>
      </c>
      <c r="AK279" s="687" t="s">
        <v>2454</v>
      </c>
      <c r="AL279" s="307">
        <v>278.0</v>
      </c>
      <c r="AN279" s="687" t="s">
        <v>1098</v>
      </c>
      <c r="AO279" s="307">
        <v>278.0</v>
      </c>
      <c r="AQ279" s="687" t="s">
        <v>1105</v>
      </c>
      <c r="AR279" s="307">
        <v>278.0</v>
      </c>
      <c r="AT279" s="687" t="s">
        <v>2732</v>
      </c>
      <c r="AU279" s="307">
        <v>278.0</v>
      </c>
      <c r="AW279" s="687" t="s">
        <v>2732</v>
      </c>
      <c r="AX279" s="307">
        <v>278.0</v>
      </c>
      <c r="AZ279" s="687" t="s">
        <v>852</v>
      </c>
      <c r="BA279" s="307">
        <v>278.0</v>
      </c>
      <c r="BC279" s="691" t="s">
        <v>2728</v>
      </c>
      <c r="BD279" s="307">
        <v>278.0</v>
      </c>
      <c r="BF279" s="687" t="s">
        <v>2729</v>
      </c>
      <c r="BG279" s="145">
        <v>278.0</v>
      </c>
      <c r="BI279" s="688" t="s">
        <v>2728</v>
      </c>
      <c r="BJ279" s="145">
        <v>278.0</v>
      </c>
      <c r="BL279" s="692" t="s">
        <v>2458</v>
      </c>
      <c r="BM279" s="216">
        <v>278.0</v>
      </c>
    </row>
    <row r="280">
      <c r="A280" s="41" t="s">
        <v>2403</v>
      </c>
      <c r="B280" s="307">
        <v>279.0</v>
      </c>
      <c r="C280" s="41"/>
      <c r="D280" s="41" t="s">
        <v>2414</v>
      </c>
      <c r="E280" s="307">
        <v>279.0</v>
      </c>
      <c r="F280" s="41"/>
      <c r="G280" s="41" t="s">
        <v>2651</v>
      </c>
      <c r="H280" s="307">
        <v>279.0</v>
      </c>
      <c r="I280" s="41"/>
      <c r="J280" s="41" t="s">
        <v>89</v>
      </c>
      <c r="K280" s="307">
        <v>279.0</v>
      </c>
      <c r="L280" s="41"/>
      <c r="M280" s="41" t="s">
        <v>2699</v>
      </c>
      <c r="N280" s="307">
        <v>279.0</v>
      </c>
      <c r="O280" s="41"/>
      <c r="P280" s="41" t="s">
        <v>238</v>
      </c>
      <c r="Q280" s="307">
        <v>279.0</v>
      </c>
      <c r="R280" s="41"/>
      <c r="S280" s="41" t="s">
        <v>914</v>
      </c>
      <c r="T280" s="307">
        <v>279.0</v>
      </c>
      <c r="U280" s="41"/>
      <c r="V280" s="41" t="s">
        <v>2414</v>
      </c>
      <c r="W280" s="307">
        <v>279.0</v>
      </c>
      <c r="X280" s="41"/>
      <c r="Y280" s="698" t="s">
        <v>1243</v>
      </c>
      <c r="Z280" s="307">
        <v>279.0</v>
      </c>
      <c r="AA280" s="41"/>
      <c r="AB280" s="41" t="s">
        <v>2397</v>
      </c>
      <c r="AC280" s="307">
        <v>279.0</v>
      </c>
      <c r="AD280" s="79"/>
      <c r="AE280" s="690" t="s">
        <v>2397</v>
      </c>
      <c r="AF280" s="307">
        <v>279.0</v>
      </c>
      <c r="AH280" s="687" t="s">
        <v>2719</v>
      </c>
      <c r="AI280" s="307">
        <v>279.0</v>
      </c>
      <c r="AK280" s="687" t="s">
        <v>2432</v>
      </c>
      <c r="AL280" s="307">
        <v>279.0</v>
      </c>
      <c r="AN280" s="687" t="s">
        <v>2335</v>
      </c>
      <c r="AO280" s="307">
        <v>279.0</v>
      </c>
      <c r="AQ280" s="687" t="s">
        <v>2732</v>
      </c>
      <c r="AR280" s="307">
        <v>279.0</v>
      </c>
      <c r="AT280" s="687" t="s">
        <v>2702</v>
      </c>
      <c r="AU280" s="307">
        <v>279.0</v>
      </c>
      <c r="AW280" s="687" t="s">
        <v>2442</v>
      </c>
      <c r="AX280" s="307">
        <v>279.0</v>
      </c>
      <c r="AZ280" s="687" t="s">
        <v>2732</v>
      </c>
      <c r="BA280" s="307">
        <v>279.0</v>
      </c>
      <c r="BC280" s="691" t="s">
        <v>2729</v>
      </c>
      <c r="BD280" s="307">
        <v>279.0</v>
      </c>
      <c r="BF280" s="687" t="s">
        <v>1238</v>
      </c>
      <c r="BG280" s="145">
        <v>279.0</v>
      </c>
      <c r="BI280" s="688" t="s">
        <v>2729</v>
      </c>
      <c r="BJ280" s="145">
        <v>279.0</v>
      </c>
      <c r="BL280" s="692" t="s">
        <v>2711</v>
      </c>
      <c r="BM280" s="216">
        <v>279.0</v>
      </c>
    </row>
    <row r="281">
      <c r="A281" s="41" t="s">
        <v>2404</v>
      </c>
      <c r="B281" s="307">
        <v>280.0</v>
      </c>
      <c r="C281" s="41"/>
      <c r="D281" s="41" t="s">
        <v>2292</v>
      </c>
      <c r="E281" s="307">
        <v>280.0</v>
      </c>
      <c r="F281" s="41"/>
      <c r="G281" s="41" t="s">
        <v>2421</v>
      </c>
      <c r="H281" s="307">
        <v>280.0</v>
      </c>
      <c r="I281" s="41"/>
      <c r="J281" s="41" t="s">
        <v>847</v>
      </c>
      <c r="K281" s="307">
        <v>280.0</v>
      </c>
      <c r="L281" s="41"/>
      <c r="M281" s="41" t="s">
        <v>913</v>
      </c>
      <c r="N281" s="307">
        <v>280.0</v>
      </c>
      <c r="O281" s="41"/>
      <c r="P281" s="41" t="s">
        <v>2703</v>
      </c>
      <c r="Q281" s="307">
        <v>280.0</v>
      </c>
      <c r="R281" s="41"/>
      <c r="S281" s="41" t="s">
        <v>225</v>
      </c>
      <c r="T281" s="307">
        <v>280.0</v>
      </c>
      <c r="U281" s="41"/>
      <c r="V281" s="41" t="s">
        <v>1243</v>
      </c>
      <c r="W281" s="307">
        <v>280.0</v>
      </c>
      <c r="X281" s="41"/>
      <c r="Y281" s="682" t="s">
        <v>2658</v>
      </c>
      <c r="Z281" s="307">
        <v>280.0</v>
      </c>
      <c r="AA281" s="41"/>
      <c r="AB281" s="41" t="s">
        <v>2707</v>
      </c>
      <c r="AC281" s="307">
        <v>280.0</v>
      </c>
      <c r="AD281" s="79"/>
      <c r="AE281" s="690" t="s">
        <v>835</v>
      </c>
      <c r="AF281" s="307">
        <v>280.0</v>
      </c>
      <c r="AH281" s="687" t="s">
        <v>2378</v>
      </c>
      <c r="AI281" s="307">
        <v>280.0</v>
      </c>
      <c r="AK281" s="687" t="s">
        <v>228</v>
      </c>
      <c r="AL281" s="307">
        <v>280.0</v>
      </c>
      <c r="AN281" s="687" t="s">
        <v>2705</v>
      </c>
      <c r="AO281" s="307">
        <v>280.0</v>
      </c>
      <c r="AQ281" s="687" t="s">
        <v>2702</v>
      </c>
      <c r="AR281" s="307">
        <v>280.0</v>
      </c>
      <c r="AT281" s="687" t="s">
        <v>2447</v>
      </c>
      <c r="AU281" s="307">
        <v>280.0</v>
      </c>
      <c r="AW281" s="687" t="s">
        <v>2702</v>
      </c>
      <c r="AX281" s="307">
        <v>280.0</v>
      </c>
      <c r="AZ281" s="687" t="s">
        <v>2711</v>
      </c>
      <c r="BA281" s="307">
        <v>280.0</v>
      </c>
      <c r="BC281" s="691" t="s">
        <v>1238</v>
      </c>
      <c r="BD281" s="307">
        <v>280.0</v>
      </c>
      <c r="BF281" s="687" t="s">
        <v>2693</v>
      </c>
      <c r="BG281" s="145">
        <v>280.0</v>
      </c>
      <c r="BI281" s="688" t="s">
        <v>1238</v>
      </c>
      <c r="BJ281" s="145">
        <v>280.0</v>
      </c>
      <c r="BL281" s="692" t="s">
        <v>2520</v>
      </c>
      <c r="BM281" s="216">
        <v>280.0</v>
      </c>
    </row>
    <row r="282">
      <c r="A282" s="41" t="s">
        <v>2697</v>
      </c>
      <c r="B282" s="307">
        <v>281.0</v>
      </c>
      <c r="C282" s="41"/>
      <c r="D282" s="41" t="s">
        <v>2655</v>
      </c>
      <c r="E282" s="307">
        <v>281.0</v>
      </c>
      <c r="F282" s="41"/>
      <c r="G282" s="41" t="s">
        <v>2422</v>
      </c>
      <c r="H282" s="307">
        <v>281.0</v>
      </c>
      <c r="I282" s="41"/>
      <c r="J282" s="41" t="s">
        <v>2366</v>
      </c>
      <c r="K282" s="307">
        <v>281.0</v>
      </c>
      <c r="L282" s="41"/>
      <c r="M282" s="41" t="s">
        <v>2676</v>
      </c>
      <c r="N282" s="307">
        <v>281.0</v>
      </c>
      <c r="O282" s="41"/>
      <c r="P282" s="41" t="s">
        <v>2400</v>
      </c>
      <c r="Q282" s="307">
        <v>281.0</v>
      </c>
      <c r="R282" s="41"/>
      <c r="S282" s="41" t="s">
        <v>2257</v>
      </c>
      <c r="T282" s="307">
        <v>281.0</v>
      </c>
      <c r="U282" s="41"/>
      <c r="V282" s="41" t="s">
        <v>930</v>
      </c>
      <c r="W282" s="307">
        <v>281.0</v>
      </c>
      <c r="X282" s="41"/>
      <c r="Y282" s="682" t="s">
        <v>2716</v>
      </c>
      <c r="Z282" s="307">
        <v>281.0</v>
      </c>
      <c r="AA282" s="41"/>
      <c r="AB282" s="41" t="s">
        <v>70</v>
      </c>
      <c r="AC282" s="307">
        <v>281.0</v>
      </c>
      <c r="AD282" s="79"/>
      <c r="AE282" s="690" t="s">
        <v>80</v>
      </c>
      <c r="AF282" s="307">
        <v>281.0</v>
      </c>
      <c r="AH282" s="687" t="s">
        <v>2323</v>
      </c>
      <c r="AI282" s="307">
        <v>281.0</v>
      </c>
      <c r="AK282" s="687" t="s">
        <v>2716</v>
      </c>
      <c r="AL282" s="307">
        <v>281.0</v>
      </c>
      <c r="AN282" s="687" t="s">
        <v>2718</v>
      </c>
      <c r="AO282" s="307">
        <v>281.0</v>
      </c>
      <c r="AQ282" s="687" t="s">
        <v>2447</v>
      </c>
      <c r="AR282" s="307">
        <v>281.0</v>
      </c>
      <c r="AT282" s="687" t="s">
        <v>2643</v>
      </c>
      <c r="AU282" s="307">
        <v>281.0</v>
      </c>
      <c r="AW282" s="687" t="s">
        <v>2447</v>
      </c>
      <c r="AX282" s="307">
        <v>281.0</v>
      </c>
      <c r="AZ282" s="687" t="s">
        <v>2702</v>
      </c>
      <c r="BA282" s="307">
        <v>281.0</v>
      </c>
      <c r="BC282" s="691" t="s">
        <v>2693</v>
      </c>
      <c r="BD282" s="307">
        <v>281.0</v>
      </c>
      <c r="BF282" s="687" t="s">
        <v>2284</v>
      </c>
      <c r="BG282" s="145">
        <v>281.0</v>
      </c>
      <c r="BI282" s="688" t="s">
        <v>2261</v>
      </c>
      <c r="BJ282" s="145">
        <v>281.0</v>
      </c>
      <c r="BL282" s="692" t="s">
        <v>2680</v>
      </c>
      <c r="BM282" s="216">
        <v>281.0</v>
      </c>
    </row>
    <row r="283">
      <c r="A283" s="41" t="s">
        <v>2704</v>
      </c>
      <c r="B283" s="307">
        <v>282.0</v>
      </c>
      <c r="C283" s="41"/>
      <c r="D283" s="41" t="s">
        <v>916</v>
      </c>
      <c r="E283" s="307">
        <v>282.0</v>
      </c>
      <c r="F283" s="41"/>
      <c r="G283" s="41" t="s">
        <v>1076</v>
      </c>
      <c r="H283" s="307">
        <v>282.0</v>
      </c>
      <c r="I283" s="41"/>
      <c r="J283" s="41" t="s">
        <v>2352</v>
      </c>
      <c r="K283" s="307">
        <v>282.0</v>
      </c>
      <c r="L283" s="41"/>
      <c r="M283" s="41" t="s">
        <v>2677</v>
      </c>
      <c r="N283" s="307">
        <v>282.0</v>
      </c>
      <c r="O283" s="41"/>
      <c r="P283" s="41" t="s">
        <v>229</v>
      </c>
      <c r="Q283" s="307">
        <v>282.0</v>
      </c>
      <c r="R283" s="41"/>
      <c r="S283" s="41" t="s">
        <v>905</v>
      </c>
      <c r="T283" s="307">
        <v>282.0</v>
      </c>
      <c r="U283" s="41"/>
      <c r="V283" s="41" t="s">
        <v>2716</v>
      </c>
      <c r="W283" s="307">
        <v>282.0</v>
      </c>
      <c r="X283" s="41"/>
      <c r="Y283" s="682" t="s">
        <v>2717</v>
      </c>
      <c r="Z283" s="307">
        <v>282.0</v>
      </c>
      <c r="AA283" s="41"/>
      <c r="AB283" s="41" t="s">
        <v>2442</v>
      </c>
      <c r="AC283" s="307">
        <v>282.0</v>
      </c>
      <c r="AD283" s="79"/>
      <c r="AE283" s="690" t="s">
        <v>253</v>
      </c>
      <c r="AF283" s="307">
        <v>282.0</v>
      </c>
      <c r="AH283" s="687" t="s">
        <v>230</v>
      </c>
      <c r="AI283" s="307">
        <v>282.0</v>
      </c>
      <c r="AK283" s="687" t="s">
        <v>1113</v>
      </c>
      <c r="AL283" s="307">
        <v>282.0</v>
      </c>
      <c r="AN283" s="687" t="s">
        <v>1247</v>
      </c>
      <c r="AO283" s="307">
        <v>282.0</v>
      </c>
      <c r="AQ283" s="687" t="s">
        <v>2643</v>
      </c>
      <c r="AR283" s="307">
        <v>282.0</v>
      </c>
      <c r="AT283" s="687" t="s">
        <v>2421</v>
      </c>
      <c r="AU283" s="307">
        <v>282.0</v>
      </c>
      <c r="AW283" s="687" t="s">
        <v>2643</v>
      </c>
      <c r="AX283" s="307">
        <v>282.0</v>
      </c>
      <c r="AZ283" s="687" t="s">
        <v>2447</v>
      </c>
      <c r="BA283" s="307">
        <v>282.0</v>
      </c>
      <c r="BC283" s="691" t="s">
        <v>2490</v>
      </c>
      <c r="BD283" s="307">
        <v>282.0</v>
      </c>
      <c r="BF283" s="687" t="s">
        <v>71</v>
      </c>
      <c r="BG283" s="145">
        <v>282.0</v>
      </c>
      <c r="BI283" s="688" t="s">
        <v>2731</v>
      </c>
      <c r="BJ283" s="145">
        <v>282.0</v>
      </c>
      <c r="BL283" s="692" t="s">
        <v>2391</v>
      </c>
      <c r="BM283" s="216">
        <v>282.0</v>
      </c>
    </row>
    <row r="284">
      <c r="A284" s="41" t="s">
        <v>2655</v>
      </c>
      <c r="B284" s="307">
        <v>283.0</v>
      </c>
      <c r="C284" s="41"/>
      <c r="D284" s="41" t="s">
        <v>72</v>
      </c>
      <c r="E284" s="307">
        <v>283.0</v>
      </c>
      <c r="F284" s="41"/>
      <c r="G284" s="41" t="s">
        <v>2206</v>
      </c>
      <c r="H284" s="307">
        <v>283.0</v>
      </c>
      <c r="I284" s="41"/>
      <c r="J284" s="41" t="s">
        <v>2705</v>
      </c>
      <c r="K284" s="307">
        <v>283.0</v>
      </c>
      <c r="L284" s="41"/>
      <c r="M284" s="41" t="s">
        <v>1136</v>
      </c>
      <c r="N284" s="307">
        <v>283.0</v>
      </c>
      <c r="O284" s="41"/>
      <c r="P284" s="41" t="s">
        <v>2435</v>
      </c>
      <c r="Q284" s="307">
        <v>283.0</v>
      </c>
      <c r="R284" s="41"/>
      <c r="S284" s="41" t="s">
        <v>2704</v>
      </c>
      <c r="T284" s="307">
        <v>283.0</v>
      </c>
      <c r="U284" s="41"/>
      <c r="V284" s="41" t="s">
        <v>2717</v>
      </c>
      <c r="W284" s="307">
        <v>283.0</v>
      </c>
      <c r="X284" s="41"/>
      <c r="Y284" s="698" t="s">
        <v>856</v>
      </c>
      <c r="Z284" s="307">
        <v>283.0</v>
      </c>
      <c r="AA284" s="41"/>
      <c r="AB284" s="41" t="s">
        <v>2456</v>
      </c>
      <c r="AC284" s="307">
        <v>283.0</v>
      </c>
      <c r="AD284" s="79"/>
      <c r="AE284" s="690" t="s">
        <v>921</v>
      </c>
      <c r="AF284" s="307">
        <v>283.0</v>
      </c>
      <c r="AH284" s="687" t="s">
        <v>1243</v>
      </c>
      <c r="AI284" s="307">
        <v>283.0</v>
      </c>
      <c r="AK284" s="687" t="s">
        <v>1252</v>
      </c>
      <c r="AL284" s="307">
        <v>283.0</v>
      </c>
      <c r="AN284" s="687" t="s">
        <v>2711</v>
      </c>
      <c r="AO284" s="307">
        <v>283.0</v>
      </c>
      <c r="AQ284" s="687" t="s">
        <v>2421</v>
      </c>
      <c r="AR284" s="307">
        <v>283.0</v>
      </c>
      <c r="AT284" s="687" t="s">
        <v>2728</v>
      </c>
      <c r="AU284" s="307">
        <v>283.0</v>
      </c>
      <c r="AW284" s="687" t="s">
        <v>2421</v>
      </c>
      <c r="AX284" s="307">
        <v>283.0</v>
      </c>
      <c r="AZ284" s="687" t="s">
        <v>2643</v>
      </c>
      <c r="BA284" s="307">
        <v>283.0</v>
      </c>
      <c r="BC284" s="691" t="s">
        <v>2720</v>
      </c>
      <c r="BD284" s="307">
        <v>283.0</v>
      </c>
      <c r="BF284" s="687" t="s">
        <v>2261</v>
      </c>
      <c r="BG284" s="145">
        <v>283.0</v>
      </c>
      <c r="BI284" s="688" t="s">
        <v>2727</v>
      </c>
      <c r="BJ284" s="145">
        <v>283.0</v>
      </c>
      <c r="BL284" s="692" t="s">
        <v>2336</v>
      </c>
      <c r="BM284" s="216">
        <v>283.0</v>
      </c>
    </row>
    <row r="285">
      <c r="A285" s="41" t="s">
        <v>2406</v>
      </c>
      <c r="B285" s="307">
        <v>284.0</v>
      </c>
      <c r="C285" s="41"/>
      <c r="D285" s="41" t="s">
        <v>74</v>
      </c>
      <c r="E285" s="307">
        <v>284.0</v>
      </c>
      <c r="F285" s="41"/>
      <c r="G285" s="41" t="s">
        <v>2707</v>
      </c>
      <c r="H285" s="307">
        <v>284.0</v>
      </c>
      <c r="I285" s="41"/>
      <c r="J285" s="41" t="s">
        <v>926</v>
      </c>
      <c r="K285" s="307">
        <v>284.0</v>
      </c>
      <c r="L285" s="41"/>
      <c r="M285" s="41" t="s">
        <v>2449</v>
      </c>
      <c r="N285" s="307">
        <v>284.0</v>
      </c>
      <c r="O285" s="41"/>
      <c r="P285" s="41" t="s">
        <v>2487</v>
      </c>
      <c r="Q285" s="307">
        <v>284.0</v>
      </c>
      <c r="R285" s="41"/>
      <c r="S285" s="41" t="s">
        <v>2672</v>
      </c>
      <c r="T285" s="307">
        <v>284.0</v>
      </c>
      <c r="U285" s="41"/>
      <c r="V285" s="41" t="s">
        <v>856</v>
      </c>
      <c r="W285" s="307">
        <v>284.0</v>
      </c>
      <c r="X285" s="41"/>
      <c r="Y285" s="698" t="s">
        <v>2426</v>
      </c>
      <c r="Z285" s="307">
        <v>284.0</v>
      </c>
      <c r="AA285" s="41"/>
      <c r="AB285" s="41" t="s">
        <v>835</v>
      </c>
      <c r="AC285" s="307">
        <v>284.0</v>
      </c>
      <c r="AD285" s="79"/>
      <c r="AE285" s="690" t="s">
        <v>846</v>
      </c>
      <c r="AF285" s="307">
        <v>284.0</v>
      </c>
      <c r="AH285" s="687" t="s">
        <v>2703</v>
      </c>
      <c r="AI285" s="307">
        <v>284.0</v>
      </c>
      <c r="AK285" s="687" t="s">
        <v>931</v>
      </c>
      <c r="AL285" s="307">
        <v>284.0</v>
      </c>
      <c r="AN285" s="687" t="s">
        <v>230</v>
      </c>
      <c r="AO285" s="307">
        <v>284.0</v>
      </c>
      <c r="AQ285" s="687" t="s">
        <v>2728</v>
      </c>
      <c r="AR285" s="307">
        <v>284.0</v>
      </c>
      <c r="AT285" s="687" t="s">
        <v>222</v>
      </c>
      <c r="AU285" s="307">
        <v>284.0</v>
      </c>
      <c r="AW285" s="687" t="s">
        <v>2728</v>
      </c>
      <c r="AX285" s="307">
        <v>284.0</v>
      </c>
      <c r="AZ285" s="687" t="s">
        <v>2421</v>
      </c>
      <c r="BA285" s="307">
        <v>284.0</v>
      </c>
      <c r="BC285" s="691" t="s">
        <v>2316</v>
      </c>
      <c r="BD285" s="307">
        <v>284.0</v>
      </c>
      <c r="BF285" s="687" t="s">
        <v>2731</v>
      </c>
      <c r="BG285" s="145">
        <v>284.0</v>
      </c>
      <c r="BI285" s="688" t="s">
        <v>2458</v>
      </c>
      <c r="BJ285" s="145">
        <v>284.0</v>
      </c>
      <c r="BL285" s="692" t="s">
        <v>2428</v>
      </c>
      <c r="BM285" s="216">
        <v>284.0</v>
      </c>
    </row>
    <row r="286">
      <c r="A286" s="41" t="s">
        <v>2699</v>
      </c>
      <c r="B286" s="307">
        <v>285.0</v>
      </c>
      <c r="C286" s="41"/>
      <c r="D286" s="41" t="s">
        <v>229</v>
      </c>
      <c r="E286" s="307">
        <v>285.0</v>
      </c>
      <c r="F286" s="41"/>
      <c r="G286" s="41" t="s">
        <v>2453</v>
      </c>
      <c r="H286" s="307">
        <v>285.0</v>
      </c>
      <c r="I286" s="41"/>
      <c r="J286" s="41" t="s">
        <v>2432</v>
      </c>
      <c r="K286" s="307">
        <v>285.0</v>
      </c>
      <c r="L286" s="41"/>
      <c r="M286" s="41" t="s">
        <v>2653</v>
      </c>
      <c r="N286" s="307">
        <v>285.0</v>
      </c>
      <c r="O286" s="41"/>
      <c r="P286" s="41" t="s">
        <v>2310</v>
      </c>
      <c r="Q286" s="307">
        <v>285.0</v>
      </c>
      <c r="R286" s="41"/>
      <c r="S286" s="41" t="s">
        <v>228</v>
      </c>
      <c r="T286" s="307">
        <v>285.0</v>
      </c>
      <c r="U286" s="41"/>
      <c r="V286" s="41" t="s">
        <v>2426</v>
      </c>
      <c r="W286" s="307">
        <v>285.0</v>
      </c>
      <c r="X286" s="41"/>
      <c r="Y286" s="682" t="s">
        <v>2446</v>
      </c>
      <c r="Z286" s="307">
        <v>285.0</v>
      </c>
      <c r="AA286" s="41"/>
      <c r="AB286" s="41" t="s">
        <v>80</v>
      </c>
      <c r="AC286" s="307">
        <v>285.0</v>
      </c>
      <c r="AD286" s="79"/>
      <c r="AE286" s="690" t="s">
        <v>2676</v>
      </c>
      <c r="AF286" s="307">
        <v>285.0</v>
      </c>
      <c r="AH286" s="687" t="s">
        <v>2724</v>
      </c>
      <c r="AI286" s="307">
        <v>285.0</v>
      </c>
      <c r="AK286" s="687" t="s">
        <v>2687</v>
      </c>
      <c r="AL286" s="307">
        <v>285.0</v>
      </c>
      <c r="AN286" s="687" t="s">
        <v>2431</v>
      </c>
      <c r="AO286" s="307">
        <v>285.0</v>
      </c>
      <c r="AQ286" s="687" t="s">
        <v>222</v>
      </c>
      <c r="AR286" s="307">
        <v>285.0</v>
      </c>
      <c r="AT286" s="687" t="s">
        <v>2412</v>
      </c>
      <c r="AU286" s="307">
        <v>285.0</v>
      </c>
      <c r="AW286" s="687" t="s">
        <v>222</v>
      </c>
      <c r="AX286" s="307">
        <v>285.0</v>
      </c>
      <c r="AZ286" s="687" t="s">
        <v>2728</v>
      </c>
      <c r="BA286" s="307">
        <v>285.0</v>
      </c>
      <c r="BC286" s="691" t="s">
        <v>2371</v>
      </c>
      <c r="BD286" s="307">
        <v>285.0</v>
      </c>
      <c r="BF286" s="687" t="s">
        <v>2727</v>
      </c>
      <c r="BG286" s="145">
        <v>285.0</v>
      </c>
      <c r="BI286" s="688" t="s">
        <v>2711</v>
      </c>
      <c r="BJ286" s="145">
        <v>285.0</v>
      </c>
      <c r="BL286" s="692" t="s">
        <v>1059</v>
      </c>
      <c r="BM286" s="216">
        <v>285.0</v>
      </c>
    </row>
    <row r="287">
      <c r="A287" s="41" t="s">
        <v>2684</v>
      </c>
      <c r="B287" s="307">
        <v>286.0</v>
      </c>
      <c r="C287" s="41"/>
      <c r="D287" s="41" t="s">
        <v>2695</v>
      </c>
      <c r="E287" s="307">
        <v>286.0</v>
      </c>
      <c r="F287" s="41"/>
      <c r="G287" s="41" t="s">
        <v>239</v>
      </c>
      <c r="H287" s="307">
        <v>286.0</v>
      </c>
      <c r="I287" s="41"/>
      <c r="J287" s="41" t="s">
        <v>273</v>
      </c>
      <c r="K287" s="307">
        <v>286.0</v>
      </c>
      <c r="L287" s="41"/>
      <c r="M287" s="41" t="s">
        <v>1126</v>
      </c>
      <c r="N287" s="307">
        <v>286.0</v>
      </c>
      <c r="O287" s="41"/>
      <c r="P287" s="41" t="s">
        <v>2658</v>
      </c>
      <c r="Q287" s="307">
        <v>286.0</v>
      </c>
      <c r="R287" s="41"/>
      <c r="S287" s="41" t="s">
        <v>263</v>
      </c>
      <c r="T287" s="307">
        <v>286.0</v>
      </c>
      <c r="U287" s="41"/>
      <c r="V287" s="41" t="s">
        <v>2446</v>
      </c>
      <c r="W287" s="307">
        <v>286.0</v>
      </c>
      <c r="X287" s="41"/>
      <c r="Y287" s="698" t="s">
        <v>2323</v>
      </c>
      <c r="Z287" s="307">
        <v>286.0</v>
      </c>
      <c r="AA287" s="41"/>
      <c r="AB287" s="41" t="s">
        <v>253</v>
      </c>
      <c r="AC287" s="307">
        <v>286.0</v>
      </c>
      <c r="AD287" s="79"/>
      <c r="AE287" s="690" t="s">
        <v>2335</v>
      </c>
      <c r="AF287" s="307">
        <v>286.0</v>
      </c>
      <c r="AH287" s="687" t="s">
        <v>2492</v>
      </c>
      <c r="AI287" s="307">
        <v>286.0</v>
      </c>
      <c r="AK287" s="687" t="s">
        <v>2671</v>
      </c>
      <c r="AL287" s="307">
        <v>286.0</v>
      </c>
      <c r="AN287" s="687" t="s">
        <v>2407</v>
      </c>
      <c r="AO287" s="307">
        <v>286.0</v>
      </c>
      <c r="AQ287" s="687" t="s">
        <v>2412</v>
      </c>
      <c r="AR287" s="307">
        <v>286.0</v>
      </c>
      <c r="AT287" s="687" t="s">
        <v>2444</v>
      </c>
      <c r="AU287" s="307">
        <v>286.0</v>
      </c>
      <c r="AW287" s="687" t="s">
        <v>2412</v>
      </c>
      <c r="AX287" s="307">
        <v>286.0</v>
      </c>
      <c r="AZ287" s="687" t="s">
        <v>2729</v>
      </c>
      <c r="BA287" s="307">
        <v>286.0</v>
      </c>
      <c r="BC287" s="691" t="s">
        <v>2284</v>
      </c>
      <c r="BD287" s="307">
        <v>286.0</v>
      </c>
      <c r="BF287" s="687" t="s">
        <v>228</v>
      </c>
      <c r="BG287" s="145">
        <v>286.0</v>
      </c>
      <c r="BI287" s="688" t="s">
        <v>267</v>
      </c>
      <c r="BJ287" s="145">
        <v>286.0</v>
      </c>
      <c r="BL287" s="711" t="s">
        <v>946</v>
      </c>
      <c r="BM287" s="216">
        <v>286.0</v>
      </c>
    </row>
    <row r="288">
      <c r="A288" s="41" t="s">
        <v>2407</v>
      </c>
      <c r="B288" s="307">
        <v>287.0</v>
      </c>
      <c r="C288" s="41"/>
      <c r="D288" s="41" t="s">
        <v>88</v>
      </c>
      <c r="E288" s="307">
        <v>287.0</v>
      </c>
      <c r="F288" s="41"/>
      <c r="G288" s="41" t="s">
        <v>2419</v>
      </c>
      <c r="H288" s="307">
        <v>287.0</v>
      </c>
      <c r="I288" s="41"/>
      <c r="J288" s="41" t="s">
        <v>2407</v>
      </c>
      <c r="K288" s="307">
        <v>287.0</v>
      </c>
      <c r="L288" s="41"/>
      <c r="M288" s="41" t="s">
        <v>1113</v>
      </c>
      <c r="N288" s="307">
        <v>287.0</v>
      </c>
      <c r="O288" s="41"/>
      <c r="P288" s="41" t="s">
        <v>914</v>
      </c>
      <c r="Q288" s="307">
        <v>287.0</v>
      </c>
      <c r="R288" s="41"/>
      <c r="S288" s="41" t="s">
        <v>2414</v>
      </c>
      <c r="T288" s="307">
        <v>287.0</v>
      </c>
      <c r="U288" s="41"/>
      <c r="V288" s="41" t="s">
        <v>2323</v>
      </c>
      <c r="W288" s="307">
        <v>287.0</v>
      </c>
      <c r="X288" s="41"/>
      <c r="Y288" s="698" t="s">
        <v>939</v>
      </c>
      <c r="Z288" s="307">
        <v>287.0</v>
      </c>
      <c r="AA288" s="41"/>
      <c r="AB288" s="41" t="s">
        <v>846</v>
      </c>
      <c r="AC288" s="307">
        <v>287.0</v>
      </c>
      <c r="AD288" s="79"/>
      <c r="AE288" s="690" t="s">
        <v>2728</v>
      </c>
      <c r="AF288" s="307">
        <v>287.0</v>
      </c>
      <c r="AH288" s="687" t="s">
        <v>2667</v>
      </c>
      <c r="AI288" s="307">
        <v>287.0</v>
      </c>
      <c r="AK288" s="687" t="s">
        <v>1243</v>
      </c>
      <c r="AL288" s="307">
        <v>287.0</v>
      </c>
      <c r="AN288" s="687" t="s">
        <v>1105</v>
      </c>
      <c r="AO288" s="307">
        <v>287.0</v>
      </c>
      <c r="AQ288" s="687" t="s">
        <v>2444</v>
      </c>
      <c r="AR288" s="307">
        <v>287.0</v>
      </c>
      <c r="AT288" s="687" t="s">
        <v>2445</v>
      </c>
      <c r="AU288" s="307">
        <v>287.0</v>
      </c>
      <c r="AW288" s="687" t="s">
        <v>2444</v>
      </c>
      <c r="AX288" s="307">
        <v>287.0</v>
      </c>
      <c r="AZ288" s="687" t="s">
        <v>830</v>
      </c>
      <c r="BA288" s="307">
        <v>287.0</v>
      </c>
      <c r="BC288" s="691" t="s">
        <v>71</v>
      </c>
      <c r="BD288" s="307">
        <v>287.0</v>
      </c>
      <c r="BF288" s="687" t="s">
        <v>2711</v>
      </c>
      <c r="BG288" s="145">
        <v>287.0</v>
      </c>
      <c r="BI288" s="688" t="s">
        <v>2520</v>
      </c>
      <c r="BJ288" s="145">
        <v>287.0</v>
      </c>
      <c r="BL288" s="692" t="s">
        <v>2316</v>
      </c>
      <c r="BM288" s="216">
        <v>287.0</v>
      </c>
    </row>
    <row r="289">
      <c r="A289" s="41" t="s">
        <v>2409</v>
      </c>
      <c r="B289" s="307">
        <v>288.0</v>
      </c>
      <c r="C289" s="41"/>
      <c r="D289" s="41" t="s">
        <v>273</v>
      </c>
      <c r="E289" s="307">
        <v>288.0</v>
      </c>
      <c r="F289" s="41"/>
      <c r="G289" s="41" t="s">
        <v>2713</v>
      </c>
      <c r="H289" s="307">
        <v>288.0</v>
      </c>
      <c r="I289" s="41"/>
      <c r="J289" s="41" t="s">
        <v>72</v>
      </c>
      <c r="K289" s="307">
        <v>288.0</v>
      </c>
      <c r="L289" s="41"/>
      <c r="M289" s="41" t="s">
        <v>2440</v>
      </c>
      <c r="N289" s="307">
        <v>288.0</v>
      </c>
      <c r="O289" s="41"/>
      <c r="P289" s="41" t="s">
        <v>922</v>
      </c>
      <c r="Q289" s="307">
        <v>288.0</v>
      </c>
      <c r="R289" s="41"/>
      <c r="S289" s="41" t="s">
        <v>1243</v>
      </c>
      <c r="T289" s="307">
        <v>288.0</v>
      </c>
      <c r="U289" s="41"/>
      <c r="V289" s="41" t="s">
        <v>939</v>
      </c>
      <c r="W289" s="307">
        <v>288.0</v>
      </c>
      <c r="X289" s="41"/>
      <c r="Y289" s="682" t="s">
        <v>2397</v>
      </c>
      <c r="Z289" s="307">
        <v>288.0</v>
      </c>
      <c r="AA289" s="41"/>
      <c r="AB289" s="41" t="s">
        <v>2676</v>
      </c>
      <c r="AC289" s="307">
        <v>288.0</v>
      </c>
      <c r="AD289" s="79"/>
      <c r="AE289" s="690" t="s">
        <v>2703</v>
      </c>
      <c r="AF289" s="307">
        <v>288.0</v>
      </c>
      <c r="AH289" s="687" t="s">
        <v>252</v>
      </c>
      <c r="AI289" s="307">
        <v>288.0</v>
      </c>
      <c r="AK289" s="687" t="s">
        <v>215</v>
      </c>
      <c r="AL289" s="307">
        <v>288.0</v>
      </c>
      <c r="AN289" s="687" t="s">
        <v>2732</v>
      </c>
      <c r="AO289" s="307">
        <v>288.0</v>
      </c>
      <c r="AQ289" s="687" t="s">
        <v>2685</v>
      </c>
      <c r="AR289" s="307">
        <v>288.0</v>
      </c>
      <c r="AT289" s="687" t="s">
        <v>2729</v>
      </c>
      <c r="AU289" s="307">
        <v>288.0</v>
      </c>
      <c r="AW289" s="687" t="s">
        <v>2445</v>
      </c>
      <c r="AX289" s="307">
        <v>288.0</v>
      </c>
      <c r="AZ289" s="687" t="s">
        <v>1238</v>
      </c>
      <c r="BA289" s="307">
        <v>288.0</v>
      </c>
      <c r="BC289" s="691" t="s">
        <v>2261</v>
      </c>
      <c r="BD289" s="307">
        <v>288.0</v>
      </c>
      <c r="BF289" s="687" t="s">
        <v>2733</v>
      </c>
      <c r="BG289" s="145">
        <v>288.0</v>
      </c>
      <c r="BI289" s="688" t="s">
        <v>2680</v>
      </c>
      <c r="BJ289" s="145">
        <v>288.0</v>
      </c>
      <c r="BL289" s="692" t="s">
        <v>1140</v>
      </c>
      <c r="BM289" s="216">
        <v>288.0</v>
      </c>
    </row>
    <row r="290">
      <c r="A290" s="41" t="s">
        <v>2705</v>
      </c>
      <c r="B290" s="307">
        <v>289.0</v>
      </c>
      <c r="C290" s="41"/>
      <c r="D290" s="41" t="s">
        <v>817</v>
      </c>
      <c r="E290" s="307">
        <v>289.0</v>
      </c>
      <c r="F290" s="41"/>
      <c r="G290" s="41" t="s">
        <v>240</v>
      </c>
      <c r="H290" s="307">
        <v>289.0</v>
      </c>
      <c r="I290" s="41"/>
      <c r="J290" s="41" t="s">
        <v>241</v>
      </c>
      <c r="K290" s="307">
        <v>289.0</v>
      </c>
      <c r="L290" s="41"/>
      <c r="M290" s="41" t="s">
        <v>2284</v>
      </c>
      <c r="N290" s="307">
        <v>289.0</v>
      </c>
      <c r="O290" s="41"/>
      <c r="P290" s="41" t="s">
        <v>225</v>
      </c>
      <c r="Q290" s="307">
        <v>289.0</v>
      </c>
      <c r="R290" s="41"/>
      <c r="S290" s="41" t="s">
        <v>930</v>
      </c>
      <c r="T290" s="307">
        <v>289.0</v>
      </c>
      <c r="U290" s="41"/>
      <c r="V290" s="41" t="s">
        <v>2397</v>
      </c>
      <c r="W290" s="307">
        <v>289.0</v>
      </c>
      <c r="X290" s="41"/>
      <c r="Y290" s="682" t="s">
        <v>2707</v>
      </c>
      <c r="Z290" s="307">
        <v>289.0</v>
      </c>
      <c r="AA290" s="41"/>
      <c r="AB290" s="41" t="s">
        <v>2335</v>
      </c>
      <c r="AC290" s="307">
        <v>289.0</v>
      </c>
      <c r="AD290" s="79"/>
      <c r="AE290" s="690" t="s">
        <v>2378</v>
      </c>
      <c r="AF290" s="307">
        <v>289.0</v>
      </c>
      <c r="AH290" s="687" t="s">
        <v>2716</v>
      </c>
      <c r="AI290" s="307">
        <v>289.0</v>
      </c>
      <c r="AK290" s="687" t="s">
        <v>827</v>
      </c>
      <c r="AL290" s="307">
        <v>289.0</v>
      </c>
      <c r="AN290" s="687" t="s">
        <v>2702</v>
      </c>
      <c r="AO290" s="307">
        <v>289.0</v>
      </c>
      <c r="AQ290" s="687" t="s">
        <v>2445</v>
      </c>
      <c r="AR290" s="307">
        <v>289.0</v>
      </c>
      <c r="AT290" s="687" t="s">
        <v>830</v>
      </c>
      <c r="AU290" s="307">
        <v>289.0</v>
      </c>
      <c r="AW290" s="687" t="s">
        <v>2729</v>
      </c>
      <c r="AX290" s="307">
        <v>289.0</v>
      </c>
      <c r="AZ290" s="687" t="s">
        <v>2727</v>
      </c>
      <c r="BA290" s="307">
        <v>289.0</v>
      </c>
      <c r="BC290" s="691" t="s">
        <v>2731</v>
      </c>
      <c r="BD290" s="307">
        <v>289.0</v>
      </c>
      <c r="BF290" s="687" t="s">
        <v>267</v>
      </c>
      <c r="BG290" s="145">
        <v>289.0</v>
      </c>
      <c r="BI290" s="688" t="s">
        <v>2391</v>
      </c>
      <c r="BJ290" s="145">
        <v>289.0</v>
      </c>
      <c r="BL290" s="692" t="s">
        <v>2194</v>
      </c>
      <c r="BM290" s="216">
        <v>289.0</v>
      </c>
    </row>
    <row r="291">
      <c r="A291" s="41" t="s">
        <v>2411</v>
      </c>
      <c r="B291" s="307">
        <v>290.0</v>
      </c>
      <c r="C291" s="41"/>
      <c r="D291" s="41" t="s">
        <v>2651</v>
      </c>
      <c r="E291" s="307">
        <v>290.0</v>
      </c>
      <c r="F291" s="41"/>
      <c r="G291" s="41" t="s">
        <v>848</v>
      </c>
      <c r="H291" s="307">
        <v>290.0</v>
      </c>
      <c r="I291" s="41"/>
      <c r="J291" s="41" t="s">
        <v>816</v>
      </c>
      <c r="K291" s="307">
        <v>290.0</v>
      </c>
      <c r="L291" s="41"/>
      <c r="M291" s="41" t="s">
        <v>230</v>
      </c>
      <c r="N291" s="307">
        <v>290.0</v>
      </c>
      <c r="O291" s="41"/>
      <c r="P291" s="41" t="s">
        <v>2257</v>
      </c>
      <c r="Q291" s="307">
        <v>290.0</v>
      </c>
      <c r="R291" s="41"/>
      <c r="S291" s="41" t="s">
        <v>2716</v>
      </c>
      <c r="T291" s="307">
        <v>290.0</v>
      </c>
      <c r="U291" s="41"/>
      <c r="V291" s="41" t="s">
        <v>2707</v>
      </c>
      <c r="W291" s="307">
        <v>290.0</v>
      </c>
      <c r="X291" s="41"/>
      <c r="Y291" s="682" t="s">
        <v>1079</v>
      </c>
      <c r="Z291" s="307">
        <v>290.0</v>
      </c>
      <c r="AA291" s="41"/>
      <c r="AB291" s="41" t="s">
        <v>2728</v>
      </c>
      <c r="AC291" s="307">
        <v>290.0</v>
      </c>
      <c r="AD291" s="79"/>
      <c r="AE291" s="690" t="s">
        <v>847</v>
      </c>
      <c r="AF291" s="307">
        <v>290.0</v>
      </c>
      <c r="AH291" s="687" t="s">
        <v>2454</v>
      </c>
      <c r="AI291" s="307">
        <v>290.0</v>
      </c>
      <c r="AK291" s="687" t="s">
        <v>2414</v>
      </c>
      <c r="AL291" s="307">
        <v>290.0</v>
      </c>
      <c r="AN291" s="687" t="s">
        <v>2447</v>
      </c>
      <c r="AO291" s="307">
        <v>290.0</v>
      </c>
      <c r="AQ291" s="687" t="s">
        <v>2729</v>
      </c>
      <c r="AR291" s="307">
        <v>290.0</v>
      </c>
      <c r="AT291" s="687" t="s">
        <v>1238</v>
      </c>
      <c r="AU291" s="307">
        <v>290.0</v>
      </c>
      <c r="AW291" s="687" t="s">
        <v>830</v>
      </c>
      <c r="AX291" s="307">
        <v>290.0</v>
      </c>
      <c r="AZ291" s="687" t="s">
        <v>228</v>
      </c>
      <c r="BA291" s="307">
        <v>290.0</v>
      </c>
      <c r="BC291" s="691" t="s">
        <v>2727</v>
      </c>
      <c r="BD291" s="307">
        <v>290.0</v>
      </c>
      <c r="BF291" s="687" t="s">
        <v>2520</v>
      </c>
      <c r="BG291" s="145">
        <v>290.0</v>
      </c>
      <c r="BI291" s="688" t="s">
        <v>2336</v>
      </c>
      <c r="BJ291" s="145">
        <v>290.0</v>
      </c>
      <c r="BL291" s="692" t="s">
        <v>2701</v>
      </c>
      <c r="BM291" s="216">
        <v>290.0</v>
      </c>
    </row>
    <row r="292">
      <c r="A292" s="41" t="s">
        <v>2193</v>
      </c>
      <c r="B292" s="307">
        <v>291.0</v>
      </c>
      <c r="C292" s="41"/>
      <c r="D292" s="41" t="s">
        <v>2421</v>
      </c>
      <c r="E292" s="307">
        <v>291.0</v>
      </c>
      <c r="F292" s="41"/>
      <c r="G292" s="41" t="s">
        <v>223</v>
      </c>
      <c r="H292" s="307">
        <v>291.0</v>
      </c>
      <c r="I292" s="41"/>
      <c r="J292" s="41" t="s">
        <v>928</v>
      </c>
      <c r="K292" s="307">
        <v>291.0</v>
      </c>
      <c r="L292" s="41"/>
      <c r="M292" s="41" t="s">
        <v>238</v>
      </c>
      <c r="N292" s="307">
        <v>291.0</v>
      </c>
      <c r="O292" s="41"/>
      <c r="P292" s="41" t="s">
        <v>905</v>
      </c>
      <c r="Q292" s="307">
        <v>291.0</v>
      </c>
      <c r="R292" s="41"/>
      <c r="S292" s="41" t="s">
        <v>2717</v>
      </c>
      <c r="T292" s="307">
        <v>291.0</v>
      </c>
      <c r="U292" s="41"/>
      <c r="V292" s="41" t="s">
        <v>1079</v>
      </c>
      <c r="W292" s="307">
        <v>291.0</v>
      </c>
      <c r="X292" s="41"/>
      <c r="Y292" s="682" t="s">
        <v>2442</v>
      </c>
      <c r="Z292" s="307">
        <v>291.0</v>
      </c>
      <c r="AA292" s="41"/>
      <c r="AB292" s="41" t="s">
        <v>2703</v>
      </c>
      <c r="AC292" s="307">
        <v>291.0</v>
      </c>
      <c r="AD292" s="79"/>
      <c r="AE292" s="690" t="s">
        <v>2734</v>
      </c>
      <c r="AF292" s="307">
        <v>291.0</v>
      </c>
      <c r="AH292" s="687" t="s">
        <v>827</v>
      </c>
      <c r="AI292" s="307">
        <v>291.0</v>
      </c>
      <c r="AK292" s="687" t="s">
        <v>2323</v>
      </c>
      <c r="AL292" s="307">
        <v>291.0</v>
      </c>
      <c r="AN292" s="687" t="s">
        <v>2421</v>
      </c>
      <c r="AO292" s="307">
        <v>291.0</v>
      </c>
      <c r="AQ292" s="687" t="s">
        <v>830</v>
      </c>
      <c r="AR292" s="307">
        <v>291.0</v>
      </c>
      <c r="AT292" s="687" t="s">
        <v>2727</v>
      </c>
      <c r="AU292" s="307">
        <v>291.0</v>
      </c>
      <c r="AW292" s="687" t="s">
        <v>1238</v>
      </c>
      <c r="AX292" s="307">
        <v>291.0</v>
      </c>
      <c r="AZ292" s="687" t="s">
        <v>2693</v>
      </c>
      <c r="BA292" s="307">
        <v>291.0</v>
      </c>
      <c r="BC292" s="691" t="s">
        <v>2732</v>
      </c>
      <c r="BD292" s="307">
        <v>291.0</v>
      </c>
      <c r="BF292" s="687" t="s">
        <v>2391</v>
      </c>
      <c r="BG292" s="145">
        <v>291.0</v>
      </c>
      <c r="BI292" s="688" t="s">
        <v>2351</v>
      </c>
      <c r="BJ292" s="145">
        <v>291.0</v>
      </c>
      <c r="BL292" s="692" t="s">
        <v>2414</v>
      </c>
      <c r="BM292" s="216">
        <v>291.0</v>
      </c>
    </row>
    <row r="293">
      <c r="A293" s="41" t="s">
        <v>250</v>
      </c>
      <c r="B293" s="307">
        <v>292.0</v>
      </c>
      <c r="C293" s="41"/>
      <c r="D293" s="41" t="s">
        <v>2422</v>
      </c>
      <c r="E293" s="307">
        <v>292.0</v>
      </c>
      <c r="F293" s="41"/>
      <c r="G293" s="41" t="s">
        <v>2705</v>
      </c>
      <c r="H293" s="307">
        <v>292.0</v>
      </c>
      <c r="I293" s="41"/>
      <c r="J293" s="41" t="s">
        <v>2378</v>
      </c>
      <c r="K293" s="307">
        <v>292.0</v>
      </c>
      <c r="L293" s="41"/>
      <c r="M293" s="41" t="s">
        <v>2703</v>
      </c>
      <c r="N293" s="307">
        <v>292.0</v>
      </c>
      <c r="O293" s="41"/>
      <c r="P293" s="41" t="s">
        <v>2704</v>
      </c>
      <c r="Q293" s="307">
        <v>292.0</v>
      </c>
      <c r="R293" s="41"/>
      <c r="S293" s="41" t="s">
        <v>856</v>
      </c>
      <c r="T293" s="307">
        <v>292.0</v>
      </c>
      <c r="U293" s="41"/>
      <c r="V293" s="41" t="s">
        <v>2442</v>
      </c>
      <c r="W293" s="307">
        <v>292.0</v>
      </c>
      <c r="X293" s="41"/>
      <c r="Y293" s="682" t="s">
        <v>2456</v>
      </c>
      <c r="Z293" s="307">
        <v>292.0</v>
      </c>
      <c r="AA293" s="41"/>
      <c r="AB293" s="41" t="s">
        <v>2378</v>
      </c>
      <c r="AC293" s="307">
        <v>292.0</v>
      </c>
      <c r="AD293" s="79"/>
      <c r="AE293" s="690" t="s">
        <v>2456</v>
      </c>
      <c r="AF293" s="307">
        <v>292.0</v>
      </c>
      <c r="AH293" s="687" t="s">
        <v>215</v>
      </c>
      <c r="AI293" s="307">
        <v>292.0</v>
      </c>
      <c r="AK293" s="687" t="s">
        <v>1249</v>
      </c>
      <c r="AL293" s="307">
        <v>292.0</v>
      </c>
      <c r="AN293" s="687" t="s">
        <v>2728</v>
      </c>
      <c r="AO293" s="307">
        <v>292.0</v>
      </c>
      <c r="AQ293" s="687" t="s">
        <v>1238</v>
      </c>
      <c r="AR293" s="307">
        <v>292.0</v>
      </c>
      <c r="AT293" s="687" t="s">
        <v>228</v>
      </c>
      <c r="AU293" s="307">
        <v>292.0</v>
      </c>
      <c r="AW293" s="687" t="s">
        <v>2727</v>
      </c>
      <c r="AX293" s="307">
        <v>292.0</v>
      </c>
      <c r="AZ293" s="687" t="s">
        <v>2490</v>
      </c>
      <c r="BA293" s="307">
        <v>292.0</v>
      </c>
      <c r="BC293" s="691" t="s">
        <v>228</v>
      </c>
      <c r="BD293" s="307">
        <v>292.0</v>
      </c>
      <c r="BF293" s="687" t="s">
        <v>2336</v>
      </c>
      <c r="BG293" s="145">
        <v>292.0</v>
      </c>
      <c r="BI293" s="688" t="s">
        <v>2715</v>
      </c>
      <c r="BJ293" s="145">
        <v>292.0</v>
      </c>
      <c r="BL293" s="692" t="s">
        <v>2735</v>
      </c>
      <c r="BM293" s="216">
        <v>292.0</v>
      </c>
    </row>
    <row r="294">
      <c r="A294" s="705" t="s">
        <v>2414</v>
      </c>
      <c r="B294" s="307">
        <v>293.0</v>
      </c>
      <c r="C294" s="705"/>
      <c r="D294" s="705" t="s">
        <v>2206</v>
      </c>
      <c r="E294" s="307">
        <v>293.0</v>
      </c>
      <c r="F294" s="705"/>
      <c r="G294" s="705" t="s">
        <v>72</v>
      </c>
      <c r="H294" s="307">
        <v>293.0</v>
      </c>
      <c r="I294" s="705"/>
      <c r="J294" s="705" t="s">
        <v>2682</v>
      </c>
      <c r="K294" s="307">
        <v>293.0</v>
      </c>
      <c r="L294" s="41"/>
      <c r="M294" s="41" t="s">
        <v>2400</v>
      </c>
      <c r="N294" s="307">
        <v>293.0</v>
      </c>
      <c r="O294" s="41"/>
      <c r="P294" s="41" t="s">
        <v>263</v>
      </c>
      <c r="Q294" s="307">
        <v>293.0</v>
      </c>
      <c r="R294" s="41"/>
      <c r="S294" s="41" t="s">
        <v>2703</v>
      </c>
      <c r="T294" s="307">
        <v>293.0</v>
      </c>
      <c r="U294" s="41"/>
      <c r="V294" s="41" t="s">
        <v>2456</v>
      </c>
      <c r="W294" s="307">
        <v>293.0</v>
      </c>
      <c r="X294" s="41"/>
      <c r="Y294" s="682" t="s">
        <v>835</v>
      </c>
      <c r="Z294" s="307">
        <v>293.0</v>
      </c>
      <c r="AA294" s="41"/>
      <c r="AB294" s="41" t="s">
        <v>847</v>
      </c>
      <c r="AC294" s="307">
        <v>293.0</v>
      </c>
      <c r="AD294" s="79"/>
      <c r="AE294" s="690" t="s">
        <v>2736</v>
      </c>
      <c r="AF294" s="307">
        <v>293.0</v>
      </c>
      <c r="AH294" s="687" t="s">
        <v>2720</v>
      </c>
      <c r="AI294" s="307">
        <v>293.0</v>
      </c>
      <c r="AK294" s="687" t="s">
        <v>921</v>
      </c>
      <c r="AL294" s="307">
        <v>293.0</v>
      </c>
      <c r="AN294" s="687" t="s">
        <v>2690</v>
      </c>
      <c r="AO294" s="307">
        <v>293.0</v>
      </c>
      <c r="AQ294" s="687" t="s">
        <v>2727</v>
      </c>
      <c r="AR294" s="307">
        <v>293.0</v>
      </c>
      <c r="AT294" s="687" t="s">
        <v>2693</v>
      </c>
      <c r="AU294" s="307">
        <v>293.0</v>
      </c>
      <c r="AW294" s="687" t="s">
        <v>228</v>
      </c>
      <c r="AX294" s="307">
        <v>293.0</v>
      </c>
      <c r="AZ294" s="687" t="s">
        <v>2316</v>
      </c>
      <c r="BA294" s="307">
        <v>293.0</v>
      </c>
      <c r="BC294" s="691" t="s">
        <v>2711</v>
      </c>
      <c r="BD294" s="307">
        <v>293.0</v>
      </c>
      <c r="BF294" s="687" t="s">
        <v>2737</v>
      </c>
      <c r="BG294" s="145">
        <v>293.0</v>
      </c>
      <c r="BI294" s="688" t="s">
        <v>2472</v>
      </c>
      <c r="BJ294" s="145">
        <v>293.0</v>
      </c>
      <c r="BL294" s="692" t="s">
        <v>222</v>
      </c>
      <c r="BM294" s="216">
        <v>293.0</v>
      </c>
    </row>
    <row r="295">
      <c r="A295" s="41" t="s">
        <v>2415</v>
      </c>
      <c r="B295" s="307">
        <v>294.0</v>
      </c>
      <c r="C295" s="41"/>
      <c r="D295" s="41" t="s">
        <v>2419</v>
      </c>
      <c r="E295" s="307">
        <v>294.0</v>
      </c>
      <c r="F295" s="41"/>
      <c r="G295" s="41" t="s">
        <v>1005</v>
      </c>
      <c r="H295" s="307">
        <v>294.0</v>
      </c>
      <c r="I295" s="41"/>
      <c r="J295" s="41" t="s">
        <v>2517</v>
      </c>
      <c r="K295" s="307">
        <v>294.0</v>
      </c>
      <c r="L295" s="41"/>
      <c r="M295" s="41" t="s">
        <v>229</v>
      </c>
      <c r="N295" s="307">
        <v>294.0</v>
      </c>
      <c r="O295" s="41"/>
      <c r="P295" s="41" t="s">
        <v>233</v>
      </c>
      <c r="Q295" s="307">
        <v>294.0</v>
      </c>
      <c r="R295" s="41"/>
      <c r="S295" s="41" t="s">
        <v>2446</v>
      </c>
      <c r="T295" s="307">
        <v>294.0</v>
      </c>
      <c r="U295" s="41"/>
      <c r="V295" s="41" t="s">
        <v>835</v>
      </c>
      <c r="W295" s="307">
        <v>294.0</v>
      </c>
      <c r="X295" s="41"/>
      <c r="Y295" s="682" t="s">
        <v>80</v>
      </c>
      <c r="Z295" s="307">
        <v>294.0</v>
      </c>
      <c r="AA295" s="41"/>
      <c r="AB295" s="41" t="s">
        <v>2734</v>
      </c>
      <c r="AC295" s="307">
        <v>294.0</v>
      </c>
      <c r="AD295" s="79"/>
      <c r="AE295" s="690" t="s">
        <v>2407</v>
      </c>
      <c r="AF295" s="307">
        <v>294.0</v>
      </c>
      <c r="AH295" s="687" t="s">
        <v>1086</v>
      </c>
      <c r="AI295" s="307">
        <v>294.0</v>
      </c>
      <c r="AK295" s="687" t="s">
        <v>2310</v>
      </c>
      <c r="AL295" s="307">
        <v>294.0</v>
      </c>
      <c r="AN295" s="687" t="s">
        <v>2412</v>
      </c>
      <c r="AO295" s="307">
        <v>294.0</v>
      </c>
      <c r="AQ295" s="687" t="s">
        <v>2313</v>
      </c>
      <c r="AR295" s="307">
        <v>294.0</v>
      </c>
      <c r="AT295" s="687" t="s">
        <v>2490</v>
      </c>
      <c r="AU295" s="307">
        <v>294.0</v>
      </c>
      <c r="AW295" s="687" t="s">
        <v>2693</v>
      </c>
      <c r="AX295" s="307">
        <v>294.0</v>
      </c>
      <c r="AZ295" s="687" t="s">
        <v>905</v>
      </c>
      <c r="BA295" s="307">
        <v>294.0</v>
      </c>
      <c r="BC295" s="691" t="s">
        <v>2733</v>
      </c>
      <c r="BD295" s="307">
        <v>294.0</v>
      </c>
      <c r="BF295" s="687" t="s">
        <v>2738</v>
      </c>
      <c r="BG295" s="145">
        <v>294.0</v>
      </c>
      <c r="BI295" s="688" t="s">
        <v>1140</v>
      </c>
      <c r="BJ295" s="145">
        <v>294.0</v>
      </c>
      <c r="BL295" s="692" t="s">
        <v>1122</v>
      </c>
      <c r="BM295" s="216">
        <v>294.0</v>
      </c>
    </row>
    <row r="296">
      <c r="A296" s="41" t="s">
        <v>2419</v>
      </c>
      <c r="B296" s="307">
        <v>295.0</v>
      </c>
      <c r="C296" s="41"/>
      <c r="D296" s="41" t="s">
        <v>848</v>
      </c>
      <c r="E296" s="307">
        <v>295.0</v>
      </c>
      <c r="F296" s="41"/>
      <c r="G296" s="41" t="s">
        <v>2435</v>
      </c>
      <c r="H296" s="307">
        <v>295.0</v>
      </c>
      <c r="I296" s="41"/>
      <c r="J296" s="41" t="s">
        <v>235</v>
      </c>
      <c r="K296" s="307">
        <v>295.0</v>
      </c>
      <c r="L296" s="41"/>
      <c r="M296" s="41" t="s">
        <v>250</v>
      </c>
      <c r="N296" s="307">
        <v>295.0</v>
      </c>
      <c r="O296" s="41"/>
      <c r="P296" s="41" t="s">
        <v>2414</v>
      </c>
      <c r="Q296" s="307">
        <v>295.0</v>
      </c>
      <c r="R296" s="41"/>
      <c r="S296" s="41" t="s">
        <v>2323</v>
      </c>
      <c r="T296" s="307">
        <v>295.0</v>
      </c>
      <c r="U296" s="41"/>
      <c r="V296" s="41" t="s">
        <v>80</v>
      </c>
      <c r="W296" s="307">
        <v>295.0</v>
      </c>
      <c r="X296" s="41"/>
      <c r="Y296" s="682" t="s">
        <v>253</v>
      </c>
      <c r="Z296" s="307">
        <v>295.0</v>
      </c>
      <c r="AA296" s="41"/>
      <c r="AB296" s="41" t="s">
        <v>2736</v>
      </c>
      <c r="AC296" s="307">
        <v>295.0</v>
      </c>
      <c r="AD296" s="79"/>
      <c r="AE296" s="690" t="s">
        <v>2437</v>
      </c>
      <c r="AF296" s="307">
        <v>295.0</v>
      </c>
      <c r="AH296" s="687" t="s">
        <v>2397</v>
      </c>
      <c r="AI296" s="307">
        <v>295.0</v>
      </c>
      <c r="AK296" s="687" t="s">
        <v>2717</v>
      </c>
      <c r="AL296" s="307">
        <v>295.0</v>
      </c>
      <c r="AN296" s="687" t="s">
        <v>2444</v>
      </c>
      <c r="AO296" s="307">
        <v>295.0</v>
      </c>
      <c r="AQ296" s="687" t="s">
        <v>2693</v>
      </c>
      <c r="AR296" s="307">
        <v>295.0</v>
      </c>
      <c r="AT296" s="687" t="s">
        <v>2316</v>
      </c>
      <c r="AU296" s="307">
        <v>295.0</v>
      </c>
      <c r="AW296" s="687" t="s">
        <v>2490</v>
      </c>
      <c r="AX296" s="307">
        <v>295.0</v>
      </c>
      <c r="AZ296" s="687" t="s">
        <v>2371</v>
      </c>
      <c r="BA296" s="307">
        <v>295.0</v>
      </c>
      <c r="BC296" s="691" t="s">
        <v>267</v>
      </c>
      <c r="BD296" s="307">
        <v>295.0</v>
      </c>
      <c r="BF296" s="687" t="s">
        <v>2472</v>
      </c>
      <c r="BG296" s="145">
        <v>295.0</v>
      </c>
      <c r="BI296" s="688" t="s">
        <v>2739</v>
      </c>
      <c r="BJ296" s="145">
        <v>295.0</v>
      </c>
      <c r="BL296" s="692" t="s">
        <v>2436</v>
      </c>
      <c r="BM296" s="216">
        <v>295.0</v>
      </c>
    </row>
    <row r="297">
      <c r="A297" s="41" t="s">
        <v>2292</v>
      </c>
      <c r="B297" s="307">
        <v>296.0</v>
      </c>
      <c r="C297" s="41"/>
      <c r="D297" s="41" t="s">
        <v>2424</v>
      </c>
      <c r="E297" s="307">
        <v>296.0</v>
      </c>
      <c r="F297" s="41"/>
      <c r="G297" s="41" t="s">
        <v>2704</v>
      </c>
      <c r="H297" s="307">
        <v>296.0</v>
      </c>
      <c r="I297" s="41"/>
      <c r="J297" s="41" t="s">
        <v>2385</v>
      </c>
      <c r="K297" s="307">
        <v>296.0</v>
      </c>
      <c r="L297" s="41"/>
      <c r="M297" s="41" t="s">
        <v>2435</v>
      </c>
      <c r="N297" s="307">
        <v>296.0</v>
      </c>
      <c r="O297" s="41"/>
      <c r="P297" s="41" t="s">
        <v>1243</v>
      </c>
      <c r="Q297" s="307">
        <v>296.0</v>
      </c>
      <c r="R297" s="41"/>
      <c r="S297" s="41" t="s">
        <v>939</v>
      </c>
      <c r="T297" s="307">
        <v>296.0</v>
      </c>
      <c r="U297" s="41"/>
      <c r="V297" s="41" t="s">
        <v>253</v>
      </c>
      <c r="W297" s="307">
        <v>296.0</v>
      </c>
      <c r="X297" s="41"/>
      <c r="Y297" s="682" t="s">
        <v>914</v>
      </c>
      <c r="Z297" s="307">
        <v>296.0</v>
      </c>
      <c r="AA297" s="41"/>
      <c r="AB297" s="41" t="s">
        <v>2407</v>
      </c>
      <c r="AC297" s="307">
        <v>296.0</v>
      </c>
      <c r="AD297" s="79"/>
      <c r="AE297" s="690" t="s">
        <v>2717</v>
      </c>
      <c r="AF297" s="307">
        <v>296.0</v>
      </c>
      <c r="AH297" s="687" t="s">
        <v>921</v>
      </c>
      <c r="AI297" s="307">
        <v>296.0</v>
      </c>
      <c r="AK297" s="687" t="s">
        <v>2720</v>
      </c>
      <c r="AL297" s="307">
        <v>296.0</v>
      </c>
      <c r="AN297" s="687" t="s">
        <v>2685</v>
      </c>
      <c r="AO297" s="307">
        <v>296.0</v>
      </c>
      <c r="AQ297" s="687" t="s">
        <v>2490</v>
      </c>
      <c r="AR297" s="307">
        <v>296.0</v>
      </c>
      <c r="AT297" s="687" t="s">
        <v>905</v>
      </c>
      <c r="AU297" s="307">
        <v>296.0</v>
      </c>
      <c r="AW297" s="687" t="s">
        <v>2316</v>
      </c>
      <c r="AX297" s="307">
        <v>296.0</v>
      </c>
      <c r="AZ297" s="687" t="s">
        <v>2731</v>
      </c>
      <c r="BA297" s="307">
        <v>296.0</v>
      </c>
      <c r="BC297" s="691" t="s">
        <v>919</v>
      </c>
      <c r="BD297" s="307">
        <v>296.0</v>
      </c>
      <c r="BF297" s="687" t="s">
        <v>1140</v>
      </c>
      <c r="BG297" s="145">
        <v>296.0</v>
      </c>
      <c r="BI297" s="688" t="s">
        <v>2701</v>
      </c>
      <c r="BJ297" s="145">
        <v>296.0</v>
      </c>
      <c r="BL297" s="692" t="s">
        <v>2410</v>
      </c>
      <c r="BM297" s="216">
        <v>296.0</v>
      </c>
    </row>
    <row r="298">
      <c r="A298" s="41" t="s">
        <v>916</v>
      </c>
      <c r="B298" s="307">
        <v>297.0</v>
      </c>
      <c r="C298" s="41"/>
      <c r="D298" s="41" t="s">
        <v>223</v>
      </c>
      <c r="E298" s="307">
        <v>297.0</v>
      </c>
      <c r="F298" s="41"/>
      <c r="G298" s="41" t="s">
        <v>2416</v>
      </c>
      <c r="H298" s="307">
        <v>297.0</v>
      </c>
      <c r="I298" s="41"/>
      <c r="J298" s="41" t="s">
        <v>1080</v>
      </c>
      <c r="K298" s="307">
        <v>297.0</v>
      </c>
      <c r="L298" s="41"/>
      <c r="M298" s="41" t="s">
        <v>2487</v>
      </c>
      <c r="N298" s="307">
        <v>297.0</v>
      </c>
      <c r="O298" s="41"/>
      <c r="P298" s="41" t="s">
        <v>930</v>
      </c>
      <c r="Q298" s="307">
        <v>297.0</v>
      </c>
      <c r="R298" s="41"/>
      <c r="S298" s="41" t="s">
        <v>2397</v>
      </c>
      <c r="T298" s="307">
        <v>297.0</v>
      </c>
      <c r="U298" s="41"/>
      <c r="V298" s="41" t="s">
        <v>914</v>
      </c>
      <c r="W298" s="307">
        <v>297.0</v>
      </c>
      <c r="X298" s="41"/>
      <c r="Y298" s="698" t="s">
        <v>846</v>
      </c>
      <c r="Z298" s="307">
        <v>297.0</v>
      </c>
      <c r="AA298" s="41"/>
      <c r="AB298" s="41" t="s">
        <v>827</v>
      </c>
      <c r="AC298" s="307">
        <v>297.0</v>
      </c>
      <c r="AD298" s="79"/>
      <c r="AE298" s="690" t="s">
        <v>2402</v>
      </c>
      <c r="AF298" s="307">
        <v>297.0</v>
      </c>
      <c r="AH298" s="687" t="s">
        <v>2687</v>
      </c>
      <c r="AI298" s="307">
        <v>297.0</v>
      </c>
      <c r="AK298" s="687" t="s">
        <v>2715</v>
      </c>
      <c r="AL298" s="307">
        <v>297.0</v>
      </c>
      <c r="AN298" s="687" t="s">
        <v>2445</v>
      </c>
      <c r="AO298" s="307">
        <v>297.0</v>
      </c>
      <c r="AQ298" s="687" t="s">
        <v>2316</v>
      </c>
      <c r="AR298" s="307">
        <v>297.0</v>
      </c>
      <c r="AT298" s="687" t="s">
        <v>2371</v>
      </c>
      <c r="AU298" s="307">
        <v>297.0</v>
      </c>
      <c r="AW298" s="687" t="s">
        <v>905</v>
      </c>
      <c r="AX298" s="307">
        <v>297.0</v>
      </c>
      <c r="AZ298" s="687" t="s">
        <v>2523</v>
      </c>
      <c r="BA298" s="307">
        <v>297.0</v>
      </c>
      <c r="BC298" s="691" t="s">
        <v>2444</v>
      </c>
      <c r="BD298" s="307">
        <v>297.0</v>
      </c>
      <c r="BF298" s="687" t="s">
        <v>2439</v>
      </c>
      <c r="BG298" s="145">
        <v>297.0</v>
      </c>
      <c r="BI298" s="688" t="s">
        <v>2735</v>
      </c>
      <c r="BJ298" s="145">
        <v>297.0</v>
      </c>
      <c r="BL298" s="692" t="s">
        <v>2740</v>
      </c>
      <c r="BM298" s="216">
        <v>297.0</v>
      </c>
    </row>
    <row r="299">
      <c r="A299" s="41" t="s">
        <v>72</v>
      </c>
      <c r="B299" s="307">
        <v>298.0</v>
      </c>
      <c r="C299" s="41"/>
      <c r="D299" s="41" t="s">
        <v>2664</v>
      </c>
      <c r="E299" s="307">
        <v>298.0</v>
      </c>
      <c r="F299" s="41"/>
      <c r="G299" s="41" t="s">
        <v>2427</v>
      </c>
      <c r="H299" s="307">
        <v>298.0</v>
      </c>
      <c r="I299" s="41"/>
      <c r="J299" s="41" t="s">
        <v>2706</v>
      </c>
      <c r="K299" s="307">
        <v>298.0</v>
      </c>
      <c r="L299" s="41"/>
      <c r="M299" s="41" t="s">
        <v>2310</v>
      </c>
      <c r="N299" s="307">
        <v>298.0</v>
      </c>
      <c r="O299" s="41"/>
      <c r="P299" s="41" t="s">
        <v>2716</v>
      </c>
      <c r="Q299" s="307">
        <v>298.0</v>
      </c>
      <c r="R299" s="41"/>
      <c r="S299" s="41" t="s">
        <v>2713</v>
      </c>
      <c r="T299" s="307">
        <v>298.0</v>
      </c>
      <c r="U299" s="41"/>
      <c r="V299" s="41" t="s">
        <v>846</v>
      </c>
      <c r="W299" s="307">
        <v>298.0</v>
      </c>
      <c r="X299" s="41"/>
      <c r="Y299" s="682" t="s">
        <v>2335</v>
      </c>
      <c r="Z299" s="307">
        <v>298.0</v>
      </c>
      <c r="AA299" s="41"/>
      <c r="AB299" s="41" t="s">
        <v>2437</v>
      </c>
      <c r="AC299" s="307">
        <v>298.0</v>
      </c>
      <c r="AD299" s="79"/>
      <c r="AE299" s="690" t="s">
        <v>229</v>
      </c>
      <c r="AF299" s="307">
        <v>298.0</v>
      </c>
      <c r="AH299" s="687" t="s">
        <v>2702</v>
      </c>
      <c r="AI299" s="307">
        <v>298.0</v>
      </c>
      <c r="AK299" s="687" t="s">
        <v>1086</v>
      </c>
      <c r="AL299" s="307">
        <v>298.0</v>
      </c>
      <c r="AN299" s="687" t="s">
        <v>914</v>
      </c>
      <c r="AO299" s="307">
        <v>298.0</v>
      </c>
      <c r="AQ299" s="687" t="s">
        <v>2371</v>
      </c>
      <c r="AR299" s="307">
        <v>298.0</v>
      </c>
      <c r="AT299" s="687" t="s">
        <v>2731</v>
      </c>
      <c r="AU299" s="307">
        <v>298.0</v>
      </c>
      <c r="AW299" s="687" t="s">
        <v>2371</v>
      </c>
      <c r="AX299" s="307">
        <v>298.0</v>
      </c>
      <c r="AZ299" s="687" t="s">
        <v>2733</v>
      </c>
      <c r="BA299" s="307">
        <v>298.0</v>
      </c>
      <c r="BC299" s="691" t="s">
        <v>2520</v>
      </c>
      <c r="BD299" s="307">
        <v>298.0</v>
      </c>
      <c r="BF299" s="687" t="s">
        <v>2739</v>
      </c>
      <c r="BG299" s="145">
        <v>298.0</v>
      </c>
      <c r="BI299" s="688" t="s">
        <v>2741</v>
      </c>
      <c r="BJ299" s="145">
        <v>298.0</v>
      </c>
      <c r="BL299" s="692" t="s">
        <v>1247</v>
      </c>
      <c r="BM299" s="216">
        <v>298.0</v>
      </c>
    </row>
    <row r="300">
      <c r="A300" s="41" t="s">
        <v>2716</v>
      </c>
      <c r="B300" s="307">
        <v>299.0</v>
      </c>
      <c r="C300" s="41"/>
      <c r="D300" s="41" t="s">
        <v>1005</v>
      </c>
      <c r="E300" s="307">
        <v>299.0</v>
      </c>
      <c r="F300" s="41"/>
      <c r="G300" s="41" t="s">
        <v>815</v>
      </c>
      <c r="H300" s="307">
        <v>299.0</v>
      </c>
      <c r="I300" s="41"/>
      <c r="J300" s="41" t="s">
        <v>2433</v>
      </c>
      <c r="K300" s="307">
        <v>299.0</v>
      </c>
      <c r="L300" s="41"/>
      <c r="M300" s="41" t="s">
        <v>2658</v>
      </c>
      <c r="N300" s="307">
        <v>299.0</v>
      </c>
      <c r="O300" s="41"/>
      <c r="P300" s="41" t="s">
        <v>2717</v>
      </c>
      <c r="Q300" s="307">
        <v>299.0</v>
      </c>
      <c r="R300" s="41"/>
      <c r="S300" s="41" t="s">
        <v>238</v>
      </c>
      <c r="T300" s="307">
        <v>299.0</v>
      </c>
      <c r="U300" s="41"/>
      <c r="V300" s="41" t="s">
        <v>2335</v>
      </c>
      <c r="W300" s="307">
        <v>299.0</v>
      </c>
      <c r="X300" s="41"/>
      <c r="Y300" s="682" t="s">
        <v>2703</v>
      </c>
      <c r="Z300" s="307">
        <v>299.0</v>
      </c>
      <c r="AA300" s="41"/>
      <c r="AB300" s="41" t="s">
        <v>2717</v>
      </c>
      <c r="AC300" s="307">
        <v>299.0</v>
      </c>
      <c r="AD300" s="79"/>
      <c r="AE300" s="690" t="s">
        <v>2720</v>
      </c>
      <c r="AF300" s="307">
        <v>299.0</v>
      </c>
      <c r="AH300" s="687" t="s">
        <v>2717</v>
      </c>
      <c r="AI300" s="307">
        <v>299.0</v>
      </c>
      <c r="AK300" s="687" t="s">
        <v>2397</v>
      </c>
      <c r="AL300" s="307">
        <v>299.0</v>
      </c>
      <c r="AN300" s="687" t="s">
        <v>2729</v>
      </c>
      <c r="AO300" s="307">
        <v>299.0</v>
      </c>
      <c r="AQ300" s="687" t="s">
        <v>2731</v>
      </c>
      <c r="AR300" s="307">
        <v>299.0</v>
      </c>
      <c r="AT300" s="687" t="s">
        <v>2523</v>
      </c>
      <c r="AU300" s="307">
        <v>299.0</v>
      </c>
      <c r="AW300" s="687" t="s">
        <v>2731</v>
      </c>
      <c r="AX300" s="307">
        <v>299.0</v>
      </c>
      <c r="AZ300" s="687" t="s">
        <v>267</v>
      </c>
      <c r="BA300" s="307">
        <v>299.0</v>
      </c>
      <c r="BC300" s="691" t="s">
        <v>2391</v>
      </c>
      <c r="BD300" s="307">
        <v>299.0</v>
      </c>
      <c r="BF300" s="687" t="s">
        <v>2399</v>
      </c>
      <c r="BG300" s="145">
        <v>299.0</v>
      </c>
      <c r="BI300" s="688" t="s">
        <v>222</v>
      </c>
      <c r="BJ300" s="145">
        <v>299.0</v>
      </c>
      <c r="BL300" s="692" t="s">
        <v>2693</v>
      </c>
      <c r="BM300" s="216">
        <v>299.0</v>
      </c>
    </row>
    <row r="301">
      <c r="A301" s="41" t="s">
        <v>846</v>
      </c>
      <c r="B301" s="307">
        <v>300.0</v>
      </c>
      <c r="C301" s="41"/>
      <c r="D301" s="41" t="s">
        <v>2435</v>
      </c>
      <c r="E301" s="307">
        <v>300.0</v>
      </c>
      <c r="F301" s="41"/>
      <c r="G301" s="41" t="s">
        <v>250</v>
      </c>
      <c r="H301" s="307">
        <v>300.0</v>
      </c>
      <c r="I301" s="41"/>
      <c r="J301" s="41" t="s">
        <v>2377</v>
      </c>
      <c r="K301" s="307">
        <v>300.0</v>
      </c>
      <c r="L301" s="41"/>
      <c r="M301" s="41" t="s">
        <v>2454</v>
      </c>
      <c r="N301" s="307">
        <v>300.0</v>
      </c>
      <c r="O301" s="41"/>
      <c r="P301" s="41" t="s">
        <v>856</v>
      </c>
      <c r="Q301" s="307">
        <v>300.0</v>
      </c>
      <c r="R301" s="41"/>
      <c r="S301" s="41" t="s">
        <v>1079</v>
      </c>
      <c r="T301" s="307">
        <v>300.0</v>
      </c>
      <c r="U301" s="41"/>
      <c r="V301" s="41" t="s">
        <v>2703</v>
      </c>
      <c r="W301" s="307">
        <v>300.0</v>
      </c>
      <c r="X301" s="41"/>
      <c r="Y301" s="682" t="s">
        <v>2378</v>
      </c>
      <c r="Z301" s="307">
        <v>300.0</v>
      </c>
      <c r="AA301" s="41"/>
      <c r="AB301" s="41" t="s">
        <v>2402</v>
      </c>
      <c r="AC301" s="307">
        <v>300.0</v>
      </c>
      <c r="AD301" s="79"/>
      <c r="AE301" s="690" t="s">
        <v>2492</v>
      </c>
      <c r="AF301" s="307">
        <v>300.0</v>
      </c>
      <c r="AH301" s="687" t="s">
        <v>1252</v>
      </c>
      <c r="AI301" s="307">
        <v>300.0</v>
      </c>
      <c r="AK301" s="687" t="s">
        <v>945</v>
      </c>
      <c r="AL301" s="307">
        <v>300.0</v>
      </c>
      <c r="AN301" s="687" t="s">
        <v>1238</v>
      </c>
      <c r="AO301" s="307">
        <v>300.0</v>
      </c>
      <c r="AQ301" s="687" t="s">
        <v>2523</v>
      </c>
      <c r="AR301" s="307">
        <v>300.0</v>
      </c>
      <c r="AT301" s="687" t="s">
        <v>2733</v>
      </c>
      <c r="AU301" s="307">
        <v>300.0</v>
      </c>
      <c r="AW301" s="687" t="s">
        <v>2523</v>
      </c>
      <c r="AX301" s="307">
        <v>300.0</v>
      </c>
      <c r="AZ301" s="687" t="s">
        <v>919</v>
      </c>
      <c r="BA301" s="307">
        <v>300.0</v>
      </c>
      <c r="BC301" s="691" t="s">
        <v>2336</v>
      </c>
      <c r="BD301" s="307">
        <v>300.0</v>
      </c>
      <c r="BF301" s="687" t="s">
        <v>2735</v>
      </c>
      <c r="BG301" s="145">
        <v>300.0</v>
      </c>
      <c r="BI301" s="688" t="s">
        <v>1122</v>
      </c>
      <c r="BJ301" s="145">
        <v>300.0</v>
      </c>
      <c r="BL301" s="692" t="s">
        <v>2742</v>
      </c>
      <c r="BM301" s="216">
        <v>300.0</v>
      </c>
    </row>
    <row r="302">
      <c r="A302" s="41" t="s">
        <v>74</v>
      </c>
      <c r="B302" s="307">
        <v>301.0</v>
      </c>
      <c r="C302" s="41"/>
      <c r="D302" s="41" t="s">
        <v>2425</v>
      </c>
      <c r="E302" s="307">
        <v>301.0</v>
      </c>
      <c r="F302" s="41"/>
      <c r="G302" s="41" t="s">
        <v>2432</v>
      </c>
      <c r="H302" s="307">
        <v>301.0</v>
      </c>
      <c r="I302" s="41"/>
      <c r="J302" s="41" t="s">
        <v>838</v>
      </c>
      <c r="K302" s="307">
        <v>301.0</v>
      </c>
      <c r="L302" s="41"/>
      <c r="M302" s="41" t="s">
        <v>2716</v>
      </c>
      <c r="N302" s="307">
        <v>301.0</v>
      </c>
      <c r="O302" s="41"/>
      <c r="P302" s="41" t="s">
        <v>2446</v>
      </c>
      <c r="Q302" s="307">
        <v>301.0</v>
      </c>
      <c r="R302" s="41"/>
      <c r="S302" s="41" t="s">
        <v>2442</v>
      </c>
      <c r="T302" s="307">
        <v>301.0</v>
      </c>
      <c r="U302" s="41"/>
      <c r="V302" s="41" t="s">
        <v>2378</v>
      </c>
      <c r="W302" s="307">
        <v>301.0</v>
      </c>
      <c r="X302" s="41"/>
      <c r="Y302" s="682" t="s">
        <v>2698</v>
      </c>
      <c r="Z302" s="307">
        <v>301.0</v>
      </c>
      <c r="AA302" s="41"/>
      <c r="AB302" s="41" t="s">
        <v>229</v>
      </c>
      <c r="AC302" s="307">
        <v>301.0</v>
      </c>
      <c r="AD302" s="79"/>
      <c r="AE302" s="690" t="s">
        <v>2218</v>
      </c>
      <c r="AF302" s="307">
        <v>301.0</v>
      </c>
      <c r="AH302" s="687" t="s">
        <v>945</v>
      </c>
      <c r="AI302" s="307">
        <v>301.0</v>
      </c>
      <c r="AK302" s="687" t="s">
        <v>2708</v>
      </c>
      <c r="AL302" s="307">
        <v>301.0</v>
      </c>
      <c r="AN302" s="687" t="s">
        <v>2727</v>
      </c>
      <c r="AO302" s="307">
        <v>301.0</v>
      </c>
      <c r="AQ302" s="687" t="s">
        <v>2733</v>
      </c>
      <c r="AR302" s="307">
        <v>301.0</v>
      </c>
      <c r="AT302" s="687" t="s">
        <v>267</v>
      </c>
      <c r="AU302" s="307">
        <v>301.0</v>
      </c>
      <c r="AW302" s="687" t="s">
        <v>2733</v>
      </c>
      <c r="AX302" s="307">
        <v>301.0</v>
      </c>
      <c r="AZ302" s="687" t="s">
        <v>2444</v>
      </c>
      <c r="BA302" s="307">
        <v>301.0</v>
      </c>
      <c r="BC302" s="691" t="s">
        <v>2737</v>
      </c>
      <c r="BD302" s="307">
        <v>301.0</v>
      </c>
      <c r="BF302" s="687" t="s">
        <v>2741</v>
      </c>
      <c r="BG302" s="145">
        <v>301.0</v>
      </c>
      <c r="BI302" s="688" t="s">
        <v>2436</v>
      </c>
      <c r="BJ302" s="145">
        <v>301.0</v>
      </c>
      <c r="BL302" s="692" t="s">
        <v>2743</v>
      </c>
      <c r="BM302" s="216">
        <v>301.0</v>
      </c>
    </row>
    <row r="303">
      <c r="A303" s="41" t="s">
        <v>229</v>
      </c>
      <c r="B303" s="307">
        <v>302.0</v>
      </c>
      <c r="C303" s="41"/>
      <c r="D303" s="41" t="s">
        <v>2426</v>
      </c>
      <c r="E303" s="307">
        <v>302.0</v>
      </c>
      <c r="F303" s="41"/>
      <c r="G303" s="41" t="s">
        <v>273</v>
      </c>
      <c r="H303" s="307">
        <v>302.0</v>
      </c>
      <c r="I303" s="41"/>
      <c r="J303" s="41" t="s">
        <v>224</v>
      </c>
      <c r="K303" s="307">
        <v>302.0</v>
      </c>
      <c r="L303" s="41"/>
      <c r="M303" s="41" t="s">
        <v>914</v>
      </c>
      <c r="N303" s="307">
        <v>302.0</v>
      </c>
      <c r="O303" s="41"/>
      <c r="P303" s="41" t="s">
        <v>2323</v>
      </c>
      <c r="Q303" s="307">
        <v>302.0</v>
      </c>
      <c r="R303" s="41"/>
      <c r="S303" s="41" t="s">
        <v>2421</v>
      </c>
      <c r="T303" s="307">
        <v>302.0</v>
      </c>
      <c r="U303" s="41"/>
      <c r="V303" s="41" t="s">
        <v>233</v>
      </c>
      <c r="W303" s="307">
        <v>302.0</v>
      </c>
      <c r="X303" s="41"/>
      <c r="Y303" s="682" t="s">
        <v>239</v>
      </c>
      <c r="Z303" s="307">
        <v>302.0</v>
      </c>
      <c r="AA303" s="41"/>
      <c r="AB303" s="41" t="s">
        <v>2720</v>
      </c>
      <c r="AC303" s="307">
        <v>302.0</v>
      </c>
      <c r="AD303" s="79"/>
      <c r="AF303" s="307">
        <v>302.0</v>
      </c>
      <c r="AH303" s="687" t="s">
        <v>2335</v>
      </c>
      <c r="AI303" s="307">
        <v>302.0</v>
      </c>
      <c r="AK303" s="685" t="s">
        <v>2442</v>
      </c>
      <c r="AL303" s="307">
        <v>302.0</v>
      </c>
      <c r="AN303" s="687" t="s">
        <v>2313</v>
      </c>
      <c r="AO303" s="307">
        <v>302.0</v>
      </c>
      <c r="AQ303" s="687" t="s">
        <v>267</v>
      </c>
      <c r="AR303" s="307">
        <v>302.0</v>
      </c>
      <c r="AT303" s="687" t="s">
        <v>1079</v>
      </c>
      <c r="AU303" s="307">
        <v>302.0</v>
      </c>
      <c r="AW303" s="687" t="s">
        <v>267</v>
      </c>
      <c r="AX303" s="307">
        <v>302.0</v>
      </c>
      <c r="AZ303" s="687" t="s">
        <v>2520</v>
      </c>
      <c r="BA303" s="307">
        <v>302.0</v>
      </c>
      <c r="BC303" s="691" t="s">
        <v>2738</v>
      </c>
      <c r="BD303" s="307">
        <v>302.0</v>
      </c>
      <c r="BF303" s="687" t="s">
        <v>222</v>
      </c>
      <c r="BG303" s="145">
        <v>302.0</v>
      </c>
      <c r="BI303" s="688" t="s">
        <v>2326</v>
      </c>
      <c r="BJ303" s="145">
        <v>302.0</v>
      </c>
      <c r="BL303" s="692" t="s">
        <v>2744</v>
      </c>
      <c r="BM303" s="216">
        <v>302.0</v>
      </c>
    </row>
    <row r="304">
      <c r="A304" s="41" t="s">
        <v>88</v>
      </c>
      <c r="B304" s="307">
        <v>303.0</v>
      </c>
      <c r="C304" s="41"/>
      <c r="D304" s="41" t="s">
        <v>2194</v>
      </c>
      <c r="E304" s="307">
        <v>303.0</v>
      </c>
      <c r="F304" s="41"/>
      <c r="G304" s="41" t="s">
        <v>2407</v>
      </c>
      <c r="H304" s="307">
        <v>303.0</v>
      </c>
      <c r="I304" s="41"/>
      <c r="J304" s="41" t="s">
        <v>2683</v>
      </c>
      <c r="K304" s="307">
        <v>303.0</v>
      </c>
      <c r="L304" s="41"/>
      <c r="M304" s="41" t="s">
        <v>922</v>
      </c>
      <c r="N304" s="307">
        <v>303.0</v>
      </c>
      <c r="O304" s="41"/>
      <c r="P304" s="41" t="s">
        <v>939</v>
      </c>
      <c r="Q304" s="307">
        <v>303.0</v>
      </c>
      <c r="R304" s="41"/>
      <c r="S304" s="41" t="s">
        <v>2377</v>
      </c>
      <c r="T304" s="307">
        <v>303.0</v>
      </c>
      <c r="U304" s="41"/>
      <c r="V304" s="41"/>
      <c r="W304" s="307">
        <v>303.0</v>
      </c>
      <c r="X304" s="41"/>
      <c r="Y304" s="682" t="s">
        <v>2734</v>
      </c>
      <c r="Z304" s="307">
        <v>303.0</v>
      </c>
      <c r="AA304" s="41"/>
      <c r="AB304" s="41" t="s">
        <v>2492</v>
      </c>
      <c r="AC304" s="307">
        <v>303.0</v>
      </c>
      <c r="AD304" s="79"/>
      <c r="AF304" s="307">
        <v>303.0</v>
      </c>
      <c r="AH304" s="687" t="s">
        <v>2742</v>
      </c>
      <c r="AI304" s="307">
        <v>303.0</v>
      </c>
      <c r="AK304" s="687" t="s">
        <v>847</v>
      </c>
      <c r="AL304" s="307">
        <v>303.0</v>
      </c>
      <c r="AN304" s="687" t="s">
        <v>2693</v>
      </c>
      <c r="AO304" s="307">
        <v>303.0</v>
      </c>
      <c r="AQ304" s="687" t="s">
        <v>1079</v>
      </c>
      <c r="AR304" s="307">
        <v>303.0</v>
      </c>
      <c r="AT304" s="687" t="s">
        <v>919</v>
      </c>
      <c r="AU304" s="307">
        <v>303.0</v>
      </c>
      <c r="AW304" s="687" t="s">
        <v>919</v>
      </c>
      <c r="AX304" s="307">
        <v>303.0</v>
      </c>
      <c r="AZ304" s="687" t="s">
        <v>2391</v>
      </c>
      <c r="BA304" s="307">
        <v>303.0</v>
      </c>
      <c r="BC304" s="691" t="s">
        <v>2472</v>
      </c>
      <c r="BD304" s="307">
        <v>303.0</v>
      </c>
      <c r="BF304" s="687" t="s">
        <v>2448</v>
      </c>
      <c r="BG304" s="145">
        <v>303.0</v>
      </c>
      <c r="BI304" s="688" t="s">
        <v>2410</v>
      </c>
      <c r="BJ304" s="145">
        <v>303.0</v>
      </c>
      <c r="BL304" s="692" t="s">
        <v>2733</v>
      </c>
      <c r="BM304" s="216">
        <v>303.0</v>
      </c>
    </row>
    <row r="305">
      <c r="A305" s="41" t="s">
        <v>2420</v>
      </c>
      <c r="B305" s="307">
        <v>304.0</v>
      </c>
      <c r="C305" s="41"/>
      <c r="D305" s="41" t="s">
        <v>2427</v>
      </c>
      <c r="E305" s="307">
        <v>304.0</v>
      </c>
      <c r="F305" s="41"/>
      <c r="G305" s="41" t="s">
        <v>229</v>
      </c>
      <c r="H305" s="307">
        <v>304.0</v>
      </c>
      <c r="I305" s="41"/>
      <c r="J305" s="41" t="s">
        <v>2700</v>
      </c>
      <c r="K305" s="307">
        <v>304.0</v>
      </c>
      <c r="L305" s="41"/>
      <c r="M305" s="41" t="s">
        <v>905</v>
      </c>
      <c r="N305" s="307">
        <v>304.0</v>
      </c>
      <c r="O305" s="41"/>
      <c r="P305" s="41" t="s">
        <v>2713</v>
      </c>
      <c r="Q305" s="307">
        <v>304.0</v>
      </c>
      <c r="R305" s="41"/>
      <c r="S305" s="41" t="s">
        <v>2684</v>
      </c>
      <c r="T305" s="307">
        <v>304.0</v>
      </c>
      <c r="U305" s="41"/>
      <c r="V305" s="41"/>
      <c r="W305" s="307">
        <v>304.0</v>
      </c>
      <c r="X305" s="41"/>
      <c r="Y305" s="682" t="s">
        <v>2736</v>
      </c>
      <c r="Z305" s="307">
        <v>304.0</v>
      </c>
      <c r="AA305" s="41"/>
      <c r="AB305" s="41" t="s">
        <v>2218</v>
      </c>
      <c r="AC305" s="307">
        <v>304.0</v>
      </c>
      <c r="AD305" s="79"/>
      <c r="AF305" s="307">
        <v>304.0</v>
      </c>
      <c r="AH305" s="687" t="s">
        <v>847</v>
      </c>
      <c r="AI305" s="307">
        <v>304.0</v>
      </c>
      <c r="AK305" s="687" t="s">
        <v>2714</v>
      </c>
      <c r="AL305" s="307">
        <v>304.0</v>
      </c>
      <c r="AN305" s="687" t="s">
        <v>2490</v>
      </c>
      <c r="AO305" s="307">
        <v>304.0</v>
      </c>
      <c r="AQ305" s="687" t="s">
        <v>919</v>
      </c>
      <c r="AR305" s="307">
        <v>304.0</v>
      </c>
      <c r="AT305" s="687" t="s">
        <v>2520</v>
      </c>
      <c r="AU305" s="307">
        <v>304.0</v>
      </c>
      <c r="AW305" s="687" t="s">
        <v>2520</v>
      </c>
      <c r="AX305" s="307">
        <v>304.0</v>
      </c>
      <c r="AZ305" s="687" t="s">
        <v>2261</v>
      </c>
      <c r="BA305" s="307">
        <v>304.0</v>
      </c>
      <c r="BC305" s="691" t="s">
        <v>1140</v>
      </c>
      <c r="BD305" s="307">
        <v>304.0</v>
      </c>
      <c r="BF305" s="687" t="s">
        <v>2351</v>
      </c>
      <c r="BG305" s="145">
        <v>304.0</v>
      </c>
      <c r="BI305" s="688" t="s">
        <v>2740</v>
      </c>
      <c r="BJ305" s="145">
        <v>304.0</v>
      </c>
      <c r="BL305" s="692" t="s">
        <v>2697</v>
      </c>
      <c r="BM305" s="216">
        <v>304.0</v>
      </c>
    </row>
    <row r="306">
      <c r="A306" s="41" t="s">
        <v>817</v>
      </c>
      <c r="B306" s="307">
        <v>305.0</v>
      </c>
      <c r="C306" s="41"/>
      <c r="D306" s="41" t="s">
        <v>2428</v>
      </c>
      <c r="E306" s="307">
        <v>305.0</v>
      </c>
      <c r="F306" s="41"/>
      <c r="G306" s="41" t="s">
        <v>2433</v>
      </c>
      <c r="H306" s="307">
        <v>305.0</v>
      </c>
      <c r="I306" s="41"/>
      <c r="J306" s="41" t="s">
        <v>88</v>
      </c>
      <c r="K306" s="307">
        <v>305.0</v>
      </c>
      <c r="L306" s="41"/>
      <c r="M306" s="41" t="s">
        <v>2704</v>
      </c>
      <c r="N306" s="307">
        <v>305.0</v>
      </c>
      <c r="O306" s="41"/>
      <c r="P306" s="41" t="s">
        <v>1079</v>
      </c>
      <c r="Q306" s="307">
        <v>305.0</v>
      </c>
      <c r="R306" s="41"/>
      <c r="S306" s="41" t="s">
        <v>2456</v>
      </c>
      <c r="T306" s="307">
        <v>305.0</v>
      </c>
      <c r="U306" s="41"/>
      <c r="V306" s="41"/>
      <c r="W306" s="307">
        <v>305.0</v>
      </c>
      <c r="X306" s="41"/>
      <c r="Y306" s="682" t="s">
        <v>2407</v>
      </c>
      <c r="Z306" s="307">
        <v>305.0</v>
      </c>
      <c r="AA306" s="41"/>
      <c r="AB306" s="41" t="s">
        <v>2313</v>
      </c>
      <c r="AC306" s="307">
        <v>305.0</v>
      </c>
      <c r="AD306" s="79"/>
      <c r="AF306" s="307">
        <v>305.0</v>
      </c>
      <c r="AH306" s="687" t="s">
        <v>2437</v>
      </c>
      <c r="AI306" s="307">
        <v>305.0</v>
      </c>
      <c r="AK306" s="687" t="s">
        <v>1098</v>
      </c>
      <c r="AL306" s="307">
        <v>305.0</v>
      </c>
      <c r="AN306" s="687" t="s">
        <v>2316</v>
      </c>
      <c r="AO306" s="307">
        <v>305.0</v>
      </c>
      <c r="AQ306" s="687" t="s">
        <v>2520</v>
      </c>
      <c r="AR306" s="307">
        <v>305.0</v>
      </c>
      <c r="AT306" s="687" t="s">
        <v>2391</v>
      </c>
      <c r="AU306" s="307">
        <v>305.0</v>
      </c>
      <c r="AW306" s="687" t="s">
        <v>2391</v>
      </c>
      <c r="AX306" s="307">
        <v>305.0</v>
      </c>
      <c r="AZ306" s="687" t="s">
        <v>2336</v>
      </c>
      <c r="BA306" s="307">
        <v>305.0</v>
      </c>
      <c r="BC306" s="691" t="s">
        <v>2439</v>
      </c>
      <c r="BD306" s="307">
        <v>305.0</v>
      </c>
      <c r="BF306" s="687" t="s">
        <v>2745</v>
      </c>
      <c r="BG306" s="145">
        <v>305.0</v>
      </c>
      <c r="BI306" s="688" t="s">
        <v>1247</v>
      </c>
      <c r="BJ306" s="145">
        <v>305.0</v>
      </c>
      <c r="BL306" s="692" t="s">
        <v>1137</v>
      </c>
      <c r="BM306" s="216">
        <v>305.0</v>
      </c>
    </row>
    <row r="307">
      <c r="A307" s="41" t="s">
        <v>2421</v>
      </c>
      <c r="B307" s="307">
        <v>306.0</v>
      </c>
      <c r="C307" s="41"/>
      <c r="D307" s="41" t="s">
        <v>815</v>
      </c>
      <c r="E307" s="307">
        <v>306.0</v>
      </c>
      <c r="F307" s="41"/>
      <c r="G307" s="41" t="s">
        <v>2691</v>
      </c>
      <c r="H307" s="307">
        <v>306.0</v>
      </c>
      <c r="I307" s="41"/>
      <c r="J307" s="41" t="s">
        <v>2250</v>
      </c>
      <c r="K307" s="307">
        <v>306.0</v>
      </c>
      <c r="L307" s="41"/>
      <c r="M307" s="41" t="s">
        <v>2634</v>
      </c>
      <c r="N307" s="307">
        <v>306.0</v>
      </c>
      <c r="O307" s="41"/>
      <c r="P307" s="41" t="s">
        <v>2442</v>
      </c>
      <c r="Q307" s="307">
        <v>306.0</v>
      </c>
      <c r="R307" s="41"/>
      <c r="S307" s="41" t="s">
        <v>835</v>
      </c>
      <c r="T307" s="307">
        <v>306.0</v>
      </c>
      <c r="U307" s="41"/>
      <c r="V307" s="41"/>
      <c r="W307" s="307">
        <v>306.0</v>
      </c>
      <c r="X307" s="41"/>
      <c r="Y307" s="682" t="s">
        <v>827</v>
      </c>
      <c r="Z307" s="307">
        <v>306.0</v>
      </c>
      <c r="AA307" s="41"/>
      <c r="AB307" s="41" t="s">
        <v>2701</v>
      </c>
      <c r="AC307" s="307">
        <v>306.0</v>
      </c>
      <c r="AD307" s="79"/>
      <c r="AF307" s="307">
        <v>306.0</v>
      </c>
      <c r="AH307" s="687" t="s">
        <v>2671</v>
      </c>
      <c r="AI307" s="307">
        <v>306.0</v>
      </c>
      <c r="AK307" s="687" t="s">
        <v>2335</v>
      </c>
      <c r="AL307" s="307">
        <v>306.0</v>
      </c>
      <c r="AN307" s="687" t="s">
        <v>2731</v>
      </c>
      <c r="AO307" s="307">
        <v>306.0</v>
      </c>
      <c r="AQ307" s="687" t="s">
        <v>2391</v>
      </c>
      <c r="AR307" s="307">
        <v>306.0</v>
      </c>
      <c r="AT307" s="687" t="s">
        <v>2261</v>
      </c>
      <c r="AU307" s="307">
        <v>306.0</v>
      </c>
      <c r="AW307" s="687" t="s">
        <v>2261</v>
      </c>
      <c r="AX307" s="307">
        <v>306.0</v>
      </c>
      <c r="AZ307" s="687" t="s">
        <v>2442</v>
      </c>
      <c r="BA307" s="307">
        <v>306.0</v>
      </c>
      <c r="BC307" s="691" t="s">
        <v>2739</v>
      </c>
      <c r="BD307" s="307">
        <v>306.0</v>
      </c>
      <c r="BF307" s="687" t="s">
        <v>2726</v>
      </c>
      <c r="BG307" s="145">
        <v>306.0</v>
      </c>
      <c r="BI307" s="688" t="s">
        <v>2730</v>
      </c>
      <c r="BJ307" s="145">
        <v>306.0</v>
      </c>
      <c r="BL307" s="692" t="s">
        <v>2439</v>
      </c>
      <c r="BM307" s="216">
        <v>306.0</v>
      </c>
    </row>
    <row r="308">
      <c r="A308" s="41" t="s">
        <v>2422</v>
      </c>
      <c r="B308" s="307">
        <v>307.0</v>
      </c>
      <c r="C308" s="41"/>
      <c r="D308" s="41" t="s">
        <v>250</v>
      </c>
      <c r="E308" s="307">
        <v>307.0</v>
      </c>
      <c r="F308" s="41"/>
      <c r="G308" s="41" t="s">
        <v>2653</v>
      </c>
      <c r="H308" s="307">
        <v>307.0</v>
      </c>
      <c r="I308" s="41"/>
      <c r="J308" s="41" t="s">
        <v>2677</v>
      </c>
      <c r="K308" s="307">
        <v>307.0</v>
      </c>
      <c r="L308" s="41"/>
      <c r="M308" s="41" t="s">
        <v>263</v>
      </c>
      <c r="N308" s="307">
        <v>307.0</v>
      </c>
      <c r="O308" s="41"/>
      <c r="P308" s="41" t="s">
        <v>2421</v>
      </c>
      <c r="Q308" s="307">
        <v>307.0</v>
      </c>
      <c r="R308" s="41"/>
      <c r="S308" s="41" t="s">
        <v>80</v>
      </c>
      <c r="T308" s="307">
        <v>307.0</v>
      </c>
      <c r="U308" s="41"/>
      <c r="V308" s="41"/>
      <c r="W308" s="307">
        <v>307.0</v>
      </c>
      <c r="X308" s="41"/>
      <c r="Y308" s="682" t="s">
        <v>2332</v>
      </c>
      <c r="Z308" s="307">
        <v>307.0</v>
      </c>
      <c r="AA308" s="41"/>
      <c r="AB308" s="41" t="s">
        <v>2714</v>
      </c>
      <c r="AC308" s="307">
        <v>307.0</v>
      </c>
      <c r="AD308" s="79"/>
      <c r="AF308" s="307">
        <v>307.0</v>
      </c>
      <c r="AH308" s="687" t="s">
        <v>2407</v>
      </c>
      <c r="AI308" s="307">
        <v>307.0</v>
      </c>
      <c r="AK308" s="687" t="s">
        <v>2718</v>
      </c>
      <c r="AL308" s="307">
        <v>307.0</v>
      </c>
      <c r="AN308" s="687" t="s">
        <v>2523</v>
      </c>
      <c r="AO308" s="307">
        <v>307.0</v>
      </c>
      <c r="AQ308" s="687" t="s">
        <v>2261</v>
      </c>
      <c r="AR308" s="307">
        <v>307.0</v>
      </c>
      <c r="AT308" s="687" t="s">
        <v>2336</v>
      </c>
      <c r="AU308" s="307">
        <v>307.0</v>
      </c>
      <c r="AW308" s="687" t="s">
        <v>2336</v>
      </c>
      <c r="AX308" s="307">
        <v>307.0</v>
      </c>
      <c r="AZ308" s="687" t="s">
        <v>2698</v>
      </c>
      <c r="BA308" s="307">
        <v>307.0</v>
      </c>
      <c r="BC308" s="691" t="s">
        <v>2399</v>
      </c>
      <c r="BD308" s="307">
        <v>307.0</v>
      </c>
      <c r="BF308" s="687" t="s">
        <v>2704</v>
      </c>
      <c r="BG308" s="145">
        <v>307.0</v>
      </c>
      <c r="BI308" s="688" t="s">
        <v>2693</v>
      </c>
      <c r="BJ308" s="145">
        <v>307.0</v>
      </c>
      <c r="BL308" s="692" t="s">
        <v>2703</v>
      </c>
      <c r="BM308" s="216">
        <v>307.0</v>
      </c>
    </row>
    <row r="309">
      <c r="A309" s="41" t="s">
        <v>2206</v>
      </c>
      <c r="B309" s="307">
        <v>308.0</v>
      </c>
      <c r="C309" s="41"/>
      <c r="D309" s="41" t="s">
        <v>2403</v>
      </c>
      <c r="E309" s="307">
        <v>308.0</v>
      </c>
      <c r="F309" s="41"/>
      <c r="G309" s="41" t="s">
        <v>2440</v>
      </c>
      <c r="H309" s="307">
        <v>308.0</v>
      </c>
      <c r="I309" s="41"/>
      <c r="J309" s="41" t="s">
        <v>1136</v>
      </c>
      <c r="K309" s="307">
        <v>308.0</v>
      </c>
      <c r="L309" s="41"/>
      <c r="M309" s="41" t="s">
        <v>233</v>
      </c>
      <c r="N309" s="307">
        <v>308.0</v>
      </c>
      <c r="O309" s="41"/>
      <c r="P309" s="41" t="s">
        <v>1122</v>
      </c>
      <c r="Q309" s="307">
        <v>308.0</v>
      </c>
      <c r="R309" s="41"/>
      <c r="S309" s="41" t="s">
        <v>253</v>
      </c>
      <c r="T309" s="307">
        <v>308.0</v>
      </c>
      <c r="U309" s="41"/>
      <c r="V309" s="41"/>
      <c r="W309" s="307">
        <v>308.0</v>
      </c>
      <c r="X309" s="41"/>
      <c r="Y309" s="682" t="s">
        <v>1122</v>
      </c>
      <c r="Z309" s="307">
        <v>308.0</v>
      </c>
      <c r="AA309" s="41"/>
      <c r="AB309" s="41" t="s">
        <v>2697</v>
      </c>
      <c r="AC309" s="307">
        <v>308.0</v>
      </c>
      <c r="AD309" s="79"/>
      <c r="AF309" s="307">
        <v>308.0</v>
      </c>
      <c r="AH309" s="687" t="s">
        <v>2732</v>
      </c>
      <c r="AI309" s="307">
        <v>308.0</v>
      </c>
      <c r="AK309" s="687" t="s">
        <v>1247</v>
      </c>
      <c r="AL309" s="307">
        <v>308.0</v>
      </c>
      <c r="AN309" s="687" t="s">
        <v>2733</v>
      </c>
      <c r="AO309" s="307">
        <v>308.0</v>
      </c>
      <c r="AQ309" s="687" t="s">
        <v>2336</v>
      </c>
      <c r="AR309" s="307">
        <v>308.0</v>
      </c>
      <c r="AT309" s="687" t="s">
        <v>2698</v>
      </c>
      <c r="AU309" s="307">
        <v>308.0</v>
      </c>
      <c r="AW309" s="687" t="s">
        <v>2698</v>
      </c>
      <c r="AX309" s="307">
        <v>308.0</v>
      </c>
      <c r="AZ309" s="687" t="s">
        <v>2737</v>
      </c>
      <c r="BA309" s="307">
        <v>308.0</v>
      </c>
      <c r="BC309" s="691" t="s">
        <v>2445</v>
      </c>
      <c r="BD309" s="307">
        <v>308.0</v>
      </c>
      <c r="BF309" s="687" t="s">
        <v>1246</v>
      </c>
      <c r="BG309" s="145">
        <v>308.0</v>
      </c>
      <c r="BI309" s="688" t="s">
        <v>1079</v>
      </c>
      <c r="BJ309" s="145">
        <v>308.0</v>
      </c>
      <c r="BL309" s="692" t="s">
        <v>2478</v>
      </c>
      <c r="BM309" s="216">
        <v>308.0</v>
      </c>
    </row>
    <row r="310">
      <c r="A310" s="41" t="s">
        <v>1243</v>
      </c>
      <c r="B310" s="307">
        <v>309.0</v>
      </c>
      <c r="C310" s="41"/>
      <c r="D310" s="41" t="s">
        <v>2429</v>
      </c>
      <c r="E310" s="307">
        <v>309.0</v>
      </c>
      <c r="F310" s="41"/>
      <c r="G310" s="41" t="s">
        <v>856</v>
      </c>
      <c r="H310" s="307">
        <v>309.0</v>
      </c>
      <c r="I310" s="41"/>
      <c r="J310" s="41" t="s">
        <v>2449</v>
      </c>
      <c r="K310" s="307">
        <v>309.0</v>
      </c>
      <c r="L310" s="41"/>
      <c r="M310" s="41" t="s">
        <v>2414</v>
      </c>
      <c r="N310" s="307">
        <v>309.0</v>
      </c>
      <c r="O310" s="41"/>
      <c r="P310" s="41" t="s">
        <v>2734</v>
      </c>
      <c r="Q310" s="307">
        <v>309.0</v>
      </c>
      <c r="R310" s="41"/>
      <c r="S310" s="41" t="s">
        <v>846</v>
      </c>
      <c r="T310" s="307">
        <v>309.0</v>
      </c>
      <c r="U310" s="41"/>
      <c r="V310" s="41"/>
      <c r="W310" s="307">
        <v>309.0</v>
      </c>
      <c r="X310" s="41"/>
      <c r="Y310" s="682" t="s">
        <v>2437</v>
      </c>
      <c r="Z310" s="307">
        <v>309.0</v>
      </c>
      <c r="AA310" s="41"/>
      <c r="AB310" s="41" t="s">
        <v>2719</v>
      </c>
      <c r="AC310" s="307">
        <v>309.0</v>
      </c>
      <c r="AD310" s="79"/>
      <c r="AF310" s="307">
        <v>309.0</v>
      </c>
      <c r="AH310" s="687" t="s">
        <v>2447</v>
      </c>
      <c r="AI310" s="307">
        <v>309.0</v>
      </c>
      <c r="AK310" s="687" t="s">
        <v>2711</v>
      </c>
      <c r="AL310" s="307">
        <v>309.0</v>
      </c>
      <c r="AN310" s="687" t="s">
        <v>267</v>
      </c>
      <c r="AO310" s="307">
        <v>309.0</v>
      </c>
      <c r="AQ310" s="687" t="s">
        <v>2698</v>
      </c>
      <c r="AR310" s="307">
        <v>309.0</v>
      </c>
      <c r="AT310" s="687" t="s">
        <v>2737</v>
      </c>
      <c r="AU310" s="307">
        <v>309.0</v>
      </c>
      <c r="AW310" s="687" t="s">
        <v>2737</v>
      </c>
      <c r="AX310" s="307">
        <v>309.0</v>
      </c>
      <c r="AZ310" s="687" t="s">
        <v>2472</v>
      </c>
      <c r="BA310" s="307">
        <v>309.0</v>
      </c>
      <c r="BC310" s="691" t="s">
        <v>2735</v>
      </c>
      <c r="BD310" s="307">
        <v>309.0</v>
      </c>
      <c r="BF310" s="687" t="s">
        <v>2721</v>
      </c>
      <c r="BG310" s="145">
        <v>309.0</v>
      </c>
      <c r="BI310" s="688" t="s">
        <v>2742</v>
      </c>
      <c r="BJ310" s="145">
        <v>309.0</v>
      </c>
      <c r="BL310" s="692" t="s">
        <v>1075</v>
      </c>
      <c r="BM310" s="216">
        <v>309.0</v>
      </c>
    </row>
    <row r="311">
      <c r="A311" s="41" t="s">
        <v>848</v>
      </c>
      <c r="B311" s="307">
        <v>310.0</v>
      </c>
      <c r="C311" s="41"/>
      <c r="D311" s="41" t="s">
        <v>930</v>
      </c>
      <c r="E311" s="307">
        <v>310.0</v>
      </c>
      <c r="F311" s="41"/>
      <c r="G311" s="41" t="s">
        <v>913</v>
      </c>
      <c r="H311" s="307">
        <v>310.0</v>
      </c>
      <c r="I311" s="41"/>
      <c r="J311" s="41" t="s">
        <v>2653</v>
      </c>
      <c r="K311" s="307">
        <v>310.0</v>
      </c>
      <c r="L311" s="41"/>
      <c r="M311" s="41" t="s">
        <v>1243</v>
      </c>
      <c r="N311" s="307">
        <v>310.0</v>
      </c>
      <c r="O311" s="41"/>
      <c r="P311" s="41" t="s">
        <v>2385</v>
      </c>
      <c r="Q311" s="307">
        <v>310.0</v>
      </c>
      <c r="R311" s="41"/>
      <c r="S311" s="41" t="s">
        <v>2335</v>
      </c>
      <c r="T311" s="307">
        <v>310.0</v>
      </c>
      <c r="U311" s="41"/>
      <c r="V311" s="41"/>
      <c r="W311" s="307">
        <v>310.0</v>
      </c>
      <c r="X311" s="41"/>
      <c r="Y311" s="682" t="s">
        <v>2402</v>
      </c>
      <c r="Z311" s="307">
        <v>310.0</v>
      </c>
      <c r="AA311" s="41"/>
      <c r="AB311" s="41" t="s">
        <v>2523</v>
      </c>
      <c r="AC311" s="307">
        <v>310.0</v>
      </c>
      <c r="AD311" s="79"/>
      <c r="AF311" s="307">
        <v>310.0</v>
      </c>
      <c r="AH311" s="687" t="s">
        <v>2736</v>
      </c>
      <c r="AI311" s="307">
        <v>310.0</v>
      </c>
      <c r="AK311" s="687" t="s">
        <v>230</v>
      </c>
      <c r="AL311" s="307">
        <v>310.0</v>
      </c>
      <c r="AN311" s="687" t="s">
        <v>919</v>
      </c>
      <c r="AO311" s="307">
        <v>310.0</v>
      </c>
      <c r="AQ311" s="687" t="s">
        <v>2737</v>
      </c>
      <c r="AR311" s="307">
        <v>310.0</v>
      </c>
      <c r="AT311" s="687" t="s">
        <v>2472</v>
      </c>
      <c r="AU311" s="307">
        <v>310.0</v>
      </c>
      <c r="AW311" s="687" t="s">
        <v>2472</v>
      </c>
      <c r="AX311" s="307">
        <v>310.0</v>
      </c>
      <c r="AZ311" s="687" t="s">
        <v>1140</v>
      </c>
      <c r="BA311" s="307">
        <v>310.0</v>
      </c>
      <c r="BC311" s="691" t="s">
        <v>2741</v>
      </c>
      <c r="BD311" s="307">
        <v>310.0</v>
      </c>
      <c r="BF311" s="687" t="s">
        <v>919</v>
      </c>
      <c r="BG311" s="145">
        <v>310.0</v>
      </c>
      <c r="BI311" s="688" t="s">
        <v>2746</v>
      </c>
      <c r="BJ311" s="145">
        <v>310.0</v>
      </c>
      <c r="BL311" s="692" t="s">
        <v>2747</v>
      </c>
      <c r="BM311" s="216">
        <v>310.0</v>
      </c>
    </row>
    <row r="312">
      <c r="A312" s="41" t="s">
        <v>2424</v>
      </c>
      <c r="B312" s="307">
        <v>311.0</v>
      </c>
      <c r="C312" s="41"/>
      <c r="D312" s="41" t="s">
        <v>2431</v>
      </c>
      <c r="E312" s="307">
        <v>311.0</v>
      </c>
      <c r="F312" s="41"/>
      <c r="G312" s="41" t="s">
        <v>257</v>
      </c>
      <c r="H312" s="307">
        <v>311.0</v>
      </c>
      <c r="I312" s="41"/>
      <c r="J312" s="41" t="s">
        <v>2425</v>
      </c>
      <c r="K312" s="307">
        <v>311.0</v>
      </c>
      <c r="L312" s="41"/>
      <c r="M312" s="41" t="s">
        <v>930</v>
      </c>
      <c r="N312" s="307">
        <v>311.0</v>
      </c>
      <c r="O312" s="41"/>
      <c r="P312" s="41" t="s">
        <v>2456</v>
      </c>
      <c r="Q312" s="307">
        <v>311.0</v>
      </c>
      <c r="R312" s="41"/>
      <c r="S312" s="41" t="s">
        <v>2378</v>
      </c>
      <c r="T312" s="307">
        <v>311.0</v>
      </c>
      <c r="U312" s="41"/>
      <c r="V312" s="41"/>
      <c r="W312" s="307">
        <v>311.0</v>
      </c>
      <c r="X312" s="41"/>
      <c r="Y312" s="682" t="s">
        <v>2368</v>
      </c>
      <c r="Z312" s="307">
        <v>311.0</v>
      </c>
      <c r="AA312" s="41"/>
      <c r="AB312" s="41" t="s">
        <v>1048</v>
      </c>
      <c r="AC312" s="307">
        <v>311.0</v>
      </c>
      <c r="AD312" s="79"/>
      <c r="AF312" s="307">
        <v>311.0</v>
      </c>
      <c r="AH312" s="687" t="s">
        <v>229</v>
      </c>
      <c r="AI312" s="307">
        <v>311.0</v>
      </c>
      <c r="AK312" s="687" t="s">
        <v>2431</v>
      </c>
      <c r="AL312" s="307">
        <v>311.0</v>
      </c>
      <c r="AN312" s="687" t="s">
        <v>2701</v>
      </c>
      <c r="AO312" s="307">
        <v>311.0</v>
      </c>
      <c r="AQ312" s="687" t="s">
        <v>2472</v>
      </c>
      <c r="AR312" s="307">
        <v>311.0</v>
      </c>
      <c r="AU312" s="307">
        <v>311.0</v>
      </c>
      <c r="AW312" s="687" t="s">
        <v>1140</v>
      </c>
      <c r="AX312" s="307">
        <v>311.0</v>
      </c>
      <c r="AZ312" s="687" t="s">
        <v>2439</v>
      </c>
      <c r="BA312" s="307">
        <v>311.0</v>
      </c>
      <c r="BC312" s="691" t="s">
        <v>222</v>
      </c>
      <c r="BD312" s="307">
        <v>311.0</v>
      </c>
      <c r="BF312" s="687" t="s">
        <v>2748</v>
      </c>
      <c r="BG312" s="145">
        <v>311.0</v>
      </c>
      <c r="BI312" s="688" t="s">
        <v>2523</v>
      </c>
      <c r="BJ312" s="145">
        <v>311.0</v>
      </c>
      <c r="BL312" s="692" t="s">
        <v>905</v>
      </c>
      <c r="BM312" s="216">
        <v>311.0</v>
      </c>
    </row>
    <row r="313">
      <c r="A313" s="41" t="s">
        <v>223</v>
      </c>
      <c r="B313" s="307">
        <v>312.0</v>
      </c>
      <c r="C313" s="41"/>
      <c r="D313" s="41" t="s">
        <v>2453</v>
      </c>
      <c r="E313" s="307">
        <v>312.0</v>
      </c>
      <c r="F313" s="41"/>
      <c r="G313" s="41" t="s">
        <v>224</v>
      </c>
      <c r="H313" s="307">
        <v>312.0</v>
      </c>
      <c r="I313" s="41"/>
      <c r="J313" s="41" t="s">
        <v>1113</v>
      </c>
      <c r="K313" s="307">
        <v>312.0</v>
      </c>
      <c r="L313" s="41"/>
      <c r="M313" s="41" t="s">
        <v>2717</v>
      </c>
      <c r="N313" s="307">
        <v>312.0</v>
      </c>
      <c r="O313" s="41"/>
      <c r="P313" s="41" t="s">
        <v>835</v>
      </c>
      <c r="Q313" s="307">
        <v>312.0</v>
      </c>
      <c r="R313" s="41"/>
      <c r="S313" s="41" t="s">
        <v>233</v>
      </c>
      <c r="T313" s="307">
        <v>312.0</v>
      </c>
      <c r="U313" s="41"/>
      <c r="V313" s="41"/>
      <c r="W313" s="307">
        <v>312.0</v>
      </c>
      <c r="X313" s="41"/>
      <c r="Y313" s="698" t="s">
        <v>2720</v>
      </c>
      <c r="Z313" s="307">
        <v>312.0</v>
      </c>
      <c r="AA313" s="41"/>
      <c r="AB313" s="41" t="s">
        <v>2713</v>
      </c>
      <c r="AC313" s="307">
        <v>312.0</v>
      </c>
      <c r="AD313" s="79"/>
      <c r="AF313" s="307">
        <v>312.0</v>
      </c>
      <c r="AH313" s="687" t="s">
        <v>2715</v>
      </c>
      <c r="AI313" s="307">
        <v>312.0</v>
      </c>
      <c r="AK313" s="687" t="s">
        <v>2407</v>
      </c>
      <c r="AL313" s="307">
        <v>312.0</v>
      </c>
      <c r="AN313" s="687" t="s">
        <v>2520</v>
      </c>
      <c r="AO313" s="307">
        <v>312.0</v>
      </c>
      <c r="AQ313" s="687" t="s">
        <v>1140</v>
      </c>
      <c r="AR313" s="307">
        <v>312.0</v>
      </c>
      <c r="AU313" s="307">
        <v>312.0</v>
      </c>
      <c r="AW313" s="687" t="s">
        <v>2439</v>
      </c>
      <c r="AX313" s="307">
        <v>312.0</v>
      </c>
      <c r="AZ313" s="687" t="s">
        <v>2410</v>
      </c>
      <c r="BA313" s="307">
        <v>312.0</v>
      </c>
      <c r="BC313" s="691" t="s">
        <v>2448</v>
      </c>
      <c r="BD313" s="307">
        <v>312.0</v>
      </c>
      <c r="BF313" s="687" t="s">
        <v>1122</v>
      </c>
      <c r="BG313" s="145">
        <v>312.0</v>
      </c>
      <c r="BI313" s="688" t="s">
        <v>2737</v>
      </c>
      <c r="BJ313" s="145">
        <v>312.0</v>
      </c>
      <c r="BL313" s="692" t="s">
        <v>2437</v>
      </c>
      <c r="BM313" s="216">
        <v>312.0</v>
      </c>
    </row>
    <row r="314">
      <c r="A314" s="41" t="s">
        <v>2664</v>
      </c>
      <c r="B314" s="307">
        <v>313.0</v>
      </c>
      <c r="C314" s="41"/>
      <c r="D314" s="41" t="s">
        <v>239</v>
      </c>
      <c r="E314" s="307">
        <v>313.0</v>
      </c>
      <c r="F314" s="41"/>
      <c r="G314" s="41" t="s">
        <v>926</v>
      </c>
      <c r="H314" s="307">
        <v>313.0</v>
      </c>
      <c r="I314" s="41"/>
      <c r="J314" s="41" t="s">
        <v>2440</v>
      </c>
      <c r="K314" s="307">
        <v>313.0</v>
      </c>
      <c r="L314" s="41"/>
      <c r="M314" s="41" t="s">
        <v>856</v>
      </c>
      <c r="N314" s="307">
        <v>313.0</v>
      </c>
      <c r="O314" s="41"/>
      <c r="P314" s="41" t="s">
        <v>80</v>
      </c>
      <c r="Q314" s="307">
        <v>313.0</v>
      </c>
      <c r="R314" s="41"/>
      <c r="S314" s="41" t="s">
        <v>239</v>
      </c>
      <c r="T314" s="307">
        <v>313.0</v>
      </c>
      <c r="U314" s="41"/>
      <c r="V314" s="41"/>
      <c r="W314" s="307">
        <v>313.0</v>
      </c>
      <c r="X314" s="41"/>
      <c r="Y314" s="682" t="s">
        <v>2492</v>
      </c>
      <c r="Z314" s="307">
        <v>313.0</v>
      </c>
      <c r="AA314" s="41"/>
      <c r="AB314" s="41" t="s">
        <v>2730</v>
      </c>
      <c r="AC314" s="307">
        <v>313.0</v>
      </c>
      <c r="AD314" s="79"/>
      <c r="AF314" s="307">
        <v>313.0</v>
      </c>
      <c r="AH314" s="687" t="s">
        <v>2714</v>
      </c>
      <c r="AI314" s="307">
        <v>313.0</v>
      </c>
      <c r="AK314" s="687" t="s">
        <v>1105</v>
      </c>
      <c r="AL314" s="307">
        <v>313.0</v>
      </c>
      <c r="AN314" s="687" t="s">
        <v>2391</v>
      </c>
      <c r="AO314" s="307">
        <v>313.0</v>
      </c>
      <c r="AQ314" s="687" t="s">
        <v>2439</v>
      </c>
      <c r="AR314" s="307">
        <v>313.0</v>
      </c>
      <c r="AU314" s="307">
        <v>313.0</v>
      </c>
      <c r="AW314" s="687" t="s">
        <v>2410</v>
      </c>
      <c r="AX314" s="307">
        <v>313.0</v>
      </c>
      <c r="AZ314" s="687" t="s">
        <v>2725</v>
      </c>
      <c r="BA314" s="307">
        <v>313.0</v>
      </c>
      <c r="BC314" s="691" t="s">
        <v>2351</v>
      </c>
      <c r="BD314" s="307">
        <v>313.0</v>
      </c>
      <c r="BF314" s="687" t="s">
        <v>2747</v>
      </c>
      <c r="BG314" s="145">
        <v>313.0</v>
      </c>
      <c r="BI314" s="688" t="s">
        <v>2284</v>
      </c>
      <c r="BJ314" s="145">
        <v>313.0</v>
      </c>
      <c r="BL314" s="692" t="s">
        <v>1049</v>
      </c>
      <c r="BM314" s="216">
        <v>313.0</v>
      </c>
    </row>
    <row r="315">
      <c r="A315" s="41" t="s">
        <v>1005</v>
      </c>
      <c r="B315" s="307">
        <v>314.0</v>
      </c>
      <c r="C315" s="41"/>
      <c r="D315" s="41" t="s">
        <v>2432</v>
      </c>
      <c r="E315" s="307">
        <v>314.0</v>
      </c>
      <c r="F315" s="41"/>
      <c r="G315" s="41" t="s">
        <v>88</v>
      </c>
      <c r="H315" s="307">
        <v>314.0</v>
      </c>
      <c r="I315" s="41"/>
      <c r="J315" s="41" t="s">
        <v>2452</v>
      </c>
      <c r="K315" s="307">
        <v>314.0</v>
      </c>
      <c r="L315" s="41"/>
      <c r="M315" s="41" t="s">
        <v>2446</v>
      </c>
      <c r="N315" s="307">
        <v>314.0</v>
      </c>
      <c r="O315" s="41"/>
      <c r="P315" s="41" t="s">
        <v>253</v>
      </c>
      <c r="Q315" s="307">
        <v>314.0</v>
      </c>
      <c r="R315" s="41"/>
      <c r="S315" s="41" t="s">
        <v>2694</v>
      </c>
      <c r="T315" s="307">
        <v>314.0</v>
      </c>
      <c r="U315" s="41"/>
      <c r="V315" s="41"/>
      <c r="W315" s="307">
        <v>314.0</v>
      </c>
      <c r="X315" s="41"/>
      <c r="Y315" s="682" t="s">
        <v>2218</v>
      </c>
      <c r="Z315" s="307">
        <v>314.0</v>
      </c>
      <c r="AA315" s="41"/>
      <c r="AB315" s="41" t="s">
        <v>2406</v>
      </c>
      <c r="AC315" s="307">
        <v>314.0</v>
      </c>
      <c r="AD315" s="79"/>
      <c r="AF315" s="307">
        <v>314.0</v>
      </c>
      <c r="AH315" s="687" t="s">
        <v>2727</v>
      </c>
      <c r="AI315" s="307">
        <v>314.0</v>
      </c>
      <c r="AK315" s="687" t="s">
        <v>2732</v>
      </c>
      <c r="AL315" s="307">
        <v>314.0</v>
      </c>
      <c r="AN315" s="687" t="s">
        <v>2261</v>
      </c>
      <c r="AO315" s="307">
        <v>314.0</v>
      </c>
      <c r="AQ315" s="687" t="s">
        <v>2410</v>
      </c>
      <c r="AR315" s="307">
        <v>314.0</v>
      </c>
      <c r="AU315" s="307">
        <v>314.0</v>
      </c>
      <c r="AW315" s="687" t="s">
        <v>2725</v>
      </c>
      <c r="AX315" s="307">
        <v>314.0</v>
      </c>
      <c r="AZ315" s="687" t="s">
        <v>2739</v>
      </c>
      <c r="BA315" s="307">
        <v>314.0</v>
      </c>
      <c r="BC315" s="691" t="s">
        <v>2745</v>
      </c>
      <c r="BD315" s="307">
        <v>314.0</v>
      </c>
      <c r="BF315" s="687" t="s">
        <v>2436</v>
      </c>
      <c r="BG315" s="145">
        <v>314.0</v>
      </c>
      <c r="BI315" s="688" t="s">
        <v>2743</v>
      </c>
      <c r="BJ315" s="145">
        <v>314.0</v>
      </c>
      <c r="BL315" s="692" t="s">
        <v>2717</v>
      </c>
      <c r="BM315" s="216">
        <v>314.0</v>
      </c>
    </row>
    <row r="316">
      <c r="A316" s="41" t="s">
        <v>841</v>
      </c>
      <c r="B316" s="307">
        <v>315.0</v>
      </c>
      <c r="C316" s="41"/>
      <c r="D316" s="41" t="s">
        <v>2433</v>
      </c>
      <c r="E316" s="307">
        <v>315.0</v>
      </c>
      <c r="F316" s="41"/>
      <c r="G316" s="41" t="s">
        <v>1079</v>
      </c>
      <c r="H316" s="307">
        <v>315.0</v>
      </c>
      <c r="I316" s="41"/>
      <c r="J316" s="41" t="s">
        <v>2712</v>
      </c>
      <c r="K316" s="307">
        <v>315.0</v>
      </c>
      <c r="L316" s="41"/>
      <c r="M316" s="41" t="s">
        <v>2323</v>
      </c>
      <c r="N316" s="307">
        <v>315.0</v>
      </c>
      <c r="O316" s="41"/>
      <c r="P316" s="41" t="s">
        <v>2335</v>
      </c>
      <c r="Q316" s="307">
        <v>315.0</v>
      </c>
      <c r="R316" s="41"/>
      <c r="S316" s="41" t="s">
        <v>2734</v>
      </c>
      <c r="T316" s="307">
        <v>315.0</v>
      </c>
      <c r="U316" s="41"/>
      <c r="V316" s="41"/>
      <c r="W316" s="307">
        <v>315.0</v>
      </c>
      <c r="X316" s="41"/>
      <c r="Y316" s="698" t="s">
        <v>2701</v>
      </c>
      <c r="Z316" s="307">
        <v>315.0</v>
      </c>
      <c r="AA316" s="41"/>
      <c r="AB316" s="41" t="s">
        <v>2421</v>
      </c>
      <c r="AC316" s="307">
        <v>315.0</v>
      </c>
      <c r="AD316" s="79"/>
      <c r="AF316" s="307">
        <v>315.0</v>
      </c>
      <c r="AH316" s="687" t="s">
        <v>2258</v>
      </c>
      <c r="AI316" s="307">
        <v>315.0</v>
      </c>
      <c r="AK316" s="687" t="s">
        <v>2437</v>
      </c>
      <c r="AL316" s="307">
        <v>315.0</v>
      </c>
      <c r="AN316" s="687" t="s">
        <v>2336</v>
      </c>
      <c r="AO316" s="307">
        <v>315.0</v>
      </c>
      <c r="AQ316" s="687" t="s">
        <v>2397</v>
      </c>
      <c r="AR316" s="307">
        <v>315.0</v>
      </c>
      <c r="AU316" s="307">
        <v>315.0</v>
      </c>
      <c r="AW316" s="687" t="s">
        <v>2739</v>
      </c>
      <c r="AX316" s="307">
        <v>315.0</v>
      </c>
      <c r="AZ316" s="687" t="s">
        <v>2399</v>
      </c>
      <c r="BA316" s="307">
        <v>315.0</v>
      </c>
      <c r="BC316" s="691" t="s">
        <v>1246</v>
      </c>
      <c r="BD316" s="307">
        <v>315.0</v>
      </c>
      <c r="BF316" s="687" t="s">
        <v>2326</v>
      </c>
      <c r="BG316" s="145">
        <v>315.0</v>
      </c>
      <c r="BI316" s="688" t="s">
        <v>2744</v>
      </c>
      <c r="BJ316" s="145">
        <v>315.0</v>
      </c>
      <c r="BL316" s="692" t="s">
        <v>2472</v>
      </c>
      <c r="BM316" s="216">
        <v>315.0</v>
      </c>
    </row>
    <row r="317">
      <c r="A317" s="41" t="s">
        <v>2425</v>
      </c>
      <c r="B317" s="307">
        <v>316.0</v>
      </c>
      <c r="C317" s="41"/>
      <c r="D317" s="41" t="s">
        <v>2665</v>
      </c>
      <c r="E317" s="307">
        <v>316.0</v>
      </c>
      <c r="F317" s="41"/>
      <c r="G317" s="41" t="s">
        <v>930</v>
      </c>
      <c r="H317" s="307">
        <v>316.0</v>
      </c>
      <c r="I317" s="41"/>
      <c r="J317" s="41" t="s">
        <v>2284</v>
      </c>
      <c r="K317" s="307">
        <v>316.0</v>
      </c>
      <c r="L317" s="41"/>
      <c r="M317" s="41" t="s">
        <v>1250</v>
      </c>
      <c r="N317" s="307">
        <v>316.0</v>
      </c>
      <c r="O317" s="41"/>
      <c r="P317" s="41" t="s">
        <v>2378</v>
      </c>
      <c r="Q317" s="307">
        <v>316.0</v>
      </c>
      <c r="R317" s="41"/>
      <c r="S317" s="41" t="s">
        <v>2714</v>
      </c>
      <c r="T317" s="307">
        <v>316.0</v>
      </c>
      <c r="U317" s="41"/>
      <c r="V317" s="41"/>
      <c r="W317" s="307">
        <v>316.0</v>
      </c>
      <c r="X317" s="41"/>
      <c r="Y317" s="698" t="s">
        <v>2714</v>
      </c>
      <c r="Z317" s="307">
        <v>316.0</v>
      </c>
      <c r="AA317" s="41"/>
      <c r="AB317" s="41" t="s">
        <v>2454</v>
      </c>
      <c r="AC317" s="307">
        <v>316.0</v>
      </c>
      <c r="AD317" s="79"/>
      <c r="AF317" s="307">
        <v>316.0</v>
      </c>
      <c r="AH317" s="687" t="s">
        <v>1048</v>
      </c>
      <c r="AI317" s="307">
        <v>316.0</v>
      </c>
      <c r="AK317" s="687" t="s">
        <v>2702</v>
      </c>
      <c r="AL317" s="307">
        <v>316.0</v>
      </c>
      <c r="AN317" s="687" t="s">
        <v>2698</v>
      </c>
      <c r="AO317" s="307">
        <v>316.0</v>
      </c>
      <c r="AQ317" s="687" t="s">
        <v>2739</v>
      </c>
      <c r="AR317" s="307">
        <v>316.0</v>
      </c>
      <c r="AU317" s="307">
        <v>316.0</v>
      </c>
      <c r="AW317" s="687" t="s">
        <v>2437</v>
      </c>
      <c r="AX317" s="307">
        <v>316.0</v>
      </c>
      <c r="AZ317" s="687" t="s">
        <v>2445</v>
      </c>
      <c r="BA317" s="307">
        <v>316.0</v>
      </c>
      <c r="BC317" s="691" t="s">
        <v>2721</v>
      </c>
      <c r="BD317" s="307">
        <v>316.0</v>
      </c>
      <c r="BF317" s="687" t="s">
        <v>2410</v>
      </c>
      <c r="BG317" s="145">
        <v>316.0</v>
      </c>
      <c r="BI317" s="688" t="s">
        <v>2733</v>
      </c>
      <c r="BJ317" s="145">
        <v>316.0</v>
      </c>
      <c r="BL317" s="692" t="s">
        <v>2407</v>
      </c>
      <c r="BM317" s="216">
        <v>316.0</v>
      </c>
    </row>
    <row r="318">
      <c r="A318" s="41" t="s">
        <v>2426</v>
      </c>
      <c r="B318" s="307">
        <v>317.0</v>
      </c>
      <c r="C318" s="41"/>
      <c r="D318" s="41" t="s">
        <v>1076</v>
      </c>
      <c r="E318" s="307">
        <v>317.0</v>
      </c>
      <c r="F318" s="41"/>
      <c r="G318" s="41" t="s">
        <v>2412</v>
      </c>
      <c r="H318" s="307">
        <v>317.0</v>
      </c>
      <c r="I318" s="41"/>
      <c r="J318" s="41" t="s">
        <v>230</v>
      </c>
      <c r="K318" s="307">
        <v>317.0</v>
      </c>
      <c r="L318" s="41"/>
      <c r="M318" s="41" t="s">
        <v>939</v>
      </c>
      <c r="N318" s="307">
        <v>317.0</v>
      </c>
      <c r="O318" s="41"/>
      <c r="P318" s="41" t="s">
        <v>2745</v>
      </c>
      <c r="Q318" s="307">
        <v>317.0</v>
      </c>
      <c r="R318" s="41"/>
      <c r="S318" s="41" t="s">
        <v>2736</v>
      </c>
      <c r="T318" s="307">
        <v>317.0</v>
      </c>
      <c r="U318" s="41"/>
      <c r="V318" s="41"/>
      <c r="W318" s="307">
        <v>317.0</v>
      </c>
      <c r="X318" s="41"/>
      <c r="Y318" s="682" t="s">
        <v>2294</v>
      </c>
      <c r="Z318" s="307">
        <v>317.0</v>
      </c>
      <c r="AA318" s="41"/>
      <c r="AB318" s="41" t="s">
        <v>2490</v>
      </c>
      <c r="AC318" s="307">
        <v>317.0</v>
      </c>
      <c r="AD318" s="79"/>
      <c r="AF318" s="307">
        <v>317.0</v>
      </c>
      <c r="AH318" s="687" t="s">
        <v>1105</v>
      </c>
      <c r="AI318" s="307">
        <v>317.0</v>
      </c>
      <c r="AK318" s="687" t="s">
        <v>2447</v>
      </c>
      <c r="AL318" s="307">
        <v>317.0</v>
      </c>
      <c r="AN318" s="687" t="s">
        <v>2737</v>
      </c>
      <c r="AO318" s="307">
        <v>317.0</v>
      </c>
      <c r="AQ318" s="687" t="s">
        <v>2437</v>
      </c>
      <c r="AR318" s="307">
        <v>317.0</v>
      </c>
      <c r="AU318" s="307">
        <v>317.0</v>
      </c>
      <c r="AW318" s="687" t="s">
        <v>2399</v>
      </c>
      <c r="AX318" s="307">
        <v>317.0</v>
      </c>
      <c r="AZ318" s="687" t="s">
        <v>2735</v>
      </c>
      <c r="BA318" s="307">
        <v>317.0</v>
      </c>
      <c r="BC318" s="691" t="s">
        <v>2748</v>
      </c>
      <c r="BD318" s="307">
        <v>317.0</v>
      </c>
      <c r="BF318" s="687" t="s">
        <v>2740</v>
      </c>
      <c r="BG318" s="145">
        <v>317.0</v>
      </c>
      <c r="BI318" s="688" t="s">
        <v>2697</v>
      </c>
      <c r="BJ318" s="145">
        <v>317.0</v>
      </c>
      <c r="BL318" s="692" t="s">
        <v>2351</v>
      </c>
      <c r="BM318" s="216">
        <v>317.0</v>
      </c>
    </row>
    <row r="319">
      <c r="A319" s="41" t="s">
        <v>2427</v>
      </c>
      <c r="B319" s="307">
        <v>318.0</v>
      </c>
      <c r="C319" s="41"/>
      <c r="D319" s="41" t="s">
        <v>2707</v>
      </c>
      <c r="E319" s="307">
        <v>318.0</v>
      </c>
      <c r="F319" s="41"/>
      <c r="G319" s="41" t="s">
        <v>2402</v>
      </c>
      <c r="H319" s="307">
        <v>318.0</v>
      </c>
      <c r="I319" s="41"/>
      <c r="J319" s="41" t="s">
        <v>2416</v>
      </c>
      <c r="K319" s="307">
        <v>318.0</v>
      </c>
      <c r="L319" s="41"/>
      <c r="M319" s="41" t="s">
        <v>2713</v>
      </c>
      <c r="N319" s="307">
        <v>318.0</v>
      </c>
      <c r="O319" s="41"/>
      <c r="P319" s="41" t="s">
        <v>239</v>
      </c>
      <c r="Q319" s="307">
        <v>318.0</v>
      </c>
      <c r="R319" s="41"/>
      <c r="S319" s="41" t="s">
        <v>2407</v>
      </c>
      <c r="T319" s="307">
        <v>318.0</v>
      </c>
      <c r="U319" s="41"/>
      <c r="V319" s="41"/>
      <c r="W319" s="307">
        <v>318.0</v>
      </c>
      <c r="X319" s="41"/>
      <c r="Y319" s="698" t="s">
        <v>2719</v>
      </c>
      <c r="Z319" s="307">
        <v>318.0</v>
      </c>
      <c r="AA319" s="41"/>
      <c r="AB319" s="41" t="s">
        <v>1086</v>
      </c>
      <c r="AC319" s="307">
        <v>318.0</v>
      </c>
      <c r="AD319" s="79"/>
      <c r="AF319" s="307">
        <v>318.0</v>
      </c>
      <c r="AH319" s="687" t="s">
        <v>2444</v>
      </c>
      <c r="AI319" s="307">
        <v>318.0</v>
      </c>
      <c r="AK319" s="687" t="s">
        <v>2421</v>
      </c>
      <c r="AL319" s="307">
        <v>318.0</v>
      </c>
      <c r="AN319" s="687" t="s">
        <v>2472</v>
      </c>
      <c r="AO319" s="307">
        <v>318.0</v>
      </c>
      <c r="AQ319" s="687" t="s">
        <v>2399</v>
      </c>
      <c r="AR319" s="307">
        <v>318.0</v>
      </c>
      <c r="AU319" s="307">
        <v>318.0</v>
      </c>
      <c r="AW319" s="687" t="s">
        <v>2735</v>
      </c>
      <c r="AX319" s="307">
        <v>318.0</v>
      </c>
      <c r="AZ319" s="687" t="s">
        <v>2501</v>
      </c>
      <c r="BA319" s="307">
        <v>318.0</v>
      </c>
      <c r="BC319" s="691" t="s">
        <v>1122</v>
      </c>
      <c r="BD319" s="307">
        <v>318.0</v>
      </c>
      <c r="BF319" s="687" t="s">
        <v>2730</v>
      </c>
      <c r="BG319" s="145">
        <v>318.0</v>
      </c>
      <c r="BI319" s="688" t="s">
        <v>1137</v>
      </c>
      <c r="BJ319" s="145">
        <v>318.0</v>
      </c>
      <c r="BL319" s="692" t="s">
        <v>2399</v>
      </c>
      <c r="BM319" s="216">
        <v>318.0</v>
      </c>
    </row>
    <row r="320">
      <c r="A320" s="41" t="s">
        <v>2428</v>
      </c>
      <c r="B320" s="307">
        <v>319.0</v>
      </c>
      <c r="C320" s="41"/>
      <c r="D320" s="41" t="s">
        <v>2653</v>
      </c>
      <c r="E320" s="307">
        <v>319.0</v>
      </c>
      <c r="F320" s="41"/>
      <c r="G320" s="41" t="s">
        <v>2335</v>
      </c>
      <c r="H320" s="307">
        <v>319.0</v>
      </c>
      <c r="I320" s="41"/>
      <c r="J320" s="41" t="s">
        <v>2430</v>
      </c>
      <c r="K320" s="307">
        <v>319.0</v>
      </c>
      <c r="L320" s="41"/>
      <c r="M320" s="41" t="s">
        <v>1079</v>
      </c>
      <c r="N320" s="307">
        <v>319.0</v>
      </c>
      <c r="O320" s="41"/>
      <c r="P320" s="41" t="s">
        <v>2694</v>
      </c>
      <c r="Q320" s="307">
        <v>319.0</v>
      </c>
      <c r="R320" s="41"/>
      <c r="S320" s="41" t="s">
        <v>827</v>
      </c>
      <c r="T320" s="307">
        <v>319.0</v>
      </c>
      <c r="U320" s="41"/>
      <c r="V320" s="41"/>
      <c r="W320" s="307">
        <v>319.0</v>
      </c>
      <c r="X320" s="41"/>
      <c r="Y320" s="698" t="s">
        <v>2439</v>
      </c>
      <c r="Z320" s="307">
        <v>319.0</v>
      </c>
      <c r="AA320" s="41"/>
      <c r="AB320" s="41" t="s">
        <v>250</v>
      </c>
      <c r="AC320" s="307">
        <v>319.0</v>
      </c>
      <c r="AD320" s="79"/>
      <c r="AF320" s="307">
        <v>319.0</v>
      </c>
      <c r="AH320" s="687" t="s">
        <v>2711</v>
      </c>
      <c r="AI320" s="307">
        <v>319.0</v>
      </c>
      <c r="AK320" s="687" t="s">
        <v>2728</v>
      </c>
      <c r="AL320" s="307">
        <v>319.0</v>
      </c>
      <c r="AN320" s="687" t="s">
        <v>1140</v>
      </c>
      <c r="AO320" s="307">
        <v>319.0</v>
      </c>
      <c r="AQ320" s="687" t="s">
        <v>829</v>
      </c>
      <c r="AR320" s="307">
        <v>319.0</v>
      </c>
      <c r="AU320" s="307">
        <v>319.0</v>
      </c>
      <c r="AW320" s="687" t="s">
        <v>2501</v>
      </c>
      <c r="AX320" s="307">
        <v>319.0</v>
      </c>
      <c r="AZ320" s="687" t="s">
        <v>2741</v>
      </c>
      <c r="BA320" s="307">
        <v>319.0</v>
      </c>
      <c r="BC320" s="691" t="s">
        <v>2747</v>
      </c>
      <c r="BD320" s="307">
        <v>319.0</v>
      </c>
      <c r="BF320" s="687" t="s">
        <v>1079</v>
      </c>
      <c r="BG320" s="145">
        <v>319.0</v>
      </c>
      <c r="BI320" s="688" t="s">
        <v>2439</v>
      </c>
      <c r="BJ320" s="145">
        <v>319.0</v>
      </c>
      <c r="BL320" s="692" t="s">
        <v>847</v>
      </c>
      <c r="BM320" s="216">
        <v>319.0</v>
      </c>
    </row>
    <row r="321">
      <c r="A321" s="41" t="s">
        <v>815</v>
      </c>
      <c r="B321" s="307">
        <v>320.0</v>
      </c>
      <c r="C321" s="41"/>
      <c r="D321" s="41" t="s">
        <v>856</v>
      </c>
      <c r="E321" s="307">
        <v>320.0</v>
      </c>
      <c r="F321" s="41"/>
      <c r="G321" s="41" t="s">
        <v>2425</v>
      </c>
      <c r="H321" s="307">
        <v>320.0</v>
      </c>
      <c r="I321" s="41"/>
      <c r="J321" s="41" t="s">
        <v>2399</v>
      </c>
      <c r="K321" s="307">
        <v>320.0</v>
      </c>
      <c r="L321" s="41"/>
      <c r="M321" s="41" t="s">
        <v>2442</v>
      </c>
      <c r="N321" s="307">
        <v>320.0</v>
      </c>
      <c r="O321" s="41"/>
      <c r="P321" s="41" t="s">
        <v>2714</v>
      </c>
      <c r="Q321" s="307">
        <v>320.0</v>
      </c>
      <c r="R321" s="41"/>
      <c r="S321" s="41" t="s">
        <v>2332</v>
      </c>
      <c r="T321" s="307">
        <v>320.0</v>
      </c>
      <c r="U321" s="41"/>
      <c r="V321" s="41"/>
      <c r="W321" s="307">
        <v>320.0</v>
      </c>
      <c r="X321" s="41"/>
      <c r="Y321" s="698" t="s">
        <v>2523</v>
      </c>
      <c r="Z321" s="307">
        <v>320.0</v>
      </c>
      <c r="AA321" s="41"/>
      <c r="AB321" s="41" t="s">
        <v>2749</v>
      </c>
      <c r="AC321" s="307">
        <v>320.0</v>
      </c>
      <c r="AD321" s="79"/>
      <c r="AF321" s="307">
        <v>320.0</v>
      </c>
      <c r="AH321" s="687" t="s">
        <v>2718</v>
      </c>
      <c r="AI321" s="307">
        <v>320.0</v>
      </c>
      <c r="AK321" s="687" t="s">
        <v>2690</v>
      </c>
      <c r="AL321" s="307">
        <v>320.0</v>
      </c>
      <c r="AN321" s="687" t="s">
        <v>2439</v>
      </c>
      <c r="AO321" s="307">
        <v>320.0</v>
      </c>
      <c r="AQ321" s="687" t="s">
        <v>2501</v>
      </c>
      <c r="AR321" s="307">
        <v>320.0</v>
      </c>
      <c r="AU321" s="307">
        <v>320.0</v>
      </c>
      <c r="AW321" s="687" t="s">
        <v>2741</v>
      </c>
      <c r="AX321" s="307">
        <v>320.0</v>
      </c>
      <c r="AZ321" s="687" t="s">
        <v>222</v>
      </c>
      <c r="BA321" s="307">
        <v>320.0</v>
      </c>
      <c r="BC321" s="691" t="s">
        <v>2436</v>
      </c>
      <c r="BD321" s="307">
        <v>320.0</v>
      </c>
      <c r="BF321" s="687" t="s">
        <v>2742</v>
      </c>
      <c r="BG321" s="145">
        <v>320.0</v>
      </c>
      <c r="BI321" s="688" t="s">
        <v>2703</v>
      </c>
      <c r="BJ321" s="145">
        <v>320.0</v>
      </c>
      <c r="BL321" s="692" t="s">
        <v>1102</v>
      </c>
      <c r="BM321" s="216">
        <v>320.0</v>
      </c>
    </row>
    <row r="322">
      <c r="A322" s="41" t="s">
        <v>2429</v>
      </c>
      <c r="B322" s="307">
        <v>321.0</v>
      </c>
      <c r="C322" s="41"/>
      <c r="D322" s="41" t="s">
        <v>913</v>
      </c>
      <c r="E322" s="307">
        <v>321.0</v>
      </c>
      <c r="F322" s="41"/>
      <c r="G322" s="41" t="s">
        <v>2689</v>
      </c>
      <c r="H322" s="307">
        <v>321.0</v>
      </c>
      <c r="I322" s="41"/>
      <c r="J322" s="41" t="s">
        <v>228</v>
      </c>
      <c r="K322" s="307">
        <v>321.0</v>
      </c>
      <c r="L322" s="41"/>
      <c r="M322" s="41" t="s">
        <v>2734</v>
      </c>
      <c r="N322" s="307">
        <v>321.0</v>
      </c>
      <c r="O322" s="41"/>
      <c r="P322" s="41" t="s">
        <v>2736</v>
      </c>
      <c r="Q322" s="307">
        <v>321.0</v>
      </c>
      <c r="R322" s="41"/>
      <c r="S322" s="41" t="s">
        <v>1122</v>
      </c>
      <c r="T322" s="307">
        <v>321.0</v>
      </c>
      <c r="U322" s="41"/>
      <c r="V322" s="41"/>
      <c r="W322" s="307">
        <v>321.0</v>
      </c>
      <c r="X322" s="41"/>
      <c r="Y322" s="682" t="s">
        <v>1048</v>
      </c>
      <c r="Z322" s="307">
        <v>321.0</v>
      </c>
      <c r="AA322" s="41"/>
      <c r="AB322" s="41" t="s">
        <v>252</v>
      </c>
      <c r="AC322" s="307">
        <v>321.0</v>
      </c>
      <c r="AD322" s="79"/>
      <c r="AF322" s="307">
        <v>321.0</v>
      </c>
      <c r="AH322" s="687" t="s">
        <v>2445</v>
      </c>
      <c r="AI322" s="307">
        <v>321.0</v>
      </c>
      <c r="AK322" s="687" t="s">
        <v>2412</v>
      </c>
      <c r="AL322" s="307">
        <v>321.0</v>
      </c>
      <c r="AN322" s="687" t="s">
        <v>2410</v>
      </c>
      <c r="AO322" s="307">
        <v>321.0</v>
      </c>
      <c r="AQ322" s="687" t="s">
        <v>2741</v>
      </c>
      <c r="AR322" s="307">
        <v>321.0</v>
      </c>
      <c r="AU322" s="307">
        <v>321.0</v>
      </c>
      <c r="AW322" s="687" t="s">
        <v>2448</v>
      </c>
      <c r="AX322" s="307">
        <v>321.0</v>
      </c>
      <c r="AZ322" s="687" t="s">
        <v>2448</v>
      </c>
      <c r="BA322" s="307">
        <v>321.0</v>
      </c>
      <c r="BC322" s="691" t="s">
        <v>2326</v>
      </c>
      <c r="BD322" s="307">
        <v>321.0</v>
      </c>
      <c r="BF322" s="687" t="s">
        <v>2710</v>
      </c>
      <c r="BG322" s="145">
        <v>321.0</v>
      </c>
      <c r="BI322" s="688" t="s">
        <v>2478</v>
      </c>
      <c r="BJ322" s="145">
        <v>321.0</v>
      </c>
      <c r="BL322" s="692" t="s">
        <v>2750</v>
      </c>
      <c r="BM322" s="216">
        <v>321.0</v>
      </c>
    </row>
    <row r="323">
      <c r="A323" s="41" t="s">
        <v>930</v>
      </c>
      <c r="B323" s="307">
        <v>322.0</v>
      </c>
      <c r="C323" s="41"/>
      <c r="D323" s="41" t="s">
        <v>257</v>
      </c>
      <c r="E323" s="307">
        <v>322.0</v>
      </c>
      <c r="F323" s="41"/>
      <c r="G323" s="41" t="s">
        <v>2417</v>
      </c>
      <c r="H323" s="307">
        <v>322.0</v>
      </c>
      <c r="I323" s="41"/>
      <c r="J323" s="41" t="s">
        <v>913</v>
      </c>
      <c r="K323" s="307">
        <v>322.0</v>
      </c>
      <c r="L323" s="41"/>
      <c r="M323" s="41" t="s">
        <v>2456</v>
      </c>
      <c r="N323" s="307">
        <v>322.0</v>
      </c>
      <c r="O323" s="41"/>
      <c r="P323" s="41" t="s">
        <v>2332</v>
      </c>
      <c r="Q323" s="307">
        <v>322.0</v>
      </c>
      <c r="R323" s="41"/>
      <c r="S323" s="41" t="s">
        <v>2437</v>
      </c>
      <c r="T323" s="307">
        <v>322.0</v>
      </c>
      <c r="U323" s="41"/>
      <c r="V323" s="41"/>
      <c r="W323" s="307">
        <v>322.0</v>
      </c>
      <c r="X323" s="41"/>
      <c r="Y323" s="698" t="s">
        <v>2713</v>
      </c>
      <c r="Z323" s="307">
        <v>322.0</v>
      </c>
      <c r="AA323" s="41"/>
      <c r="AB323" s="41" t="s">
        <v>2332</v>
      </c>
      <c r="AC323" s="307">
        <v>322.0</v>
      </c>
      <c r="AD323" s="79"/>
      <c r="AF323" s="307">
        <v>322.0</v>
      </c>
      <c r="AH323" s="687" t="s">
        <v>2728</v>
      </c>
      <c r="AI323" s="307">
        <v>322.0</v>
      </c>
      <c r="AK323" s="687" t="s">
        <v>229</v>
      </c>
      <c r="AL323" s="307">
        <v>322.0</v>
      </c>
      <c r="AN323" s="687" t="s">
        <v>2726</v>
      </c>
      <c r="AO323" s="307">
        <v>322.0</v>
      </c>
      <c r="AQ323" s="687" t="s">
        <v>2448</v>
      </c>
      <c r="AR323" s="307">
        <v>322.0</v>
      </c>
      <c r="AU323" s="307">
        <v>322.0</v>
      </c>
      <c r="AW323" s="687" t="s">
        <v>2351</v>
      </c>
      <c r="AX323" s="307">
        <v>322.0</v>
      </c>
      <c r="AZ323" s="687" t="s">
        <v>2351</v>
      </c>
      <c r="BA323" s="307">
        <v>322.0</v>
      </c>
      <c r="BC323" s="691" t="s">
        <v>2410</v>
      </c>
      <c r="BD323" s="307">
        <v>322.0</v>
      </c>
      <c r="BF323" s="687" t="s">
        <v>2337</v>
      </c>
      <c r="BG323" s="145">
        <v>322.0</v>
      </c>
      <c r="BI323" s="688" t="s">
        <v>1075</v>
      </c>
      <c r="BJ323" s="145">
        <v>322.0</v>
      </c>
      <c r="BL323" s="692" t="s">
        <v>2280</v>
      </c>
      <c r="BM323" s="216">
        <v>322.0</v>
      </c>
    </row>
    <row r="324">
      <c r="A324" s="41" t="s">
        <v>2430</v>
      </c>
      <c r="B324" s="307">
        <v>323.0</v>
      </c>
      <c r="C324" s="41"/>
      <c r="D324" s="41" t="s">
        <v>235</v>
      </c>
      <c r="E324" s="307">
        <v>323.0</v>
      </c>
      <c r="F324" s="41"/>
      <c r="G324" s="41" t="s">
        <v>2431</v>
      </c>
      <c r="H324" s="307">
        <v>323.0</v>
      </c>
      <c r="I324" s="41"/>
      <c r="J324" s="41" t="s">
        <v>2439</v>
      </c>
      <c r="K324" s="307">
        <v>323.0</v>
      </c>
      <c r="L324" s="41"/>
      <c r="M324" s="41" t="s">
        <v>2429</v>
      </c>
      <c r="N324" s="307">
        <v>323.0</v>
      </c>
      <c r="O324" s="41"/>
      <c r="P324" s="41" t="s">
        <v>2437</v>
      </c>
      <c r="Q324" s="307">
        <v>323.0</v>
      </c>
      <c r="R324" s="41"/>
      <c r="S324" s="41" t="s">
        <v>2512</v>
      </c>
      <c r="T324" s="307">
        <v>323.0</v>
      </c>
      <c r="U324" s="41"/>
      <c r="V324" s="41"/>
      <c r="W324" s="307">
        <v>323.0</v>
      </c>
      <c r="X324" s="41"/>
      <c r="Y324" s="698" t="s">
        <v>2730</v>
      </c>
      <c r="Z324" s="307">
        <v>323.0</v>
      </c>
      <c r="AA324" s="41"/>
      <c r="AB324" s="41" t="s">
        <v>239</v>
      </c>
      <c r="AC324" s="307">
        <v>323.0</v>
      </c>
      <c r="AD324" s="79"/>
      <c r="AF324" s="307">
        <v>323.0</v>
      </c>
      <c r="AH324" s="687" t="s">
        <v>2431</v>
      </c>
      <c r="AI324" s="307">
        <v>323.0</v>
      </c>
      <c r="AK324" s="687" t="s">
        <v>2736</v>
      </c>
      <c r="AL324" s="307">
        <v>323.0</v>
      </c>
      <c r="AN324" s="687" t="s">
        <v>2739</v>
      </c>
      <c r="AO324" s="307">
        <v>323.0</v>
      </c>
      <c r="AQ324" s="687" t="s">
        <v>2745</v>
      </c>
      <c r="AR324" s="307">
        <v>323.0</v>
      </c>
      <c r="AU324" s="307">
        <v>323.0</v>
      </c>
      <c r="AW324" s="687" t="s">
        <v>2745</v>
      </c>
      <c r="AX324" s="307">
        <v>323.0</v>
      </c>
      <c r="AZ324" s="687" t="s">
        <v>2745</v>
      </c>
      <c r="BA324" s="307">
        <v>323.0</v>
      </c>
      <c r="BC324" s="691" t="s">
        <v>2740</v>
      </c>
      <c r="BD324" s="307">
        <v>323.0</v>
      </c>
      <c r="BF324" s="687" t="s">
        <v>2746</v>
      </c>
      <c r="BG324" s="145">
        <v>323.0</v>
      </c>
      <c r="BI324" s="688" t="s">
        <v>2363</v>
      </c>
      <c r="BJ324" s="145">
        <v>323.0</v>
      </c>
      <c r="BL324" s="692" t="s">
        <v>2482</v>
      </c>
      <c r="BM324" s="216">
        <v>323.0</v>
      </c>
    </row>
    <row r="325">
      <c r="A325" s="41" t="s">
        <v>2423</v>
      </c>
      <c r="B325" s="307">
        <v>324.0</v>
      </c>
      <c r="C325" s="41"/>
      <c r="D325" s="41" t="s">
        <v>2436</v>
      </c>
      <c r="E325" s="307">
        <v>324.0</v>
      </c>
      <c r="F325" s="41"/>
      <c r="G325" s="41" t="s">
        <v>233</v>
      </c>
      <c r="H325" s="307">
        <v>324.0</v>
      </c>
      <c r="I325" s="41"/>
      <c r="J325" s="41" t="s">
        <v>2526</v>
      </c>
      <c r="K325" s="307">
        <v>324.0</v>
      </c>
      <c r="L325" s="41"/>
      <c r="M325" s="41" t="s">
        <v>835</v>
      </c>
      <c r="N325" s="307">
        <v>324.0</v>
      </c>
      <c r="O325" s="41"/>
      <c r="P325" s="41" t="s">
        <v>2512</v>
      </c>
      <c r="Q325" s="307">
        <v>324.0</v>
      </c>
      <c r="R325" s="41"/>
      <c r="S325" s="41" t="s">
        <v>2429</v>
      </c>
      <c r="T325" s="307">
        <v>324.0</v>
      </c>
      <c r="U325" s="41"/>
      <c r="V325" s="41"/>
      <c r="W325" s="307">
        <v>324.0</v>
      </c>
      <c r="X325" s="41"/>
      <c r="Y325" s="698" t="s">
        <v>2406</v>
      </c>
      <c r="Z325" s="307">
        <v>324.0</v>
      </c>
      <c r="AA325" s="41"/>
      <c r="AB325" s="41" t="s">
        <v>2337</v>
      </c>
      <c r="AC325" s="307">
        <v>324.0</v>
      </c>
      <c r="AD325" s="79"/>
      <c r="AF325" s="307">
        <v>324.0</v>
      </c>
      <c r="AH325" s="687" t="s">
        <v>2412</v>
      </c>
      <c r="AI325" s="307">
        <v>324.0</v>
      </c>
      <c r="AK325" s="687" t="s">
        <v>2444</v>
      </c>
      <c r="AL325" s="307">
        <v>324.0</v>
      </c>
      <c r="AN325" s="687" t="s">
        <v>2437</v>
      </c>
      <c r="AO325" s="307">
        <v>324.0</v>
      </c>
      <c r="AQ325" s="687" t="s">
        <v>2738</v>
      </c>
      <c r="AR325" s="307">
        <v>324.0</v>
      </c>
      <c r="AU325" s="307">
        <v>324.0</v>
      </c>
      <c r="AW325" s="687" t="s">
        <v>1246</v>
      </c>
      <c r="AX325" s="307">
        <v>324.0</v>
      </c>
      <c r="AZ325" s="687" t="s">
        <v>1246</v>
      </c>
      <c r="BA325" s="307">
        <v>324.0</v>
      </c>
      <c r="BC325" s="691" t="s">
        <v>2730</v>
      </c>
      <c r="BD325" s="307">
        <v>324.0</v>
      </c>
      <c r="BF325" s="687" t="s">
        <v>2523</v>
      </c>
      <c r="BG325" s="145">
        <v>324.0</v>
      </c>
      <c r="BI325" s="688" t="s">
        <v>2747</v>
      </c>
      <c r="BJ325" s="145">
        <v>324.0</v>
      </c>
      <c r="BL325" s="692" t="s">
        <v>2326</v>
      </c>
      <c r="BM325" s="216">
        <v>324.0</v>
      </c>
    </row>
    <row r="326">
      <c r="A326" s="41" t="s">
        <v>2431</v>
      </c>
      <c r="B326" s="307">
        <v>325.0</v>
      </c>
      <c r="C326" s="41"/>
      <c r="D326" s="41" t="s">
        <v>2284</v>
      </c>
      <c r="E326" s="307">
        <v>325.0</v>
      </c>
      <c r="F326" s="41"/>
      <c r="G326" s="41" t="s">
        <v>2678</v>
      </c>
      <c r="H326" s="307">
        <v>325.0</v>
      </c>
      <c r="I326" s="41"/>
      <c r="J326" s="41" t="s">
        <v>238</v>
      </c>
      <c r="K326" s="307">
        <v>325.0</v>
      </c>
      <c r="L326" s="41"/>
      <c r="M326" s="41" t="s">
        <v>253</v>
      </c>
      <c r="N326" s="307">
        <v>325.0</v>
      </c>
      <c r="O326" s="41"/>
      <c r="P326" s="41" t="s">
        <v>2429</v>
      </c>
      <c r="Q326" s="307">
        <v>325.0</v>
      </c>
      <c r="R326" s="41"/>
      <c r="S326" s="41" t="s">
        <v>2402</v>
      </c>
      <c r="T326" s="307">
        <v>325.0</v>
      </c>
      <c r="U326" s="41"/>
      <c r="V326" s="41"/>
      <c r="W326" s="307">
        <v>325.0</v>
      </c>
      <c r="X326" s="41"/>
      <c r="Y326" s="698" t="s">
        <v>2421</v>
      </c>
      <c r="Z326" s="307">
        <v>325.0</v>
      </c>
      <c r="AA326" s="41"/>
      <c r="AB326" s="41" t="s">
        <v>2745</v>
      </c>
      <c r="AC326" s="307">
        <v>325.0</v>
      </c>
      <c r="AD326" s="79"/>
      <c r="AF326" s="307">
        <v>325.0</v>
      </c>
      <c r="AH326" s="687" t="s">
        <v>914</v>
      </c>
      <c r="AI326" s="307">
        <v>325.0</v>
      </c>
      <c r="AK326" s="687" t="s">
        <v>2685</v>
      </c>
      <c r="AL326" s="307">
        <v>325.0</v>
      </c>
      <c r="AN326" s="687" t="s">
        <v>2399</v>
      </c>
      <c r="AO326" s="307">
        <v>325.0</v>
      </c>
      <c r="AQ326" s="687" t="s">
        <v>2709</v>
      </c>
      <c r="AR326" s="307">
        <v>325.0</v>
      </c>
      <c r="AU326" s="307">
        <v>325.0</v>
      </c>
      <c r="AW326" s="687" t="s">
        <v>2458</v>
      </c>
      <c r="AX326" s="307">
        <v>325.0</v>
      </c>
      <c r="AZ326" s="687" t="s">
        <v>2458</v>
      </c>
      <c r="BA326" s="307">
        <v>325.0</v>
      </c>
      <c r="BC326" s="691" t="s">
        <v>1079</v>
      </c>
      <c r="BD326" s="307">
        <v>325.0</v>
      </c>
      <c r="BF326" s="687" t="s">
        <v>2743</v>
      </c>
      <c r="BG326" s="145">
        <v>325.0</v>
      </c>
      <c r="BI326" s="688" t="s">
        <v>905</v>
      </c>
      <c r="BJ326" s="145">
        <v>325.0</v>
      </c>
      <c r="BL326" s="692" t="s">
        <v>2751</v>
      </c>
      <c r="BM326" s="216">
        <v>325.0</v>
      </c>
    </row>
    <row r="327">
      <c r="A327" s="41" t="s">
        <v>2432</v>
      </c>
      <c r="B327" s="307">
        <v>326.0</v>
      </c>
      <c r="C327" s="41"/>
      <c r="D327" s="41" t="s">
        <v>224</v>
      </c>
      <c r="E327" s="307">
        <v>326.0</v>
      </c>
      <c r="F327" s="41"/>
      <c r="G327" s="41" t="s">
        <v>2336</v>
      </c>
      <c r="H327" s="307">
        <v>326.0</v>
      </c>
      <c r="I327" s="41"/>
      <c r="J327" s="41" t="s">
        <v>2703</v>
      </c>
      <c r="K327" s="307">
        <v>326.0</v>
      </c>
      <c r="L327" s="41"/>
      <c r="M327" s="41" t="s">
        <v>2335</v>
      </c>
      <c r="N327" s="307">
        <v>326.0</v>
      </c>
      <c r="O327" s="41"/>
      <c r="P327" s="41" t="s">
        <v>2402</v>
      </c>
      <c r="Q327" s="307">
        <v>326.0</v>
      </c>
      <c r="R327" s="41"/>
      <c r="S327" s="41" t="s">
        <v>2720</v>
      </c>
      <c r="T327" s="307">
        <v>326.0</v>
      </c>
      <c r="U327" s="41"/>
      <c r="V327" s="41"/>
      <c r="W327" s="307">
        <v>326.0</v>
      </c>
      <c r="X327" s="41"/>
      <c r="Y327" s="682" t="s">
        <v>2752</v>
      </c>
      <c r="Z327" s="307">
        <v>326.0</v>
      </c>
      <c r="AA327" s="41"/>
      <c r="AB327" s="41" t="s">
        <v>2412</v>
      </c>
      <c r="AC327" s="307">
        <v>326.0</v>
      </c>
      <c r="AD327" s="79"/>
      <c r="AF327" s="307">
        <v>326.0</v>
      </c>
      <c r="AH327" s="687" t="s">
        <v>1238</v>
      </c>
      <c r="AI327" s="307">
        <v>326.0</v>
      </c>
      <c r="AK327" s="687" t="s">
        <v>2445</v>
      </c>
      <c r="AL327" s="307">
        <v>326.0</v>
      </c>
      <c r="AN327" s="687" t="s">
        <v>829</v>
      </c>
      <c r="AO327" s="307">
        <v>326.0</v>
      </c>
      <c r="AQ327" s="687" t="s">
        <v>1246</v>
      </c>
      <c r="AR327" s="307">
        <v>326.0</v>
      </c>
      <c r="AU327" s="307">
        <v>326.0</v>
      </c>
      <c r="AW327" s="687" t="s">
        <v>2753</v>
      </c>
      <c r="AX327" s="307">
        <v>326.0</v>
      </c>
      <c r="AZ327" s="687" t="s">
        <v>2721</v>
      </c>
      <c r="BA327" s="307">
        <v>326.0</v>
      </c>
      <c r="BC327" s="691" t="s">
        <v>2508</v>
      </c>
      <c r="BD327" s="307">
        <v>326.0</v>
      </c>
      <c r="BF327" s="687" t="s">
        <v>2744</v>
      </c>
      <c r="BG327" s="145">
        <v>326.0</v>
      </c>
      <c r="BI327" s="688" t="s">
        <v>2437</v>
      </c>
      <c r="BJ327" s="145">
        <v>326.0</v>
      </c>
      <c r="BL327" s="692" t="s">
        <v>2737</v>
      </c>
      <c r="BM327" s="216">
        <v>326.0</v>
      </c>
    </row>
    <row r="328">
      <c r="A328" s="41" t="s">
        <v>257</v>
      </c>
      <c r="B328" s="307">
        <v>327.0</v>
      </c>
      <c r="C328" s="41"/>
      <c r="D328" s="41" t="s">
        <v>2294</v>
      </c>
      <c r="E328" s="307">
        <v>327.0</v>
      </c>
      <c r="F328" s="41"/>
      <c r="G328" s="41" t="s">
        <v>2430</v>
      </c>
      <c r="H328" s="307">
        <v>327.0</v>
      </c>
      <c r="I328" s="41"/>
      <c r="J328" s="41" t="s">
        <v>2400</v>
      </c>
      <c r="K328" s="307">
        <v>327.0</v>
      </c>
      <c r="L328" s="41"/>
      <c r="M328" s="41" t="s">
        <v>2378</v>
      </c>
      <c r="N328" s="307">
        <v>327.0</v>
      </c>
      <c r="O328" s="41"/>
      <c r="P328" s="41" t="s">
        <v>2720</v>
      </c>
      <c r="Q328" s="307">
        <v>327.0</v>
      </c>
      <c r="R328" s="41"/>
      <c r="S328" s="41" t="s">
        <v>2492</v>
      </c>
      <c r="T328" s="307">
        <v>327.0</v>
      </c>
      <c r="U328" s="41"/>
      <c r="V328" s="41"/>
      <c r="W328" s="307">
        <v>327.0</v>
      </c>
      <c r="X328" s="41"/>
      <c r="Y328" s="698" t="s">
        <v>2454</v>
      </c>
      <c r="Z328" s="307">
        <v>327.0</v>
      </c>
      <c r="AA328" s="41"/>
      <c r="AB328" s="41" t="s">
        <v>2448</v>
      </c>
      <c r="AC328" s="307">
        <v>327.0</v>
      </c>
      <c r="AD328" s="79"/>
      <c r="AF328" s="307">
        <v>327.0</v>
      </c>
      <c r="AH328" s="687" t="s">
        <v>2708</v>
      </c>
      <c r="AI328" s="307">
        <v>327.0</v>
      </c>
      <c r="AK328" s="687" t="s">
        <v>914</v>
      </c>
      <c r="AL328" s="307">
        <v>327.0</v>
      </c>
      <c r="AN328" s="687" t="s">
        <v>1079</v>
      </c>
      <c r="AO328" s="307">
        <v>327.0</v>
      </c>
      <c r="AQ328" s="687" t="s">
        <v>920</v>
      </c>
      <c r="AR328" s="307">
        <v>327.0</v>
      </c>
      <c r="AU328" s="307">
        <v>327.0</v>
      </c>
      <c r="AW328" s="687" t="s">
        <v>915</v>
      </c>
      <c r="AX328" s="307">
        <v>327.0</v>
      </c>
      <c r="AZ328" s="687" t="s">
        <v>2748</v>
      </c>
      <c r="BA328" s="307">
        <v>327.0</v>
      </c>
      <c r="BC328" s="691" t="s">
        <v>2742</v>
      </c>
      <c r="BD328" s="307">
        <v>327.0</v>
      </c>
      <c r="BF328" s="687" t="s">
        <v>2722</v>
      </c>
      <c r="BG328" s="145">
        <v>327.0</v>
      </c>
      <c r="BI328" s="688" t="s">
        <v>1049</v>
      </c>
      <c r="BJ328" s="145">
        <v>327.0</v>
      </c>
      <c r="BL328" s="692" t="s">
        <v>2754</v>
      </c>
      <c r="BM328" s="216">
        <v>327.0</v>
      </c>
    </row>
    <row r="329">
      <c r="A329" s="41" t="s">
        <v>239</v>
      </c>
      <c r="B329" s="307">
        <v>328.0</v>
      </c>
      <c r="C329" s="41"/>
      <c r="D329" s="41" t="s">
        <v>2323</v>
      </c>
      <c r="E329" s="307">
        <v>328.0</v>
      </c>
      <c r="F329" s="41"/>
      <c r="G329" s="41" t="s">
        <v>2664</v>
      </c>
      <c r="H329" s="307">
        <v>328.0</v>
      </c>
      <c r="I329" s="41"/>
      <c r="J329" s="41" t="s">
        <v>229</v>
      </c>
      <c r="K329" s="307">
        <v>328.0</v>
      </c>
      <c r="L329" s="41"/>
      <c r="M329" s="41" t="s">
        <v>2745</v>
      </c>
      <c r="N329" s="307">
        <v>328.0</v>
      </c>
      <c r="O329" s="41"/>
      <c r="P329" s="41" t="s">
        <v>2492</v>
      </c>
      <c r="Q329" s="307">
        <v>328.0</v>
      </c>
      <c r="R329" s="41"/>
      <c r="S329" s="41" t="s">
        <v>2218</v>
      </c>
      <c r="T329" s="307">
        <v>328.0</v>
      </c>
      <c r="U329" s="41"/>
      <c r="V329" s="41"/>
      <c r="W329" s="307">
        <v>328.0</v>
      </c>
      <c r="X329" s="41"/>
      <c r="Y329" s="682" t="s">
        <v>2490</v>
      </c>
      <c r="Z329" s="307">
        <v>328.0</v>
      </c>
      <c r="AA329" s="41"/>
      <c r="AB329" s="41" t="s">
        <v>2687</v>
      </c>
      <c r="AC329" s="307">
        <v>328.0</v>
      </c>
      <c r="AD329" s="79"/>
      <c r="AF329" s="307">
        <v>328.0</v>
      </c>
      <c r="AH329" s="687" t="s">
        <v>1249</v>
      </c>
      <c r="AI329" s="307">
        <v>328.0</v>
      </c>
      <c r="AK329" s="687" t="s">
        <v>2729</v>
      </c>
      <c r="AL329" s="307">
        <v>328.0</v>
      </c>
      <c r="AN329" s="687" t="s">
        <v>2501</v>
      </c>
      <c r="AO329" s="307">
        <v>328.0</v>
      </c>
      <c r="AQ329" s="687" t="s">
        <v>2753</v>
      </c>
      <c r="AR329" s="307">
        <v>328.0</v>
      </c>
      <c r="AU329" s="307">
        <v>328.0</v>
      </c>
      <c r="AW329" s="687" t="s">
        <v>2479</v>
      </c>
      <c r="AX329" s="307">
        <v>328.0</v>
      </c>
      <c r="AZ329" s="687" t="s">
        <v>1122</v>
      </c>
      <c r="BA329" s="307">
        <v>328.0</v>
      </c>
      <c r="BC329" s="691" t="s">
        <v>2755</v>
      </c>
      <c r="BD329" s="307">
        <v>328.0</v>
      </c>
      <c r="BF329" s="687" t="s">
        <v>2697</v>
      </c>
      <c r="BG329" s="145">
        <v>328.0</v>
      </c>
      <c r="BI329" s="688" t="s">
        <v>2407</v>
      </c>
      <c r="BJ329" s="145">
        <v>328.0</v>
      </c>
      <c r="BL329" s="692" t="s">
        <v>2756</v>
      </c>
      <c r="BM329" s="216">
        <v>328.0</v>
      </c>
    </row>
    <row r="330">
      <c r="A330" s="705" t="s">
        <v>2433</v>
      </c>
      <c r="B330" s="307">
        <v>329.0</v>
      </c>
      <c r="C330" s="705"/>
      <c r="D330" s="705" t="s">
        <v>2335</v>
      </c>
      <c r="E330" s="307">
        <v>329.0</v>
      </c>
      <c r="F330" s="705"/>
      <c r="G330" s="705" t="s">
        <v>2682</v>
      </c>
      <c r="H330" s="307">
        <v>329.0</v>
      </c>
      <c r="I330" s="41"/>
      <c r="J330" s="41" t="s">
        <v>257</v>
      </c>
      <c r="K330" s="307">
        <v>329.0</v>
      </c>
      <c r="L330" s="41"/>
      <c r="M330" s="41" t="s">
        <v>2416</v>
      </c>
      <c r="N330" s="307">
        <v>329.0</v>
      </c>
      <c r="O330" s="41"/>
      <c r="P330" s="41" t="s">
        <v>2294</v>
      </c>
      <c r="Q330" s="307">
        <v>329.0</v>
      </c>
      <c r="R330" s="41"/>
      <c r="S330" s="41" t="s">
        <v>2294</v>
      </c>
      <c r="T330" s="307">
        <v>329.0</v>
      </c>
      <c r="U330" s="41"/>
      <c r="V330" s="41"/>
      <c r="W330" s="307">
        <v>329.0</v>
      </c>
      <c r="X330" s="41"/>
      <c r="Y330" s="682" t="s">
        <v>1086</v>
      </c>
      <c r="Z330" s="307">
        <v>329.0</v>
      </c>
      <c r="AA330" s="41"/>
      <c r="AB330" s="41" t="s">
        <v>2482</v>
      </c>
      <c r="AC330" s="307">
        <v>329.0</v>
      </c>
      <c r="AD330" s="79"/>
      <c r="AF330" s="307">
        <v>329.0</v>
      </c>
      <c r="AH330" s="687" t="s">
        <v>1098</v>
      </c>
      <c r="AI330" s="307">
        <v>329.0</v>
      </c>
      <c r="AK330" s="687" t="s">
        <v>1238</v>
      </c>
      <c r="AL330" s="307">
        <v>329.0</v>
      </c>
      <c r="AN330" s="687" t="s">
        <v>2741</v>
      </c>
      <c r="AO330" s="307">
        <v>329.0</v>
      </c>
      <c r="AQ330" s="687" t="s">
        <v>915</v>
      </c>
      <c r="AR330" s="307">
        <v>329.0</v>
      </c>
      <c r="AU330" s="307">
        <v>329.0</v>
      </c>
      <c r="AW330" s="687" t="s">
        <v>2721</v>
      </c>
      <c r="AX330" s="307">
        <v>329.0</v>
      </c>
      <c r="AZ330" s="687" t="s">
        <v>2747</v>
      </c>
      <c r="BA330" s="307">
        <v>329.0</v>
      </c>
      <c r="BC330" s="691" t="s">
        <v>2337</v>
      </c>
      <c r="BD330" s="307">
        <v>329.0</v>
      </c>
      <c r="BF330" s="687" t="s">
        <v>1137</v>
      </c>
      <c r="BG330" s="145">
        <v>329.0</v>
      </c>
      <c r="BI330" s="688" t="s">
        <v>2399</v>
      </c>
      <c r="BJ330" s="145">
        <v>329.0</v>
      </c>
      <c r="BL330" s="692" t="s">
        <v>2757</v>
      </c>
      <c r="BM330" s="216">
        <v>329.0</v>
      </c>
    </row>
    <row r="331">
      <c r="A331" s="41" t="s">
        <v>2665</v>
      </c>
      <c r="B331" s="307">
        <v>330.0</v>
      </c>
      <c r="C331" s="41"/>
      <c r="D331" s="41" t="s">
        <v>240</v>
      </c>
      <c r="E331" s="307">
        <v>330.0</v>
      </c>
      <c r="F331" s="41"/>
      <c r="G331" s="41" t="s">
        <v>2294</v>
      </c>
      <c r="H331" s="307">
        <v>330.0</v>
      </c>
      <c r="I331" s="41"/>
      <c r="J331" s="41" t="s">
        <v>2443</v>
      </c>
      <c r="K331" s="307">
        <v>330.0</v>
      </c>
      <c r="L331" s="41"/>
      <c r="M331" s="41" t="s">
        <v>239</v>
      </c>
      <c r="N331" s="307">
        <v>330.0</v>
      </c>
      <c r="O331" s="41"/>
      <c r="P331" s="41" t="s">
        <v>2749</v>
      </c>
      <c r="Q331" s="307">
        <v>330.0</v>
      </c>
      <c r="R331" s="41"/>
      <c r="S331" s="41" t="s">
        <v>2719</v>
      </c>
      <c r="T331" s="307">
        <v>330.0</v>
      </c>
      <c r="U331" s="41"/>
      <c r="V331" s="41"/>
      <c r="W331" s="307">
        <v>330.0</v>
      </c>
      <c r="X331" s="41"/>
      <c r="Y331" s="698" t="s">
        <v>250</v>
      </c>
      <c r="Z331" s="307">
        <v>330.0</v>
      </c>
      <c r="AA331" s="41"/>
      <c r="AB331" s="41" t="s">
        <v>1049</v>
      </c>
      <c r="AC331" s="307">
        <v>330.0</v>
      </c>
      <c r="AD331" s="79"/>
      <c r="AF331" s="307">
        <v>330.0</v>
      </c>
      <c r="AH331" s="687" t="s">
        <v>1247</v>
      </c>
      <c r="AI331" s="307">
        <v>330.0</v>
      </c>
      <c r="AK331" s="687" t="s">
        <v>2727</v>
      </c>
      <c r="AL331" s="307">
        <v>330.0</v>
      </c>
      <c r="AN331" s="687" t="s">
        <v>2448</v>
      </c>
      <c r="AO331" s="307">
        <v>330.0</v>
      </c>
      <c r="AQ331" s="687" t="s">
        <v>1075</v>
      </c>
      <c r="AR331" s="307">
        <v>330.0</v>
      </c>
      <c r="AU331" s="307">
        <v>330.0</v>
      </c>
      <c r="AW331" s="687" t="s">
        <v>2748</v>
      </c>
      <c r="AX331" s="307">
        <v>330.0</v>
      </c>
      <c r="AZ331" s="687" t="s">
        <v>2436</v>
      </c>
      <c r="BA331" s="307">
        <v>330.0</v>
      </c>
      <c r="BC331" s="691" t="s">
        <v>2746</v>
      </c>
      <c r="BD331" s="307">
        <v>330.0</v>
      </c>
      <c r="BF331" s="687" t="s">
        <v>2703</v>
      </c>
      <c r="BG331" s="145">
        <v>330.0</v>
      </c>
      <c r="BI331" s="688" t="s">
        <v>1102</v>
      </c>
      <c r="BJ331" s="145">
        <v>330.0</v>
      </c>
      <c r="BL331" s="692" t="s">
        <v>2758</v>
      </c>
      <c r="BM331" s="216">
        <v>330.0</v>
      </c>
    </row>
    <row r="332">
      <c r="A332" s="41" t="s">
        <v>1076</v>
      </c>
      <c r="B332" s="307">
        <v>331.0</v>
      </c>
      <c r="C332" s="41"/>
      <c r="D332" s="41" t="s">
        <v>2437</v>
      </c>
      <c r="E332" s="307">
        <v>331.0</v>
      </c>
      <c r="F332" s="41"/>
      <c r="G332" s="41" t="s">
        <v>1113</v>
      </c>
      <c r="H332" s="307">
        <v>331.0</v>
      </c>
      <c r="I332" s="41"/>
      <c r="J332" s="41" t="s">
        <v>2319</v>
      </c>
      <c r="K332" s="307">
        <v>331.0</v>
      </c>
      <c r="L332" s="41"/>
      <c r="M332" s="41" t="s">
        <v>2694</v>
      </c>
      <c r="N332" s="307">
        <v>331.0</v>
      </c>
      <c r="O332" s="41"/>
      <c r="P332" s="41" t="s">
        <v>2719</v>
      </c>
      <c r="Q332" s="307">
        <v>331.0</v>
      </c>
      <c r="R332" s="41"/>
      <c r="S332" s="41" t="s">
        <v>2439</v>
      </c>
      <c r="T332" s="307">
        <v>331.0</v>
      </c>
      <c r="U332" s="41"/>
      <c r="V332" s="41"/>
      <c r="W332" s="307">
        <v>331.0</v>
      </c>
      <c r="X332" s="41"/>
      <c r="Y332" s="682" t="s">
        <v>2749</v>
      </c>
      <c r="Z332" s="307">
        <v>331.0</v>
      </c>
      <c r="AA332" s="41"/>
      <c r="AB332" s="41" t="s">
        <v>2722</v>
      </c>
      <c r="AC332" s="307">
        <v>331.0</v>
      </c>
      <c r="AD332" s="79"/>
      <c r="AF332" s="307">
        <v>331.0</v>
      </c>
      <c r="AH332" s="687" t="s">
        <v>2685</v>
      </c>
      <c r="AI332" s="307">
        <v>331.0</v>
      </c>
      <c r="AK332" s="687" t="s">
        <v>2313</v>
      </c>
      <c r="AL332" s="307">
        <v>331.0</v>
      </c>
      <c r="AN332" s="687" t="s">
        <v>2745</v>
      </c>
      <c r="AO332" s="307">
        <v>331.0</v>
      </c>
      <c r="AQ332" s="687" t="s">
        <v>2479</v>
      </c>
      <c r="AR332" s="307">
        <v>331.0</v>
      </c>
      <c r="AU332" s="307">
        <v>331.0</v>
      </c>
      <c r="AW332" s="687" t="s">
        <v>1122</v>
      </c>
      <c r="AX332" s="307">
        <v>331.0</v>
      </c>
      <c r="AZ332" s="687" t="s">
        <v>2759</v>
      </c>
      <c r="BA332" s="307">
        <v>331.0</v>
      </c>
      <c r="BC332" s="691" t="s">
        <v>2523</v>
      </c>
      <c r="BD332" s="307">
        <v>331.0</v>
      </c>
      <c r="BF332" s="687" t="s">
        <v>2459</v>
      </c>
      <c r="BG332" s="145">
        <v>331.0</v>
      </c>
      <c r="BI332" s="688" t="s">
        <v>2738</v>
      </c>
      <c r="BJ332" s="145">
        <v>331.0</v>
      </c>
      <c r="BL332" s="692" t="s">
        <v>2705</v>
      </c>
      <c r="BM332" s="216">
        <v>331.0</v>
      </c>
    </row>
    <row r="333">
      <c r="A333" s="705" t="s">
        <v>2434</v>
      </c>
      <c r="B333" s="307">
        <v>332.0</v>
      </c>
      <c r="C333" s="41"/>
      <c r="D333" s="41" t="s">
        <v>2438</v>
      </c>
      <c r="E333" s="307">
        <v>332.0</v>
      </c>
      <c r="F333" s="41"/>
      <c r="G333" s="41" t="s">
        <v>235</v>
      </c>
      <c r="H333" s="307">
        <v>332.0</v>
      </c>
      <c r="I333" s="41"/>
      <c r="J333" s="41" t="s">
        <v>250</v>
      </c>
      <c r="K333" s="307">
        <v>332.0</v>
      </c>
      <c r="L333" s="41"/>
      <c r="M333" s="41" t="s">
        <v>2714</v>
      </c>
      <c r="N333" s="307">
        <v>332.0</v>
      </c>
      <c r="O333" s="41"/>
      <c r="P333" s="41" t="s">
        <v>2523</v>
      </c>
      <c r="Q333" s="307">
        <v>332.0</v>
      </c>
      <c r="R333" s="41"/>
      <c r="S333" s="41" t="s">
        <v>2523</v>
      </c>
      <c r="T333" s="307">
        <v>332.0</v>
      </c>
      <c r="U333" s="41"/>
      <c r="V333" s="41"/>
      <c r="W333" s="307">
        <v>332.0</v>
      </c>
      <c r="X333" s="41"/>
      <c r="Y333" s="682" t="s">
        <v>2694</v>
      </c>
      <c r="Z333" s="307">
        <v>332.0</v>
      </c>
      <c r="AA333" s="41"/>
      <c r="AB333" s="41" t="s">
        <v>2760</v>
      </c>
      <c r="AC333" s="307">
        <v>332.0</v>
      </c>
      <c r="AD333" s="79"/>
      <c r="AF333" s="307">
        <v>332.0</v>
      </c>
      <c r="AH333" s="687" t="s">
        <v>2690</v>
      </c>
      <c r="AI333" s="307">
        <v>332.0</v>
      </c>
      <c r="AK333" s="687" t="s">
        <v>2490</v>
      </c>
      <c r="AL333" s="307">
        <v>332.0</v>
      </c>
      <c r="AN333" s="687" t="s">
        <v>2738</v>
      </c>
      <c r="AO333" s="307">
        <v>332.0</v>
      </c>
      <c r="AQ333" s="687" t="s">
        <v>2721</v>
      </c>
      <c r="AR333" s="307">
        <v>332.0</v>
      </c>
      <c r="AU333" s="307">
        <v>332.0</v>
      </c>
      <c r="AW333" s="687" t="s">
        <v>2747</v>
      </c>
      <c r="AX333" s="307">
        <v>332.0</v>
      </c>
      <c r="AZ333" s="687" t="s">
        <v>2326</v>
      </c>
      <c r="BA333" s="307">
        <v>332.0</v>
      </c>
      <c r="BC333" s="691" t="s">
        <v>2743</v>
      </c>
      <c r="BD333" s="307">
        <v>332.0</v>
      </c>
      <c r="BF333" s="687" t="s">
        <v>2463</v>
      </c>
      <c r="BG333" s="145">
        <v>332.0</v>
      </c>
      <c r="BI333" s="688" t="s">
        <v>2316</v>
      </c>
      <c r="BJ333" s="145">
        <v>332.0</v>
      </c>
      <c r="BL333" s="692" t="s">
        <v>2459</v>
      </c>
      <c r="BM333" s="216">
        <v>332.0</v>
      </c>
    </row>
    <row r="334">
      <c r="A334" s="41" t="s">
        <v>2653</v>
      </c>
      <c r="B334" s="307">
        <v>333.0</v>
      </c>
      <c r="C334" s="41"/>
      <c r="D334" s="41" t="s">
        <v>2406</v>
      </c>
      <c r="E334" s="307">
        <v>333.0</v>
      </c>
      <c r="F334" s="41"/>
      <c r="G334" s="41" t="s">
        <v>2409</v>
      </c>
      <c r="H334" s="307">
        <v>333.0</v>
      </c>
      <c r="I334" s="41"/>
      <c r="J334" s="41" t="s">
        <v>2435</v>
      </c>
      <c r="K334" s="307">
        <v>333.0</v>
      </c>
      <c r="L334" s="41"/>
      <c r="M334" s="41" t="s">
        <v>2736</v>
      </c>
      <c r="N334" s="307">
        <v>333.0</v>
      </c>
      <c r="O334" s="41"/>
      <c r="P334" s="41" t="s">
        <v>257</v>
      </c>
      <c r="Q334" s="307">
        <v>333.0</v>
      </c>
      <c r="R334" s="41"/>
      <c r="S334" s="41" t="s">
        <v>257</v>
      </c>
      <c r="T334" s="307">
        <v>333.0</v>
      </c>
      <c r="U334" s="41"/>
      <c r="V334" s="41"/>
      <c r="W334" s="307">
        <v>333.0</v>
      </c>
      <c r="X334" s="41"/>
      <c r="Y334" s="682" t="s">
        <v>2337</v>
      </c>
      <c r="Z334" s="307">
        <v>333.0</v>
      </c>
      <c r="AA334" s="41"/>
      <c r="AB334" s="41" t="s">
        <v>2698</v>
      </c>
      <c r="AC334" s="307">
        <v>333.0</v>
      </c>
      <c r="AD334" s="79"/>
      <c r="AF334" s="307">
        <v>333.0</v>
      </c>
      <c r="AH334" s="687" t="s">
        <v>2313</v>
      </c>
      <c r="AI334" s="307">
        <v>333.0</v>
      </c>
      <c r="AK334" s="687" t="s">
        <v>2316</v>
      </c>
      <c r="AL334" s="307">
        <v>333.0</v>
      </c>
      <c r="AN334" s="687" t="s">
        <v>2709</v>
      </c>
      <c r="AO334" s="307">
        <v>333.0</v>
      </c>
      <c r="AQ334" s="687" t="s">
        <v>2726</v>
      </c>
      <c r="AR334" s="307">
        <v>333.0</v>
      </c>
      <c r="AU334" s="307">
        <v>333.0</v>
      </c>
      <c r="AW334" s="687" t="s">
        <v>2436</v>
      </c>
      <c r="AX334" s="307">
        <v>333.0</v>
      </c>
      <c r="AZ334" s="687" t="s">
        <v>2740</v>
      </c>
      <c r="BA334" s="307">
        <v>333.0</v>
      </c>
      <c r="BC334" s="691" t="s">
        <v>2744</v>
      </c>
      <c r="BD334" s="307">
        <v>333.0</v>
      </c>
      <c r="BF334" s="687" t="s">
        <v>2749</v>
      </c>
      <c r="BG334" s="145">
        <v>333.0</v>
      </c>
      <c r="BI334" s="688" t="s">
        <v>2750</v>
      </c>
      <c r="BJ334" s="145">
        <v>333.0</v>
      </c>
      <c r="BL334" s="692" t="s">
        <v>2502</v>
      </c>
      <c r="BM334" s="216">
        <v>333.0</v>
      </c>
    </row>
    <row r="335">
      <c r="A335" s="41" t="s">
        <v>856</v>
      </c>
      <c r="B335" s="307">
        <v>334.0</v>
      </c>
      <c r="C335" s="41"/>
      <c r="D335" s="41" t="s">
        <v>2439</v>
      </c>
      <c r="E335" s="307">
        <v>334.0</v>
      </c>
      <c r="F335" s="41"/>
      <c r="G335" s="41" t="s">
        <v>2443</v>
      </c>
      <c r="H335" s="307">
        <v>334.0</v>
      </c>
      <c r="I335" s="41"/>
      <c r="J335" s="41" t="s">
        <v>2487</v>
      </c>
      <c r="K335" s="307">
        <v>334.0</v>
      </c>
      <c r="L335" s="41"/>
      <c r="M335" s="41" t="s">
        <v>2332</v>
      </c>
      <c r="N335" s="307">
        <v>334.0</v>
      </c>
      <c r="O335" s="41"/>
      <c r="P335" s="41" t="s">
        <v>910</v>
      </c>
      <c r="Q335" s="307">
        <v>334.0</v>
      </c>
      <c r="R335" s="41"/>
      <c r="S335" s="41" t="s">
        <v>2391</v>
      </c>
      <c r="T335" s="307">
        <v>334.0</v>
      </c>
      <c r="U335" s="41"/>
      <c r="V335" s="41"/>
      <c r="W335" s="307">
        <v>334.0</v>
      </c>
      <c r="X335" s="41"/>
      <c r="Y335" s="698" t="s">
        <v>2745</v>
      </c>
      <c r="Z335" s="307">
        <v>334.0</v>
      </c>
      <c r="AA335" s="41"/>
      <c r="AB335" s="41" t="s">
        <v>2690</v>
      </c>
      <c r="AC335" s="307">
        <v>334.0</v>
      </c>
      <c r="AD335" s="79"/>
      <c r="AF335" s="307">
        <v>334.0</v>
      </c>
      <c r="AH335" s="687" t="s">
        <v>2490</v>
      </c>
      <c r="AI335" s="307">
        <v>334.0</v>
      </c>
      <c r="AK335" s="687" t="s">
        <v>2731</v>
      </c>
      <c r="AL335" s="307">
        <v>334.0</v>
      </c>
      <c r="AN335" s="687" t="s">
        <v>920</v>
      </c>
      <c r="AO335" s="307">
        <v>334.0</v>
      </c>
      <c r="AQ335" s="687" t="s">
        <v>2748</v>
      </c>
      <c r="AR335" s="307">
        <v>334.0</v>
      </c>
      <c r="AU335" s="307">
        <v>334.0</v>
      </c>
      <c r="AW335" s="687" t="s">
        <v>2759</v>
      </c>
      <c r="AX335" s="307">
        <v>334.0</v>
      </c>
      <c r="AZ335" s="687" t="s">
        <v>2730</v>
      </c>
      <c r="BA335" s="307">
        <v>334.0</v>
      </c>
      <c r="BC335" s="691" t="s">
        <v>2722</v>
      </c>
      <c r="BD335" s="307">
        <v>334.0</v>
      </c>
      <c r="BF335" s="687" t="s">
        <v>2479</v>
      </c>
      <c r="BG335" s="145">
        <v>334.0</v>
      </c>
      <c r="BI335" s="688" t="s">
        <v>2280</v>
      </c>
      <c r="BJ335" s="145">
        <v>334.0</v>
      </c>
      <c r="BL335" s="692" t="s">
        <v>2749</v>
      </c>
      <c r="BM335" s="216">
        <v>334.0</v>
      </c>
    </row>
    <row r="336">
      <c r="A336" s="41" t="s">
        <v>913</v>
      </c>
      <c r="B336" s="307">
        <v>335.0</v>
      </c>
      <c r="C336" s="41"/>
      <c r="D336" s="41" t="s">
        <v>905</v>
      </c>
      <c r="E336" s="307">
        <v>335.0</v>
      </c>
      <c r="F336" s="41"/>
      <c r="G336" s="41" t="s">
        <v>2429</v>
      </c>
      <c r="H336" s="307">
        <v>335.0</v>
      </c>
      <c r="I336" s="41"/>
      <c r="J336" s="41" t="s">
        <v>2310</v>
      </c>
      <c r="K336" s="307">
        <v>335.0</v>
      </c>
      <c r="L336" s="41"/>
      <c r="M336" s="41" t="s">
        <v>2437</v>
      </c>
      <c r="N336" s="307">
        <v>335.0</v>
      </c>
      <c r="O336" s="41"/>
      <c r="P336" s="41" t="s">
        <v>2391</v>
      </c>
      <c r="Q336" s="307">
        <v>335.0</v>
      </c>
      <c r="R336" s="41"/>
      <c r="S336" s="41" t="s">
        <v>1048</v>
      </c>
      <c r="T336" s="307">
        <v>335.0</v>
      </c>
      <c r="U336" s="41"/>
      <c r="V336" s="41"/>
      <c r="W336" s="307">
        <v>335.0</v>
      </c>
      <c r="X336" s="41"/>
      <c r="Y336" s="698" t="s">
        <v>2412</v>
      </c>
      <c r="Z336" s="307">
        <v>335.0</v>
      </c>
      <c r="AA336" s="41"/>
      <c r="AB336" s="41" t="s">
        <v>914</v>
      </c>
      <c r="AC336" s="307">
        <v>335.0</v>
      </c>
      <c r="AD336" s="79"/>
      <c r="AF336" s="307">
        <v>335.0</v>
      </c>
      <c r="AH336" s="687" t="s">
        <v>2316</v>
      </c>
      <c r="AI336" s="307">
        <v>335.0</v>
      </c>
      <c r="AK336" s="687" t="s">
        <v>2523</v>
      </c>
      <c r="AL336" s="307">
        <v>335.0</v>
      </c>
      <c r="AN336" s="687" t="s">
        <v>2753</v>
      </c>
      <c r="AO336" s="307">
        <v>335.0</v>
      </c>
      <c r="AQ336" s="687" t="s">
        <v>1122</v>
      </c>
      <c r="AR336" s="307">
        <v>335.0</v>
      </c>
      <c r="AU336" s="307">
        <v>335.0</v>
      </c>
      <c r="AW336" s="687" t="s">
        <v>2326</v>
      </c>
      <c r="AX336" s="307">
        <v>335.0</v>
      </c>
      <c r="AZ336" s="687" t="s">
        <v>1079</v>
      </c>
      <c r="BA336" s="307">
        <v>335.0</v>
      </c>
      <c r="BC336" s="691" t="s">
        <v>2697</v>
      </c>
      <c r="BD336" s="307">
        <v>335.0</v>
      </c>
      <c r="BF336" s="687" t="s">
        <v>2478</v>
      </c>
      <c r="BG336" s="145">
        <v>335.0</v>
      </c>
      <c r="BI336" s="688" t="s">
        <v>2482</v>
      </c>
      <c r="BJ336" s="145">
        <v>335.0</v>
      </c>
      <c r="BL336" s="692" t="s">
        <v>2761</v>
      </c>
      <c r="BM336" s="216">
        <v>335.0</v>
      </c>
    </row>
    <row r="337">
      <c r="A337" s="41" t="s">
        <v>235</v>
      </c>
      <c r="B337" s="307">
        <v>336.0</v>
      </c>
      <c r="C337" s="41"/>
      <c r="D337" s="41" t="s">
        <v>233</v>
      </c>
      <c r="E337" s="307">
        <v>336.0</v>
      </c>
      <c r="F337" s="41"/>
      <c r="G337" s="41" t="s">
        <v>2194</v>
      </c>
      <c r="H337" s="307">
        <v>336.0</v>
      </c>
      <c r="I337" s="41"/>
      <c r="J337" s="41" t="s">
        <v>215</v>
      </c>
      <c r="K337" s="307">
        <v>336.0</v>
      </c>
      <c r="L337" s="41"/>
      <c r="M337" s="41" t="s">
        <v>2512</v>
      </c>
      <c r="N337" s="307">
        <v>336.0</v>
      </c>
      <c r="O337" s="41"/>
      <c r="P337" s="41" t="s">
        <v>1048</v>
      </c>
      <c r="Q337" s="307">
        <v>336.0</v>
      </c>
      <c r="R337" s="41"/>
      <c r="S337" s="41" t="s">
        <v>2730</v>
      </c>
      <c r="T337" s="307">
        <v>336.0</v>
      </c>
      <c r="U337" s="41"/>
      <c r="V337" s="41"/>
      <c r="W337" s="307">
        <v>336.0</v>
      </c>
      <c r="X337" s="41"/>
      <c r="Y337" s="682" t="s">
        <v>2448</v>
      </c>
      <c r="Z337" s="307">
        <v>336.0</v>
      </c>
      <c r="AA337" s="41"/>
      <c r="AB337" s="41" t="s">
        <v>2743</v>
      </c>
      <c r="AC337" s="307">
        <v>336.0</v>
      </c>
      <c r="AD337" s="79"/>
      <c r="AF337" s="307">
        <v>336.0</v>
      </c>
      <c r="AH337" s="687" t="s">
        <v>2731</v>
      </c>
      <c r="AI337" s="307">
        <v>336.0</v>
      </c>
      <c r="AK337" s="687" t="s">
        <v>2733</v>
      </c>
      <c r="AL337" s="307">
        <v>336.0</v>
      </c>
      <c r="AN337" s="687" t="s">
        <v>915</v>
      </c>
      <c r="AO337" s="307">
        <v>336.0</v>
      </c>
      <c r="AQ337" s="687" t="s">
        <v>2752</v>
      </c>
      <c r="AR337" s="307">
        <v>336.0</v>
      </c>
      <c r="AU337" s="307">
        <v>336.0</v>
      </c>
      <c r="AW337" s="687" t="s">
        <v>2740</v>
      </c>
      <c r="AX337" s="307">
        <v>336.0</v>
      </c>
      <c r="AZ337" s="687" t="s">
        <v>2508</v>
      </c>
      <c r="BA337" s="307">
        <v>336.0</v>
      </c>
      <c r="BC337" s="691" t="s">
        <v>1137</v>
      </c>
      <c r="BD337" s="307">
        <v>336.0</v>
      </c>
      <c r="BF337" s="687" t="s">
        <v>1075</v>
      </c>
      <c r="BG337" s="145">
        <v>336.0</v>
      </c>
      <c r="BI337" s="688" t="s">
        <v>920</v>
      </c>
      <c r="BJ337" s="145">
        <v>336.0</v>
      </c>
      <c r="BL337" s="692" t="s">
        <v>2715</v>
      </c>
      <c r="BM337" s="216">
        <v>336.0</v>
      </c>
    </row>
    <row r="338">
      <c r="A338" s="41" t="s">
        <v>2681</v>
      </c>
      <c r="B338" s="307">
        <v>337.0</v>
      </c>
      <c r="C338" s="41"/>
      <c r="D338" s="41" t="s">
        <v>2336</v>
      </c>
      <c r="E338" s="307">
        <v>337.0</v>
      </c>
      <c r="F338" s="41"/>
      <c r="G338" s="41" t="s">
        <v>2446</v>
      </c>
      <c r="H338" s="307">
        <v>337.0</v>
      </c>
      <c r="I338" s="41"/>
      <c r="J338" s="41" t="s">
        <v>2454</v>
      </c>
      <c r="K338" s="307">
        <v>337.0</v>
      </c>
      <c r="L338" s="41"/>
      <c r="M338" s="41" t="s">
        <v>2402</v>
      </c>
      <c r="N338" s="307">
        <v>337.0</v>
      </c>
      <c r="O338" s="41"/>
      <c r="P338" s="41" t="s">
        <v>2406</v>
      </c>
      <c r="Q338" s="307">
        <v>337.0</v>
      </c>
      <c r="R338" s="41"/>
      <c r="S338" s="41" t="s">
        <v>2406</v>
      </c>
      <c r="T338" s="307">
        <v>337.0</v>
      </c>
      <c r="U338" s="41"/>
      <c r="V338" s="41"/>
      <c r="W338" s="307">
        <v>337.0</v>
      </c>
      <c r="X338" s="41"/>
      <c r="Y338" s="682" t="s">
        <v>2687</v>
      </c>
      <c r="Z338" s="307">
        <v>337.0</v>
      </c>
      <c r="AA338" s="41"/>
      <c r="AB338" s="41" t="s">
        <v>919</v>
      </c>
      <c r="AC338" s="307">
        <v>337.0</v>
      </c>
      <c r="AD338" s="79"/>
      <c r="AF338" s="307">
        <v>337.0</v>
      </c>
      <c r="AH338" s="687" t="s">
        <v>2523</v>
      </c>
      <c r="AI338" s="307">
        <v>337.0</v>
      </c>
      <c r="AK338" s="687" t="s">
        <v>267</v>
      </c>
      <c r="AL338" s="307">
        <v>337.0</v>
      </c>
      <c r="AN338" s="687" t="s">
        <v>1075</v>
      </c>
      <c r="AO338" s="307">
        <v>337.0</v>
      </c>
      <c r="AQ338" s="687" t="s">
        <v>2747</v>
      </c>
      <c r="AR338" s="307">
        <v>337.0</v>
      </c>
      <c r="AU338" s="307">
        <v>337.0</v>
      </c>
      <c r="AW338" s="687" t="s">
        <v>2730</v>
      </c>
      <c r="AX338" s="307">
        <v>337.0</v>
      </c>
      <c r="AZ338" s="687" t="s">
        <v>2742</v>
      </c>
      <c r="BA338" s="307">
        <v>337.0</v>
      </c>
      <c r="BC338" s="691" t="s">
        <v>2459</v>
      </c>
      <c r="BD338" s="307">
        <v>337.0</v>
      </c>
      <c r="BF338" s="687" t="s">
        <v>905</v>
      </c>
      <c r="BG338" s="145">
        <v>337.0</v>
      </c>
      <c r="BI338" s="688" t="s">
        <v>2751</v>
      </c>
      <c r="BJ338" s="145">
        <v>337.0</v>
      </c>
      <c r="BL338" s="692" t="s">
        <v>2363</v>
      </c>
      <c r="BM338" s="216">
        <v>337.0</v>
      </c>
    </row>
    <row r="339">
      <c r="A339" s="41" t="s">
        <v>2435</v>
      </c>
      <c r="B339" s="307">
        <v>338.0</v>
      </c>
      <c r="C339" s="41"/>
      <c r="D339" s="41" t="s">
        <v>2430</v>
      </c>
      <c r="E339" s="307">
        <v>338.0</v>
      </c>
      <c r="F339" s="41"/>
      <c r="G339" s="41" t="s">
        <v>905</v>
      </c>
      <c r="H339" s="307">
        <v>338.0</v>
      </c>
      <c r="I339" s="41"/>
      <c r="J339" s="41" t="s">
        <v>2716</v>
      </c>
      <c r="K339" s="307">
        <v>338.0</v>
      </c>
      <c r="L339" s="41"/>
      <c r="M339" s="41" t="s">
        <v>2406</v>
      </c>
      <c r="N339" s="307">
        <v>338.0</v>
      </c>
      <c r="O339" s="41"/>
      <c r="P339" s="41" t="s">
        <v>2752</v>
      </c>
      <c r="Q339" s="307">
        <v>338.0</v>
      </c>
      <c r="R339" s="41"/>
      <c r="S339" s="41" t="s">
        <v>2752</v>
      </c>
      <c r="T339" s="307">
        <v>338.0</v>
      </c>
      <c r="U339" s="41"/>
      <c r="V339" s="41"/>
      <c r="W339" s="307">
        <v>338.0</v>
      </c>
      <c r="X339" s="41"/>
      <c r="Y339" s="698" t="s">
        <v>2482</v>
      </c>
      <c r="Z339" s="307">
        <v>338.0</v>
      </c>
      <c r="AA339" s="41"/>
      <c r="AB339" s="41" t="s">
        <v>2762</v>
      </c>
      <c r="AC339" s="307">
        <v>338.0</v>
      </c>
      <c r="AD339" s="79"/>
      <c r="AF339" s="307">
        <v>338.0</v>
      </c>
      <c r="AH339" s="687" t="s">
        <v>2733</v>
      </c>
      <c r="AI339" s="307">
        <v>338.0</v>
      </c>
      <c r="AK339" s="687" t="s">
        <v>919</v>
      </c>
      <c r="AL339" s="307">
        <v>338.0</v>
      </c>
      <c r="AN339" s="687" t="s">
        <v>2479</v>
      </c>
      <c r="AO339" s="307">
        <v>338.0</v>
      </c>
      <c r="AQ339" s="687" t="s">
        <v>2436</v>
      </c>
      <c r="AR339" s="307">
        <v>338.0</v>
      </c>
      <c r="AU339" s="307">
        <v>338.0</v>
      </c>
      <c r="AW339" s="687" t="s">
        <v>1079</v>
      </c>
      <c r="AX339" s="307">
        <v>338.0</v>
      </c>
      <c r="AZ339" s="687" t="s">
        <v>2755</v>
      </c>
      <c r="BA339" s="307">
        <v>338.0</v>
      </c>
      <c r="BC339" s="691" t="s">
        <v>2463</v>
      </c>
      <c r="BD339" s="307">
        <v>338.0</v>
      </c>
      <c r="BF339" s="687" t="s">
        <v>2437</v>
      </c>
      <c r="BG339" s="145">
        <v>338.0</v>
      </c>
      <c r="BI339" s="688" t="s">
        <v>2754</v>
      </c>
      <c r="BJ339" s="145">
        <v>338.0</v>
      </c>
      <c r="BL339" s="706" t="s">
        <v>2634</v>
      </c>
      <c r="BM339" s="216">
        <v>338.0</v>
      </c>
    </row>
    <row r="340">
      <c r="A340" s="41" t="s">
        <v>2436</v>
      </c>
      <c r="B340" s="307">
        <v>339.0</v>
      </c>
      <c r="C340" s="41"/>
      <c r="D340" s="41" t="s">
        <v>2440</v>
      </c>
      <c r="E340" s="307">
        <v>339.0</v>
      </c>
      <c r="F340" s="41"/>
      <c r="G340" s="41" t="s">
        <v>2447</v>
      </c>
      <c r="H340" s="307">
        <v>339.0</v>
      </c>
      <c r="I340" s="41"/>
      <c r="J340" s="41" t="s">
        <v>914</v>
      </c>
      <c r="K340" s="307">
        <v>339.0</v>
      </c>
      <c r="L340" s="41"/>
      <c r="M340" s="41" t="s">
        <v>2720</v>
      </c>
      <c r="N340" s="307">
        <v>339.0</v>
      </c>
      <c r="O340" s="41"/>
      <c r="P340" s="41" t="s">
        <v>2454</v>
      </c>
      <c r="Q340" s="307">
        <v>339.0</v>
      </c>
      <c r="R340" s="41"/>
      <c r="S340" s="41" t="s">
        <v>2454</v>
      </c>
      <c r="T340" s="307">
        <v>339.0</v>
      </c>
      <c r="U340" s="41"/>
      <c r="V340" s="41"/>
      <c r="W340" s="307">
        <v>339.0</v>
      </c>
      <c r="X340" s="41"/>
      <c r="Y340" s="682" t="s">
        <v>1049</v>
      </c>
      <c r="Z340" s="307">
        <v>339.0</v>
      </c>
      <c r="AA340" s="41"/>
      <c r="AB340" s="41" t="s">
        <v>945</v>
      </c>
      <c r="AC340" s="307">
        <v>339.0</v>
      </c>
      <c r="AD340" s="79"/>
      <c r="AF340" s="307">
        <v>339.0</v>
      </c>
      <c r="AH340" s="687" t="s">
        <v>267</v>
      </c>
      <c r="AI340" s="307">
        <v>339.0</v>
      </c>
      <c r="AK340" s="687" t="s">
        <v>2701</v>
      </c>
      <c r="AL340" s="307">
        <v>339.0</v>
      </c>
      <c r="AN340" s="687" t="s">
        <v>2721</v>
      </c>
      <c r="AO340" s="307">
        <v>339.0</v>
      </c>
      <c r="AQ340" s="687" t="s">
        <v>2326</v>
      </c>
      <c r="AR340" s="307">
        <v>339.0</v>
      </c>
      <c r="AU340" s="307">
        <v>339.0</v>
      </c>
      <c r="AW340" s="687" t="s">
        <v>2508</v>
      </c>
      <c r="AX340" s="307">
        <v>339.0</v>
      </c>
      <c r="AZ340" s="687" t="s">
        <v>2337</v>
      </c>
      <c r="BA340" s="307">
        <v>339.0</v>
      </c>
      <c r="BC340" s="691" t="s">
        <v>2749</v>
      </c>
      <c r="BD340" s="307">
        <v>339.0</v>
      </c>
      <c r="BF340" s="687" t="s">
        <v>1049</v>
      </c>
      <c r="BG340" s="145">
        <v>339.0</v>
      </c>
      <c r="BI340" s="688" t="s">
        <v>2756</v>
      </c>
      <c r="BJ340" s="145">
        <v>339.0</v>
      </c>
      <c r="BL340" s="692" t="s">
        <v>2741</v>
      </c>
      <c r="BM340" s="216">
        <v>339.0</v>
      </c>
    </row>
    <row r="341">
      <c r="A341" s="41" t="s">
        <v>2284</v>
      </c>
      <c r="B341" s="307">
        <v>340.0</v>
      </c>
      <c r="C341" s="41"/>
      <c r="D341" s="41" t="s">
        <v>2442</v>
      </c>
      <c r="E341" s="307">
        <v>340.0</v>
      </c>
      <c r="F341" s="41"/>
      <c r="G341" s="41" t="s">
        <v>838</v>
      </c>
      <c r="H341" s="307">
        <v>340.0</v>
      </c>
      <c r="I341" s="41"/>
      <c r="J341" s="41" t="s">
        <v>922</v>
      </c>
      <c r="K341" s="307">
        <v>340.0</v>
      </c>
      <c r="L341" s="41"/>
      <c r="M341" s="41" t="s">
        <v>2492</v>
      </c>
      <c r="N341" s="307">
        <v>340.0</v>
      </c>
      <c r="O341" s="41"/>
      <c r="P341" s="41" t="s">
        <v>2490</v>
      </c>
      <c r="Q341" s="307">
        <v>340.0</v>
      </c>
      <c r="R341" s="41"/>
      <c r="S341" s="41" t="s">
        <v>2490</v>
      </c>
      <c r="T341" s="307">
        <v>340.0</v>
      </c>
      <c r="U341" s="41"/>
      <c r="V341" s="41"/>
      <c r="W341" s="307">
        <v>340.0</v>
      </c>
      <c r="X341" s="41"/>
      <c r="Y341" s="698" t="s">
        <v>2722</v>
      </c>
      <c r="Z341" s="307">
        <v>340.0</v>
      </c>
      <c r="AA341" s="41"/>
      <c r="AB341" s="41" t="s">
        <v>2410</v>
      </c>
      <c r="AC341" s="307">
        <v>340.0</v>
      </c>
      <c r="AD341" s="79"/>
      <c r="AF341" s="307">
        <v>340.0</v>
      </c>
      <c r="AH341" s="687" t="s">
        <v>919</v>
      </c>
      <c r="AI341" s="307">
        <v>340.0</v>
      </c>
      <c r="AK341" s="687" t="s">
        <v>2520</v>
      </c>
      <c r="AL341" s="307">
        <v>340.0</v>
      </c>
      <c r="AN341" s="687" t="s">
        <v>2748</v>
      </c>
      <c r="AO341" s="307">
        <v>340.0</v>
      </c>
      <c r="AQ341" s="687" t="s">
        <v>2730</v>
      </c>
      <c r="AR341" s="307">
        <v>340.0</v>
      </c>
      <c r="AU341" s="307">
        <v>340.0</v>
      </c>
      <c r="AW341" s="687" t="s">
        <v>2742</v>
      </c>
      <c r="AX341" s="307">
        <v>340.0</v>
      </c>
      <c r="AZ341" s="687" t="s">
        <v>2746</v>
      </c>
      <c r="BA341" s="307">
        <v>340.0</v>
      </c>
      <c r="BC341" s="691" t="s">
        <v>2479</v>
      </c>
      <c r="BD341" s="307">
        <v>340.0</v>
      </c>
      <c r="BF341" s="687" t="s">
        <v>2407</v>
      </c>
      <c r="BG341" s="145">
        <v>340.0</v>
      </c>
      <c r="BI341" s="688" t="s">
        <v>2757</v>
      </c>
      <c r="BJ341" s="145">
        <v>340.0</v>
      </c>
      <c r="BL341" s="692" t="s">
        <v>2763</v>
      </c>
      <c r="BM341" s="216">
        <v>340.0</v>
      </c>
    </row>
    <row r="342">
      <c r="A342" s="41" t="s">
        <v>224</v>
      </c>
      <c r="B342" s="307">
        <v>341.0</v>
      </c>
      <c r="C342" s="41"/>
      <c r="D342" s="41" t="s">
        <v>248</v>
      </c>
      <c r="E342" s="307">
        <v>341.0</v>
      </c>
      <c r="F342" s="41"/>
      <c r="G342" s="41" t="s">
        <v>2406</v>
      </c>
      <c r="H342" s="307">
        <v>341.0</v>
      </c>
      <c r="I342" s="41"/>
      <c r="J342" s="41" t="s">
        <v>905</v>
      </c>
      <c r="K342" s="307">
        <v>341.0</v>
      </c>
      <c r="L342" s="41"/>
      <c r="M342" s="41" t="s">
        <v>2294</v>
      </c>
      <c r="N342" s="307">
        <v>341.0</v>
      </c>
      <c r="O342" s="41"/>
      <c r="P342" s="41" t="s">
        <v>2436</v>
      </c>
      <c r="Q342" s="307">
        <v>341.0</v>
      </c>
      <c r="R342" s="41"/>
      <c r="S342" s="41" t="s">
        <v>2436</v>
      </c>
      <c r="T342" s="307">
        <v>341.0</v>
      </c>
      <c r="U342" s="41"/>
      <c r="V342" s="41"/>
      <c r="W342" s="307">
        <v>341.0</v>
      </c>
      <c r="X342" s="41"/>
      <c r="Y342" s="698" t="s">
        <v>2313</v>
      </c>
      <c r="Z342" s="307">
        <v>341.0</v>
      </c>
      <c r="AA342" s="41"/>
      <c r="AB342" s="41" t="s">
        <v>2756</v>
      </c>
      <c r="AC342" s="307">
        <v>341.0</v>
      </c>
      <c r="AD342" s="79"/>
      <c r="AF342" s="307">
        <v>341.0</v>
      </c>
      <c r="AH342" s="687" t="s">
        <v>2701</v>
      </c>
      <c r="AI342" s="307">
        <v>341.0</v>
      </c>
      <c r="AK342" s="687" t="s">
        <v>2391</v>
      </c>
      <c r="AL342" s="307">
        <v>341.0</v>
      </c>
      <c r="AN342" s="687" t="s">
        <v>2722</v>
      </c>
      <c r="AO342" s="307">
        <v>341.0</v>
      </c>
      <c r="AQ342" s="687" t="s">
        <v>2508</v>
      </c>
      <c r="AR342" s="307">
        <v>341.0</v>
      </c>
      <c r="AU342" s="307">
        <v>341.0</v>
      </c>
      <c r="AW342" s="687" t="s">
        <v>2755</v>
      </c>
      <c r="AX342" s="307">
        <v>341.0</v>
      </c>
      <c r="AZ342" s="687" t="s">
        <v>2743</v>
      </c>
      <c r="BA342" s="307">
        <v>341.0</v>
      </c>
      <c r="BC342" s="691" t="s">
        <v>2478</v>
      </c>
      <c r="BD342" s="307">
        <v>341.0</v>
      </c>
      <c r="BF342" s="687" t="s">
        <v>1102</v>
      </c>
      <c r="BG342" s="145">
        <v>341.0</v>
      </c>
      <c r="BI342" s="688" t="s">
        <v>2764</v>
      </c>
      <c r="BJ342" s="145">
        <v>341.0</v>
      </c>
      <c r="BL342" s="692" t="s">
        <v>2765</v>
      </c>
      <c r="BM342" s="216">
        <v>341.0</v>
      </c>
    </row>
    <row r="343">
      <c r="A343" s="41" t="s">
        <v>2294</v>
      </c>
      <c r="B343" s="307">
        <v>342.0</v>
      </c>
      <c r="C343" s="41"/>
      <c r="D343" s="41" t="s">
        <v>1113</v>
      </c>
      <c r="E343" s="307">
        <v>342.0</v>
      </c>
      <c r="F343" s="41"/>
      <c r="G343" s="41" t="s">
        <v>2523</v>
      </c>
      <c r="H343" s="307">
        <v>342.0</v>
      </c>
      <c r="I343" s="41"/>
      <c r="J343" s="41" t="s">
        <v>2704</v>
      </c>
      <c r="K343" s="307">
        <v>342.0</v>
      </c>
      <c r="L343" s="41"/>
      <c r="M343" s="41" t="s">
        <v>2749</v>
      </c>
      <c r="N343" s="307">
        <v>342.0</v>
      </c>
      <c r="O343" s="41"/>
      <c r="P343" s="41" t="s">
        <v>2760</v>
      </c>
      <c r="Q343" s="307">
        <v>342.0</v>
      </c>
      <c r="R343" s="41"/>
      <c r="S343" s="41" t="s">
        <v>1086</v>
      </c>
      <c r="T343" s="307">
        <v>342.0</v>
      </c>
      <c r="U343" s="41"/>
      <c r="V343" s="41"/>
      <c r="W343" s="307">
        <v>342.0</v>
      </c>
      <c r="X343" s="41"/>
      <c r="Y343" s="682" t="s">
        <v>2711</v>
      </c>
      <c r="Z343" s="307">
        <v>342.0</v>
      </c>
      <c r="AA343" s="41"/>
      <c r="AB343" s="41" t="s">
        <v>2742</v>
      </c>
      <c r="AC343" s="307">
        <v>342.0</v>
      </c>
      <c r="AD343" s="79"/>
      <c r="AF343" s="307">
        <v>342.0</v>
      </c>
      <c r="AH343" s="687" t="s">
        <v>2520</v>
      </c>
      <c r="AI343" s="307">
        <v>342.0</v>
      </c>
      <c r="AK343" s="687" t="s">
        <v>2261</v>
      </c>
      <c r="AL343" s="307">
        <v>342.0</v>
      </c>
      <c r="AN343" s="687" t="s">
        <v>1122</v>
      </c>
      <c r="AO343" s="307">
        <v>342.0</v>
      </c>
      <c r="AQ343" s="687" t="s">
        <v>2742</v>
      </c>
      <c r="AR343" s="307">
        <v>342.0</v>
      </c>
      <c r="AU343" s="307">
        <v>342.0</v>
      </c>
      <c r="AW343" s="687" t="s">
        <v>2337</v>
      </c>
      <c r="AX343" s="307">
        <v>342.0</v>
      </c>
      <c r="AZ343" s="687" t="s">
        <v>2744</v>
      </c>
      <c r="BA343" s="307">
        <v>342.0</v>
      </c>
      <c r="BC343" s="691" t="s">
        <v>1075</v>
      </c>
      <c r="BD343" s="307">
        <v>342.0</v>
      </c>
      <c r="BF343" s="687" t="s">
        <v>908</v>
      </c>
      <c r="BG343" s="145">
        <v>342.0</v>
      </c>
      <c r="BI343" s="688" t="s">
        <v>2752</v>
      </c>
      <c r="BJ343" s="145">
        <v>342.0</v>
      </c>
      <c r="BL343" s="692" t="s">
        <v>2725</v>
      </c>
      <c r="BM343" s="216">
        <v>342.0</v>
      </c>
    </row>
    <row r="344">
      <c r="A344" s="41" t="s">
        <v>2323</v>
      </c>
      <c r="B344" s="307">
        <v>343.0</v>
      </c>
      <c r="C344" s="41"/>
      <c r="D344" s="41" t="s">
        <v>1243</v>
      </c>
      <c r="E344" s="307">
        <v>343.0</v>
      </c>
      <c r="F344" s="41"/>
      <c r="G344" s="41" t="s">
        <v>2700</v>
      </c>
      <c r="H344" s="307">
        <v>343.0</v>
      </c>
      <c r="I344" s="41"/>
      <c r="J344" s="41" t="s">
        <v>2698</v>
      </c>
      <c r="K344" s="307">
        <v>343.0</v>
      </c>
      <c r="L344" s="41"/>
      <c r="M344" s="41" t="s">
        <v>2719</v>
      </c>
      <c r="N344" s="307">
        <v>343.0</v>
      </c>
      <c r="O344" s="41"/>
      <c r="P344" s="41" t="s">
        <v>250</v>
      </c>
      <c r="Q344" s="307">
        <v>343.0</v>
      </c>
      <c r="R344" s="41"/>
      <c r="S344" s="41" t="s">
        <v>250</v>
      </c>
      <c r="T344" s="307">
        <v>343.0</v>
      </c>
      <c r="U344" s="41"/>
      <c r="V344" s="41"/>
      <c r="W344" s="307">
        <v>343.0</v>
      </c>
      <c r="X344" s="41"/>
      <c r="Y344" s="682" t="s">
        <v>2760</v>
      </c>
      <c r="Z344" s="307">
        <v>343.0</v>
      </c>
      <c r="AA344" s="41"/>
      <c r="AB344" s="41" t="s">
        <v>1075</v>
      </c>
      <c r="AC344" s="307">
        <v>343.0</v>
      </c>
      <c r="AD344" s="79"/>
      <c r="AF344" s="307">
        <v>343.0</v>
      </c>
      <c r="AH344" s="687" t="s">
        <v>2766</v>
      </c>
      <c r="AI344" s="307">
        <v>343.0</v>
      </c>
      <c r="AK344" s="687" t="s">
        <v>2336</v>
      </c>
      <c r="AL344" s="307">
        <v>343.0</v>
      </c>
      <c r="AN344" s="687" t="s">
        <v>2752</v>
      </c>
      <c r="AO344" s="307">
        <v>343.0</v>
      </c>
      <c r="AQ344" s="687" t="s">
        <v>2755</v>
      </c>
      <c r="AR344" s="307">
        <v>343.0</v>
      </c>
      <c r="AU344" s="307">
        <v>343.0</v>
      </c>
      <c r="AW344" s="687" t="s">
        <v>2746</v>
      </c>
      <c r="AX344" s="307">
        <v>343.0</v>
      </c>
      <c r="AZ344" s="687" t="s">
        <v>2722</v>
      </c>
      <c r="BA344" s="307">
        <v>343.0</v>
      </c>
      <c r="BC344" s="691" t="s">
        <v>905</v>
      </c>
      <c r="BD344" s="307">
        <v>343.0</v>
      </c>
      <c r="BF344" s="687" t="s">
        <v>2316</v>
      </c>
      <c r="BG344" s="145">
        <v>343.0</v>
      </c>
      <c r="BI344" s="688" t="s">
        <v>2758</v>
      </c>
      <c r="BJ344" s="145">
        <v>343.0</v>
      </c>
      <c r="BL344" s="692" t="s">
        <v>2284</v>
      </c>
      <c r="BM344" s="216">
        <v>343.0</v>
      </c>
    </row>
    <row r="345">
      <c r="A345" s="41" t="s">
        <v>2335</v>
      </c>
      <c r="B345" s="307">
        <v>344.0</v>
      </c>
      <c r="C345" s="41"/>
      <c r="D345" s="41" t="s">
        <v>2443</v>
      </c>
      <c r="E345" s="307">
        <v>344.0</v>
      </c>
      <c r="F345" s="41"/>
      <c r="G345" s="41" t="s">
        <v>2284</v>
      </c>
      <c r="H345" s="307">
        <v>344.0</v>
      </c>
      <c r="I345" s="41"/>
      <c r="J345" s="41" t="s">
        <v>2634</v>
      </c>
      <c r="K345" s="307">
        <v>344.0</v>
      </c>
      <c r="L345" s="41"/>
      <c r="M345" s="41" t="s">
        <v>2523</v>
      </c>
      <c r="N345" s="307">
        <v>344.0</v>
      </c>
      <c r="O345" s="41"/>
      <c r="P345" s="41" t="s">
        <v>2412</v>
      </c>
      <c r="Q345" s="307">
        <v>344.0</v>
      </c>
      <c r="R345" s="41"/>
      <c r="S345" s="41" t="s">
        <v>2745</v>
      </c>
      <c r="T345" s="307">
        <v>344.0</v>
      </c>
      <c r="U345" s="41"/>
      <c r="V345" s="41"/>
      <c r="W345" s="307">
        <v>344.0</v>
      </c>
      <c r="X345" s="41"/>
      <c r="Y345" s="682" t="s">
        <v>2690</v>
      </c>
      <c r="Z345" s="307">
        <v>344.0</v>
      </c>
      <c r="AA345" s="41"/>
      <c r="AB345" s="41" t="s">
        <v>1238</v>
      </c>
      <c r="AC345" s="307">
        <v>344.0</v>
      </c>
      <c r="AD345" s="79"/>
      <c r="AF345" s="307">
        <v>344.0</v>
      </c>
      <c r="AH345" s="687" t="s">
        <v>2261</v>
      </c>
      <c r="AI345" s="307">
        <v>344.0</v>
      </c>
      <c r="AK345" s="687" t="s">
        <v>2698</v>
      </c>
      <c r="AL345" s="307">
        <v>344.0</v>
      </c>
      <c r="AN345" s="687" t="s">
        <v>2747</v>
      </c>
      <c r="AO345" s="307">
        <v>344.0</v>
      </c>
      <c r="AQ345" s="687" t="s">
        <v>2337</v>
      </c>
      <c r="AR345" s="307">
        <v>344.0</v>
      </c>
      <c r="AU345" s="307">
        <v>344.0</v>
      </c>
      <c r="AW345" s="687" t="s">
        <v>2743</v>
      </c>
      <c r="AX345" s="307">
        <v>344.0</v>
      </c>
      <c r="AZ345" s="687" t="s">
        <v>2697</v>
      </c>
      <c r="BA345" s="307">
        <v>344.0</v>
      </c>
      <c r="BC345" s="691" t="s">
        <v>2437</v>
      </c>
      <c r="BD345" s="307">
        <v>344.0</v>
      </c>
      <c r="BF345" s="687" t="s">
        <v>2750</v>
      </c>
      <c r="BG345" s="145">
        <v>344.0</v>
      </c>
      <c r="BI345" s="712" t="s">
        <v>946</v>
      </c>
      <c r="BJ345" s="145">
        <v>344.0</v>
      </c>
      <c r="BL345" s="692" t="s">
        <v>2739</v>
      </c>
      <c r="BM345" s="216">
        <v>344.0</v>
      </c>
    </row>
    <row r="346">
      <c r="A346" s="41" t="s">
        <v>240</v>
      </c>
      <c r="B346" s="307">
        <v>345.0</v>
      </c>
      <c r="C346" s="41"/>
      <c r="D346" s="41" t="s">
        <v>2445</v>
      </c>
      <c r="E346" s="307">
        <v>345.0</v>
      </c>
      <c r="F346" s="41"/>
      <c r="G346" s="41" t="s">
        <v>2716</v>
      </c>
      <c r="H346" s="307">
        <v>345.0</v>
      </c>
      <c r="I346" s="41"/>
      <c r="J346" s="41" t="s">
        <v>263</v>
      </c>
      <c r="K346" s="307">
        <v>345.0</v>
      </c>
      <c r="L346" s="41"/>
      <c r="M346" s="41" t="s">
        <v>257</v>
      </c>
      <c r="N346" s="307">
        <v>345.0</v>
      </c>
      <c r="O346" s="41"/>
      <c r="P346" s="41" t="s">
        <v>2448</v>
      </c>
      <c r="Q346" s="307">
        <v>345.0</v>
      </c>
      <c r="R346" s="41"/>
      <c r="S346" s="41" t="s">
        <v>2412</v>
      </c>
      <c r="T346" s="307">
        <v>345.0</v>
      </c>
      <c r="U346" s="41"/>
      <c r="V346" s="41"/>
      <c r="W346" s="307">
        <v>345.0</v>
      </c>
      <c r="X346" s="41"/>
      <c r="Y346" s="682" t="s">
        <v>2743</v>
      </c>
      <c r="Z346" s="307">
        <v>345.0</v>
      </c>
      <c r="AA346" s="41"/>
      <c r="AB346" s="41" t="s">
        <v>2767</v>
      </c>
      <c r="AC346" s="307">
        <v>345.0</v>
      </c>
      <c r="AD346" s="79"/>
      <c r="AF346" s="307">
        <v>345.0</v>
      </c>
      <c r="AH346" s="687" t="s">
        <v>2336</v>
      </c>
      <c r="AI346" s="307">
        <v>345.0</v>
      </c>
      <c r="AK346" s="687" t="s">
        <v>2737</v>
      </c>
      <c r="AL346" s="307">
        <v>345.0</v>
      </c>
      <c r="AN346" s="687" t="s">
        <v>2436</v>
      </c>
      <c r="AO346" s="307">
        <v>345.0</v>
      </c>
      <c r="AQ346" s="687" t="s">
        <v>2456</v>
      </c>
      <c r="AR346" s="307">
        <v>345.0</v>
      </c>
      <c r="AU346" s="307">
        <v>345.0</v>
      </c>
      <c r="AW346" s="687" t="s">
        <v>2744</v>
      </c>
      <c r="AX346" s="307">
        <v>345.0</v>
      </c>
      <c r="AZ346" s="687" t="s">
        <v>1137</v>
      </c>
      <c r="BA346" s="307">
        <v>345.0</v>
      </c>
      <c r="BC346" s="691" t="s">
        <v>1049</v>
      </c>
      <c r="BD346" s="307">
        <v>345.0</v>
      </c>
      <c r="BF346" s="687" t="s">
        <v>2280</v>
      </c>
      <c r="BG346" s="145">
        <v>345.0</v>
      </c>
      <c r="BI346" s="688" t="s">
        <v>2459</v>
      </c>
      <c r="BJ346" s="145">
        <v>345.0</v>
      </c>
      <c r="BL346" s="692" t="s">
        <v>2261</v>
      </c>
      <c r="BM346" s="216">
        <v>345.0</v>
      </c>
    </row>
    <row r="347">
      <c r="A347" s="41" t="s">
        <v>2437</v>
      </c>
      <c r="B347" s="307">
        <v>346.0</v>
      </c>
      <c r="C347" s="41"/>
      <c r="D347" s="41" t="s">
        <v>2410</v>
      </c>
      <c r="E347" s="307">
        <v>346.0</v>
      </c>
      <c r="F347" s="41"/>
      <c r="G347" s="41" t="s">
        <v>2449</v>
      </c>
      <c r="H347" s="307">
        <v>346.0</v>
      </c>
      <c r="I347" s="41"/>
      <c r="J347" s="41" t="s">
        <v>233</v>
      </c>
      <c r="K347" s="307">
        <v>346.0</v>
      </c>
      <c r="L347" s="41"/>
      <c r="M347" s="41" t="s">
        <v>910</v>
      </c>
      <c r="N347" s="307">
        <v>346.0</v>
      </c>
      <c r="O347" s="41"/>
      <c r="P347" s="41" t="s">
        <v>2482</v>
      </c>
      <c r="Q347" s="307">
        <v>346.0</v>
      </c>
      <c r="R347" s="41"/>
      <c r="S347" s="41" t="s">
        <v>2448</v>
      </c>
      <c r="T347" s="307">
        <v>346.0</v>
      </c>
      <c r="U347" s="41"/>
      <c r="V347" s="41"/>
      <c r="W347" s="307">
        <v>346.0</v>
      </c>
      <c r="X347" s="41"/>
      <c r="Y347" s="682" t="s">
        <v>919</v>
      </c>
      <c r="Z347" s="307">
        <v>346.0</v>
      </c>
      <c r="AA347" s="41"/>
      <c r="AB347" s="41" t="s">
        <v>1122</v>
      </c>
      <c r="AC347" s="307">
        <v>346.0</v>
      </c>
      <c r="AD347" s="79"/>
      <c r="AF347" s="307">
        <v>346.0</v>
      </c>
      <c r="AH347" s="687" t="s">
        <v>2698</v>
      </c>
      <c r="AI347" s="307">
        <v>346.0</v>
      </c>
      <c r="AK347" s="687" t="s">
        <v>2472</v>
      </c>
      <c r="AL347" s="307">
        <v>346.0</v>
      </c>
      <c r="AN347" s="687" t="s">
        <v>2326</v>
      </c>
      <c r="AO347" s="307">
        <v>346.0</v>
      </c>
      <c r="AQ347" s="687" t="s">
        <v>2746</v>
      </c>
      <c r="AR347" s="307">
        <v>346.0</v>
      </c>
      <c r="AU347" s="307">
        <v>346.0</v>
      </c>
      <c r="AW347" s="687" t="s">
        <v>2722</v>
      </c>
      <c r="AX347" s="307">
        <v>346.0</v>
      </c>
      <c r="AZ347" s="687" t="s">
        <v>2459</v>
      </c>
      <c r="BA347" s="307">
        <v>346.0</v>
      </c>
      <c r="BC347" s="691" t="s">
        <v>2407</v>
      </c>
      <c r="BD347" s="307">
        <v>346.0</v>
      </c>
      <c r="BF347" s="687" t="s">
        <v>2482</v>
      </c>
      <c r="BG347" s="145">
        <v>346.0</v>
      </c>
      <c r="BI347" s="688" t="s">
        <v>2502</v>
      </c>
      <c r="BJ347" s="145">
        <v>346.0</v>
      </c>
      <c r="BL347" s="692" t="s">
        <v>908</v>
      </c>
      <c r="BM347" s="216">
        <v>346.0</v>
      </c>
    </row>
    <row r="348">
      <c r="A348" s="41" t="s">
        <v>2438</v>
      </c>
      <c r="B348" s="307">
        <v>347.0</v>
      </c>
      <c r="C348" s="41"/>
      <c r="D348" s="41" t="s">
        <v>2446</v>
      </c>
      <c r="E348" s="307">
        <v>347.0</v>
      </c>
      <c r="F348" s="41"/>
      <c r="G348" s="41" t="s">
        <v>2322</v>
      </c>
      <c r="H348" s="307">
        <v>347.0</v>
      </c>
      <c r="I348" s="41"/>
      <c r="J348" s="41" t="s">
        <v>2414</v>
      </c>
      <c r="K348" s="307">
        <v>347.0</v>
      </c>
      <c r="L348" s="41"/>
      <c r="M348" s="41" t="s">
        <v>2391</v>
      </c>
      <c r="N348" s="307">
        <v>347.0</v>
      </c>
      <c r="O348" s="41"/>
      <c r="P348" s="41" t="s">
        <v>1049</v>
      </c>
      <c r="Q348" s="307">
        <v>347.0</v>
      </c>
      <c r="R348" s="41"/>
      <c r="S348" s="41" t="s">
        <v>2482</v>
      </c>
      <c r="T348" s="307">
        <v>347.0</v>
      </c>
      <c r="U348" s="41"/>
      <c r="V348" s="41"/>
      <c r="W348" s="307">
        <v>347.0</v>
      </c>
      <c r="X348" s="41"/>
      <c r="Y348" s="682" t="s">
        <v>2762</v>
      </c>
      <c r="Z348" s="307">
        <v>347.0</v>
      </c>
      <c r="AA348" s="41"/>
      <c r="AB348" s="41" t="s">
        <v>2484</v>
      </c>
      <c r="AC348" s="307">
        <v>347.0</v>
      </c>
      <c r="AD348" s="79"/>
      <c r="AF348" s="307">
        <v>347.0</v>
      </c>
      <c r="AH348" s="687" t="s">
        <v>2768</v>
      </c>
      <c r="AI348" s="307">
        <v>347.0</v>
      </c>
      <c r="AK348" s="687" t="s">
        <v>1140</v>
      </c>
      <c r="AL348" s="307">
        <v>347.0</v>
      </c>
      <c r="AN348" s="687" t="s">
        <v>2730</v>
      </c>
      <c r="AO348" s="307">
        <v>347.0</v>
      </c>
      <c r="AQ348" s="687" t="s">
        <v>2743</v>
      </c>
      <c r="AR348" s="307">
        <v>347.0</v>
      </c>
      <c r="AU348" s="307">
        <v>347.0</v>
      </c>
      <c r="AW348" s="687" t="s">
        <v>2697</v>
      </c>
      <c r="AX348" s="307">
        <v>347.0</v>
      </c>
      <c r="AZ348" s="687" t="s">
        <v>2463</v>
      </c>
      <c r="BA348" s="307">
        <v>347.0</v>
      </c>
      <c r="BC348" s="691" t="s">
        <v>1102</v>
      </c>
      <c r="BD348" s="307">
        <v>347.0</v>
      </c>
      <c r="BF348" s="687" t="s">
        <v>2442</v>
      </c>
      <c r="BG348" s="145">
        <v>347.0</v>
      </c>
      <c r="BI348" s="688" t="s">
        <v>2704</v>
      </c>
      <c r="BJ348" s="145">
        <v>347.0</v>
      </c>
      <c r="BL348" s="692" t="s">
        <v>2769</v>
      </c>
      <c r="BM348" s="216">
        <v>347.0</v>
      </c>
    </row>
    <row r="349">
      <c r="A349" s="41" t="s">
        <v>2439</v>
      </c>
      <c r="B349" s="307">
        <v>348.0</v>
      </c>
      <c r="C349" s="41"/>
      <c r="D349" s="41" t="s">
        <v>2447</v>
      </c>
      <c r="E349" s="307">
        <v>348.0</v>
      </c>
      <c r="F349" s="41"/>
      <c r="G349" s="41" t="s">
        <v>2439</v>
      </c>
      <c r="H349" s="307">
        <v>348.0</v>
      </c>
      <c r="I349" s="41"/>
      <c r="J349" s="41" t="s">
        <v>2412</v>
      </c>
      <c r="K349" s="307">
        <v>348.0</v>
      </c>
      <c r="L349" s="41"/>
      <c r="M349" s="41" t="s">
        <v>1048</v>
      </c>
      <c r="N349" s="307">
        <v>348.0</v>
      </c>
      <c r="O349" s="41"/>
      <c r="P349" s="41" t="s">
        <v>2722</v>
      </c>
      <c r="Q349" s="307">
        <v>348.0</v>
      </c>
      <c r="R349" s="41"/>
      <c r="S349" s="41" t="s">
        <v>1049</v>
      </c>
      <c r="T349" s="307">
        <v>348.0</v>
      </c>
      <c r="U349" s="41"/>
      <c r="V349" s="41"/>
      <c r="W349" s="307">
        <v>348.0</v>
      </c>
      <c r="X349" s="41"/>
      <c r="Y349" s="682" t="s">
        <v>2410</v>
      </c>
      <c r="Z349" s="307">
        <v>348.0</v>
      </c>
      <c r="AA349" s="41"/>
      <c r="AB349" s="41" t="s">
        <v>2724</v>
      </c>
      <c r="AC349" s="307">
        <v>348.0</v>
      </c>
      <c r="AD349" s="79"/>
      <c r="AF349" s="307">
        <v>348.0</v>
      </c>
      <c r="AH349" s="687" t="s">
        <v>2737</v>
      </c>
      <c r="AI349" s="307">
        <v>348.0</v>
      </c>
      <c r="AK349" s="687" t="s">
        <v>2439</v>
      </c>
      <c r="AL349" s="307">
        <v>348.0</v>
      </c>
      <c r="AN349" s="687" t="s">
        <v>2508</v>
      </c>
      <c r="AO349" s="307">
        <v>348.0</v>
      </c>
      <c r="AQ349" s="687" t="s">
        <v>2744</v>
      </c>
      <c r="AR349" s="307">
        <v>348.0</v>
      </c>
      <c r="AU349" s="307">
        <v>348.0</v>
      </c>
      <c r="AW349" s="687" t="s">
        <v>1137</v>
      </c>
      <c r="AX349" s="307">
        <v>348.0</v>
      </c>
      <c r="AZ349" s="687" t="s">
        <v>2749</v>
      </c>
      <c r="BA349" s="307">
        <v>348.0</v>
      </c>
      <c r="BC349" s="691" t="s">
        <v>908</v>
      </c>
      <c r="BD349" s="307">
        <v>348.0</v>
      </c>
      <c r="BF349" s="687" t="s">
        <v>2397</v>
      </c>
      <c r="BG349" s="145">
        <v>348.0</v>
      </c>
      <c r="BI349" s="688" t="s">
        <v>2749</v>
      </c>
      <c r="BJ349" s="145">
        <v>348.0</v>
      </c>
      <c r="BL349" s="692" t="s">
        <v>2746</v>
      </c>
      <c r="BM349" s="216">
        <v>348.0</v>
      </c>
    </row>
    <row r="350">
      <c r="A350" s="41" t="s">
        <v>905</v>
      </c>
      <c r="B350" s="307">
        <v>349.0</v>
      </c>
      <c r="C350" s="41"/>
      <c r="D350" s="41" t="s">
        <v>1079</v>
      </c>
      <c r="E350" s="307">
        <v>349.0</v>
      </c>
      <c r="F350" s="41"/>
      <c r="G350" s="41" t="s">
        <v>2442</v>
      </c>
      <c r="H350" s="307">
        <v>349.0</v>
      </c>
      <c r="I350" s="41"/>
      <c r="J350" s="41" t="s">
        <v>2678</v>
      </c>
      <c r="K350" s="307">
        <v>349.0</v>
      </c>
      <c r="L350" s="41"/>
      <c r="M350" s="41" t="s">
        <v>2752</v>
      </c>
      <c r="N350" s="307">
        <v>349.0</v>
      </c>
      <c r="O350" s="41"/>
      <c r="P350" s="41" t="s">
        <v>2313</v>
      </c>
      <c r="Q350" s="307">
        <v>349.0</v>
      </c>
      <c r="R350" s="41"/>
      <c r="S350" s="41" t="s">
        <v>2722</v>
      </c>
      <c r="T350" s="307">
        <v>349.0</v>
      </c>
      <c r="U350" s="41"/>
      <c r="V350" s="41"/>
      <c r="W350" s="307">
        <v>349.0</v>
      </c>
      <c r="X350" s="41"/>
      <c r="Y350" s="698" t="s">
        <v>2770</v>
      </c>
      <c r="Z350" s="307">
        <v>349.0</v>
      </c>
      <c r="AA350" s="41"/>
      <c r="AB350" s="41" t="s">
        <v>2444</v>
      </c>
      <c r="AC350" s="307">
        <v>349.0</v>
      </c>
      <c r="AD350" s="79"/>
      <c r="AF350" s="307">
        <v>349.0</v>
      </c>
      <c r="AH350" s="687" t="s">
        <v>2472</v>
      </c>
      <c r="AI350" s="307">
        <v>349.0</v>
      </c>
      <c r="AK350" s="687" t="s">
        <v>2410</v>
      </c>
      <c r="AL350" s="307">
        <v>349.0</v>
      </c>
      <c r="AN350" s="687" t="s">
        <v>2742</v>
      </c>
      <c r="AO350" s="307">
        <v>349.0</v>
      </c>
      <c r="AQ350" s="687" t="s">
        <v>2722</v>
      </c>
      <c r="AR350" s="307">
        <v>349.0</v>
      </c>
      <c r="AU350" s="307">
        <v>349.0</v>
      </c>
      <c r="AW350" s="687" t="s">
        <v>2771</v>
      </c>
      <c r="AX350" s="307">
        <v>349.0</v>
      </c>
      <c r="AZ350" s="687" t="s">
        <v>2479</v>
      </c>
      <c r="BA350" s="307">
        <v>349.0</v>
      </c>
      <c r="BC350" s="691" t="s">
        <v>2750</v>
      </c>
      <c r="BD350" s="307">
        <v>349.0</v>
      </c>
      <c r="BF350" s="687" t="s">
        <v>920</v>
      </c>
      <c r="BG350" s="145">
        <v>349.0</v>
      </c>
      <c r="BI350" s="688" t="s">
        <v>2761</v>
      </c>
      <c r="BJ350" s="145">
        <v>349.0</v>
      </c>
      <c r="BL350" s="692" t="s">
        <v>2772</v>
      </c>
      <c r="BM350" s="216">
        <v>349.0</v>
      </c>
    </row>
    <row r="351">
      <c r="A351" s="41" t="s">
        <v>233</v>
      </c>
      <c r="B351" s="307">
        <v>350.0</v>
      </c>
      <c r="C351" s="41"/>
      <c r="D351" s="41" t="s">
        <v>2773</v>
      </c>
      <c r="E351" s="307">
        <v>350.0</v>
      </c>
      <c r="F351" s="41"/>
      <c r="G351" s="41" t="s">
        <v>230</v>
      </c>
      <c r="H351" s="307">
        <v>350.0</v>
      </c>
      <c r="I351" s="41"/>
      <c r="J351" s="41" t="s">
        <v>1243</v>
      </c>
      <c r="K351" s="307">
        <v>350.0</v>
      </c>
      <c r="L351" s="41"/>
      <c r="M351" s="41" t="s">
        <v>2490</v>
      </c>
      <c r="N351" s="307">
        <v>350.0</v>
      </c>
      <c r="O351" s="41"/>
      <c r="P351" s="41" t="s">
        <v>2711</v>
      </c>
      <c r="Q351" s="307">
        <v>350.0</v>
      </c>
      <c r="R351" s="41"/>
      <c r="S351" s="41" t="s">
        <v>2313</v>
      </c>
      <c r="T351" s="307">
        <v>350.0</v>
      </c>
      <c r="U351" s="41"/>
      <c r="V351" s="41"/>
      <c r="W351" s="307">
        <v>350.0</v>
      </c>
      <c r="X351" s="41"/>
      <c r="Y351" s="682" t="s">
        <v>2756</v>
      </c>
      <c r="Z351" s="307">
        <v>350.0</v>
      </c>
      <c r="AA351" s="41"/>
      <c r="AB351" s="41" t="s">
        <v>2391</v>
      </c>
      <c r="AC351" s="307">
        <v>350.0</v>
      </c>
      <c r="AD351" s="79"/>
      <c r="AF351" s="307">
        <v>350.0</v>
      </c>
      <c r="AH351" s="687" t="s">
        <v>2774</v>
      </c>
      <c r="AI351" s="307">
        <v>350.0</v>
      </c>
      <c r="AK351" s="687" t="s">
        <v>2726</v>
      </c>
      <c r="AL351" s="307">
        <v>350.0</v>
      </c>
      <c r="AN351" s="687" t="s">
        <v>2755</v>
      </c>
      <c r="AO351" s="307">
        <v>350.0</v>
      </c>
      <c r="AQ351" s="687" t="s">
        <v>2736</v>
      </c>
      <c r="AR351" s="307">
        <v>350.0</v>
      </c>
      <c r="AU351" s="307">
        <v>350.0</v>
      </c>
      <c r="AW351" s="687" t="s">
        <v>2459</v>
      </c>
      <c r="AX351" s="307">
        <v>350.0</v>
      </c>
      <c r="AZ351" s="687" t="s">
        <v>2478</v>
      </c>
      <c r="BA351" s="307">
        <v>350.0</v>
      </c>
      <c r="BC351" s="691" t="s">
        <v>2280</v>
      </c>
      <c r="BD351" s="307">
        <v>350.0</v>
      </c>
      <c r="BF351" s="687" t="s">
        <v>2751</v>
      </c>
      <c r="BG351" s="145">
        <v>350.0</v>
      </c>
      <c r="BI351" s="688" t="s">
        <v>2634</v>
      </c>
      <c r="BJ351" s="145">
        <v>350.0</v>
      </c>
      <c r="BL351" s="692" t="s">
        <v>2775</v>
      </c>
      <c r="BM351" s="216">
        <v>350.0</v>
      </c>
    </row>
    <row r="352">
      <c r="A352" s="41" t="s">
        <v>2336</v>
      </c>
      <c r="B352" s="307">
        <v>351.0</v>
      </c>
      <c r="C352" s="41"/>
      <c r="D352" s="41" t="s">
        <v>838</v>
      </c>
      <c r="E352" s="307">
        <v>351.0</v>
      </c>
      <c r="F352" s="41"/>
      <c r="G352" s="41" t="s">
        <v>2438</v>
      </c>
      <c r="H352" s="307">
        <v>351.0</v>
      </c>
      <c r="I352" s="41"/>
      <c r="J352" s="41" t="s">
        <v>930</v>
      </c>
      <c r="K352" s="307">
        <v>351.0</v>
      </c>
      <c r="L352" s="41"/>
      <c r="M352" s="41" t="s">
        <v>2436</v>
      </c>
      <c r="N352" s="307">
        <v>351.0</v>
      </c>
      <c r="O352" s="41"/>
      <c r="P352" s="41" t="s">
        <v>920</v>
      </c>
      <c r="Q352" s="307">
        <v>351.0</v>
      </c>
      <c r="R352" s="41"/>
      <c r="S352" s="41" t="s">
        <v>2711</v>
      </c>
      <c r="T352" s="307">
        <v>351.0</v>
      </c>
      <c r="U352" s="41"/>
      <c r="V352" s="41"/>
      <c r="W352" s="307">
        <v>351.0</v>
      </c>
      <c r="X352" s="41"/>
      <c r="Y352" s="682" t="s">
        <v>2742</v>
      </c>
      <c r="Z352" s="307">
        <v>351.0</v>
      </c>
      <c r="AA352" s="41"/>
      <c r="AB352" s="41" t="s">
        <v>1079</v>
      </c>
      <c r="AC352" s="307">
        <v>351.0</v>
      </c>
      <c r="AD352" s="79"/>
      <c r="AF352" s="307">
        <v>351.0</v>
      </c>
      <c r="AH352" s="687" t="s">
        <v>1140</v>
      </c>
      <c r="AI352" s="307">
        <v>351.0</v>
      </c>
      <c r="AK352" s="687" t="s">
        <v>2739</v>
      </c>
      <c r="AL352" s="307">
        <v>351.0</v>
      </c>
      <c r="AN352" s="687" t="s">
        <v>2337</v>
      </c>
      <c r="AO352" s="307">
        <v>351.0</v>
      </c>
      <c r="AQ352" s="687" t="s">
        <v>2697</v>
      </c>
      <c r="AR352" s="307">
        <v>351.0</v>
      </c>
      <c r="AU352" s="307">
        <v>351.0</v>
      </c>
      <c r="AW352" s="687" t="s">
        <v>2463</v>
      </c>
      <c r="AX352" s="307">
        <v>351.0</v>
      </c>
      <c r="AZ352" s="687" t="s">
        <v>1075</v>
      </c>
      <c r="BA352" s="307">
        <v>351.0</v>
      </c>
      <c r="BC352" s="691" t="s">
        <v>2482</v>
      </c>
      <c r="BD352" s="307">
        <v>351.0</v>
      </c>
      <c r="BF352" s="687" t="s">
        <v>2754</v>
      </c>
      <c r="BG352" s="145">
        <v>351.0</v>
      </c>
      <c r="BI352" s="688" t="s">
        <v>2763</v>
      </c>
      <c r="BJ352" s="145">
        <v>351.0</v>
      </c>
      <c r="BL352" s="692" t="s">
        <v>71</v>
      </c>
      <c r="BM352" s="216">
        <v>351.0</v>
      </c>
    </row>
    <row r="353">
      <c r="A353" s="41" t="s">
        <v>2440</v>
      </c>
      <c r="B353" s="307">
        <v>352.0</v>
      </c>
      <c r="C353" s="41"/>
      <c r="D353" s="41" t="s">
        <v>2722</v>
      </c>
      <c r="E353" s="307">
        <v>352.0</v>
      </c>
      <c r="F353" s="41"/>
      <c r="G353" s="41" t="s">
        <v>1243</v>
      </c>
      <c r="H353" s="307">
        <v>352.0</v>
      </c>
      <c r="I353" s="41"/>
      <c r="J353" s="41" t="s">
        <v>2717</v>
      </c>
      <c r="K353" s="307">
        <v>352.0</v>
      </c>
      <c r="L353" s="41"/>
      <c r="M353" s="41" t="s">
        <v>2760</v>
      </c>
      <c r="N353" s="307">
        <v>352.0</v>
      </c>
      <c r="O353" s="41"/>
      <c r="P353" s="41" t="s">
        <v>2690</v>
      </c>
      <c r="Q353" s="307">
        <v>352.0</v>
      </c>
      <c r="R353" s="41"/>
      <c r="S353" s="41" t="s">
        <v>2760</v>
      </c>
      <c r="T353" s="307">
        <v>352.0</v>
      </c>
      <c r="U353" s="41"/>
      <c r="V353" s="41"/>
      <c r="W353" s="307">
        <v>352.0</v>
      </c>
      <c r="X353" s="41"/>
      <c r="Y353" s="682" t="s">
        <v>2634</v>
      </c>
      <c r="Z353" s="307">
        <v>352.0</v>
      </c>
      <c r="AA353" s="41"/>
      <c r="AB353" s="41" t="s">
        <v>2368</v>
      </c>
      <c r="AC353" s="307">
        <v>352.0</v>
      </c>
      <c r="AD353" s="79"/>
      <c r="AF353" s="307">
        <v>352.0</v>
      </c>
      <c r="AH353" s="687" t="s">
        <v>2439</v>
      </c>
      <c r="AI353" s="307">
        <v>352.0</v>
      </c>
      <c r="AK353" s="687" t="s">
        <v>2399</v>
      </c>
      <c r="AL353" s="307">
        <v>352.0</v>
      </c>
      <c r="AN353" s="687" t="s">
        <v>2456</v>
      </c>
      <c r="AO353" s="307">
        <v>352.0</v>
      </c>
      <c r="AQ353" s="687" t="s">
        <v>2756</v>
      </c>
      <c r="AR353" s="307">
        <v>352.0</v>
      </c>
      <c r="AU353" s="307">
        <v>352.0</v>
      </c>
      <c r="AW353" s="687" t="s">
        <v>2749</v>
      </c>
      <c r="AX353" s="307">
        <v>352.0</v>
      </c>
      <c r="AZ353" s="687" t="s">
        <v>2437</v>
      </c>
      <c r="BA353" s="307">
        <v>352.0</v>
      </c>
      <c r="BC353" s="691" t="s">
        <v>2442</v>
      </c>
      <c r="BD353" s="307">
        <v>352.0</v>
      </c>
      <c r="BF353" s="687" t="s">
        <v>2756</v>
      </c>
      <c r="BG353" s="145">
        <v>352.0</v>
      </c>
      <c r="BI353" s="688" t="s">
        <v>2765</v>
      </c>
      <c r="BJ353" s="145">
        <v>352.0</v>
      </c>
      <c r="BL353" s="692" t="s">
        <v>2776</v>
      </c>
      <c r="BM353" s="216">
        <v>352.0</v>
      </c>
    </row>
    <row r="354">
      <c r="A354" s="41" t="s">
        <v>847</v>
      </c>
      <c r="B354" s="307">
        <v>353.0</v>
      </c>
      <c r="C354" s="41"/>
      <c r="D354" s="41" t="s">
        <v>2716</v>
      </c>
      <c r="E354" s="307">
        <v>353.0</v>
      </c>
      <c r="F354" s="41"/>
      <c r="G354" s="41" t="s">
        <v>919</v>
      </c>
      <c r="H354" s="307">
        <v>353.0</v>
      </c>
      <c r="I354" s="41"/>
      <c r="J354" s="41" t="s">
        <v>856</v>
      </c>
      <c r="K354" s="307">
        <v>353.0</v>
      </c>
      <c r="L354" s="41"/>
      <c r="M354" s="41" t="s">
        <v>2447</v>
      </c>
      <c r="N354" s="307">
        <v>353.0</v>
      </c>
      <c r="O354" s="41"/>
      <c r="P354" s="41" t="s">
        <v>2336</v>
      </c>
      <c r="Q354" s="307">
        <v>353.0</v>
      </c>
      <c r="R354" s="41"/>
      <c r="S354" s="41" t="s">
        <v>2336</v>
      </c>
      <c r="T354" s="307">
        <v>353.0</v>
      </c>
      <c r="U354" s="41"/>
      <c r="V354" s="41"/>
      <c r="W354" s="307">
        <v>353.0</v>
      </c>
      <c r="X354" s="41"/>
      <c r="Y354" s="682" t="s">
        <v>2777</v>
      </c>
      <c r="Z354" s="307">
        <v>353.0</v>
      </c>
      <c r="AA354" s="41"/>
      <c r="AB354" s="41" t="s">
        <v>1249</v>
      </c>
      <c r="AC354" s="307">
        <v>353.0</v>
      </c>
      <c r="AD354" s="79"/>
      <c r="AF354" s="307">
        <v>353.0</v>
      </c>
      <c r="AH354" s="687" t="s">
        <v>2377</v>
      </c>
      <c r="AI354" s="307">
        <v>353.0</v>
      </c>
      <c r="AK354" s="687" t="s">
        <v>829</v>
      </c>
      <c r="AL354" s="307">
        <v>353.0</v>
      </c>
      <c r="AN354" s="687" t="s">
        <v>2746</v>
      </c>
      <c r="AO354" s="307">
        <v>353.0</v>
      </c>
      <c r="AQ354" s="687" t="s">
        <v>1137</v>
      </c>
      <c r="AR354" s="307">
        <v>353.0</v>
      </c>
      <c r="AU354" s="307">
        <v>353.0</v>
      </c>
      <c r="AW354" s="687" t="s">
        <v>2478</v>
      </c>
      <c r="AX354" s="307">
        <v>353.0</v>
      </c>
      <c r="AZ354" s="687" t="s">
        <v>1049</v>
      </c>
      <c r="BA354" s="307">
        <v>353.0</v>
      </c>
      <c r="BC354" s="691" t="s">
        <v>2397</v>
      </c>
      <c r="BD354" s="307">
        <v>353.0</v>
      </c>
      <c r="BF354" s="687" t="s">
        <v>2508</v>
      </c>
      <c r="BG354" s="145">
        <v>353.0</v>
      </c>
      <c r="BI354" s="688" t="s">
        <v>2725</v>
      </c>
      <c r="BJ354" s="145">
        <v>353.0</v>
      </c>
      <c r="BL354" s="692" t="s">
        <v>2463</v>
      </c>
      <c r="BM354" s="216">
        <v>353.0</v>
      </c>
    </row>
    <row r="355">
      <c r="A355" s="41" t="s">
        <v>2441</v>
      </c>
      <c r="B355" s="307">
        <v>354.0</v>
      </c>
      <c r="C355" s="41"/>
      <c r="D355" s="41" t="s">
        <v>2449</v>
      </c>
      <c r="E355" s="307">
        <v>354.0</v>
      </c>
      <c r="F355" s="41"/>
      <c r="G355" s="41" t="s">
        <v>2437</v>
      </c>
      <c r="H355" s="307">
        <v>354.0</v>
      </c>
      <c r="I355" s="41"/>
      <c r="J355" s="41" t="s">
        <v>2323</v>
      </c>
      <c r="K355" s="307">
        <v>354.0</v>
      </c>
      <c r="L355" s="41"/>
      <c r="M355" s="41" t="s">
        <v>2412</v>
      </c>
      <c r="N355" s="307">
        <v>354.0</v>
      </c>
      <c r="O355" s="41"/>
      <c r="P355" s="41" t="s">
        <v>919</v>
      </c>
      <c r="Q355" s="307">
        <v>354.0</v>
      </c>
      <c r="R355" s="41"/>
      <c r="S355" s="41" t="s">
        <v>2337</v>
      </c>
      <c r="T355" s="307">
        <v>354.0</v>
      </c>
      <c r="U355" s="41"/>
      <c r="V355" s="41"/>
      <c r="W355" s="307">
        <v>354.0</v>
      </c>
      <c r="X355" s="41"/>
      <c r="Y355" s="682" t="s">
        <v>1075</v>
      </c>
      <c r="Z355" s="307">
        <v>354.0</v>
      </c>
      <c r="AA355" s="41"/>
      <c r="AB355" s="41" t="s">
        <v>2439</v>
      </c>
      <c r="AC355" s="307">
        <v>354.0</v>
      </c>
      <c r="AD355" s="79"/>
      <c r="AF355" s="307">
        <v>354.0</v>
      </c>
      <c r="AH355" s="687" t="s">
        <v>2410</v>
      </c>
      <c r="AI355" s="307">
        <v>354.0</v>
      </c>
      <c r="AK355" s="687" t="s">
        <v>1079</v>
      </c>
      <c r="AL355" s="307">
        <v>354.0</v>
      </c>
      <c r="AN355" s="687" t="s">
        <v>2743</v>
      </c>
      <c r="AO355" s="307">
        <v>354.0</v>
      </c>
      <c r="AQ355" s="687" t="s">
        <v>2771</v>
      </c>
      <c r="AR355" s="307">
        <v>354.0</v>
      </c>
      <c r="AU355" s="307">
        <v>354.0</v>
      </c>
      <c r="AW355" s="687" t="s">
        <v>1075</v>
      </c>
      <c r="AX355" s="307">
        <v>354.0</v>
      </c>
      <c r="AZ355" s="687" t="s">
        <v>1102</v>
      </c>
      <c r="BA355" s="307">
        <v>354.0</v>
      </c>
      <c r="BC355" s="691" t="s">
        <v>920</v>
      </c>
      <c r="BD355" s="307">
        <v>354.0</v>
      </c>
      <c r="BF355" s="687" t="s">
        <v>2764</v>
      </c>
      <c r="BG355" s="145">
        <v>354.0</v>
      </c>
      <c r="BI355" s="688" t="s">
        <v>908</v>
      </c>
      <c r="BJ355" s="145">
        <v>354.0</v>
      </c>
      <c r="BL355" s="692" t="s">
        <v>2764</v>
      </c>
      <c r="BM355" s="216">
        <v>354.0</v>
      </c>
    </row>
    <row r="356">
      <c r="A356" s="41" t="s">
        <v>2442</v>
      </c>
      <c r="B356" s="307">
        <v>355.0</v>
      </c>
      <c r="C356" s="41"/>
      <c r="D356" s="41" t="s">
        <v>2322</v>
      </c>
      <c r="E356" s="307">
        <v>355.0</v>
      </c>
      <c r="F356" s="41"/>
      <c r="G356" s="41" t="s">
        <v>2677</v>
      </c>
      <c r="H356" s="307">
        <v>355.0</v>
      </c>
      <c r="I356" s="41"/>
      <c r="J356" s="41" t="s">
        <v>1250</v>
      </c>
      <c r="K356" s="307">
        <v>355.0</v>
      </c>
      <c r="L356" s="41"/>
      <c r="M356" s="41" t="s">
        <v>2448</v>
      </c>
      <c r="N356" s="307">
        <v>355.0</v>
      </c>
      <c r="O356" s="41"/>
      <c r="P356" s="41" t="s">
        <v>2410</v>
      </c>
      <c r="Q356" s="307">
        <v>355.0</v>
      </c>
      <c r="R356" s="41"/>
      <c r="S356" s="41" t="s">
        <v>2743</v>
      </c>
      <c r="T356" s="307">
        <v>355.0</v>
      </c>
      <c r="U356" s="41"/>
      <c r="V356" s="41"/>
      <c r="W356" s="307">
        <v>355.0</v>
      </c>
      <c r="X356" s="41"/>
      <c r="Y356" s="698" t="s">
        <v>1238</v>
      </c>
      <c r="Z356" s="307">
        <v>355.0</v>
      </c>
      <c r="AA356" s="41"/>
      <c r="AB356" s="41" t="s">
        <v>2399</v>
      </c>
      <c r="AC356" s="307">
        <v>355.0</v>
      </c>
      <c r="AD356" s="79"/>
      <c r="AF356" s="307">
        <v>355.0</v>
      </c>
      <c r="AH356" s="687" t="s">
        <v>2773</v>
      </c>
      <c r="AI356" s="307">
        <v>355.0</v>
      </c>
      <c r="AK356" s="687" t="s">
        <v>2501</v>
      </c>
      <c r="AL356" s="307">
        <v>355.0</v>
      </c>
      <c r="AN356" s="687" t="s">
        <v>2744</v>
      </c>
      <c r="AO356" s="307">
        <v>355.0</v>
      </c>
      <c r="AQ356" s="687" t="s">
        <v>2459</v>
      </c>
      <c r="AR356" s="307">
        <v>355.0</v>
      </c>
      <c r="AU356" s="307">
        <v>355.0</v>
      </c>
      <c r="AW356" s="687" t="s">
        <v>1102</v>
      </c>
      <c r="AX356" s="307">
        <v>355.0</v>
      </c>
      <c r="AZ356" s="687" t="s">
        <v>908</v>
      </c>
      <c r="BA356" s="307">
        <v>355.0</v>
      </c>
      <c r="BC356" s="691" t="s">
        <v>2751</v>
      </c>
      <c r="BD356" s="307">
        <v>355.0</v>
      </c>
      <c r="BF356" s="687" t="s">
        <v>2752</v>
      </c>
      <c r="BG356" s="145">
        <v>355.0</v>
      </c>
      <c r="BI356" s="688" t="s">
        <v>2772</v>
      </c>
      <c r="BJ356" s="145">
        <v>355.0</v>
      </c>
      <c r="BL356" s="692" t="s">
        <v>2334</v>
      </c>
      <c r="BM356" s="216">
        <v>355.0</v>
      </c>
    </row>
    <row r="357">
      <c r="A357" s="41" t="s">
        <v>248</v>
      </c>
      <c r="B357" s="307">
        <v>356.0</v>
      </c>
      <c r="C357" s="41"/>
      <c r="D357" s="41" t="s">
        <v>2450</v>
      </c>
      <c r="E357" s="307">
        <v>356.0</v>
      </c>
      <c r="F357" s="41"/>
      <c r="G357" s="41" t="s">
        <v>238</v>
      </c>
      <c r="H357" s="307">
        <v>356.0</v>
      </c>
      <c r="I357" s="41"/>
      <c r="J357" s="41" t="s">
        <v>939</v>
      </c>
      <c r="K357" s="307">
        <v>356.0</v>
      </c>
      <c r="L357" s="41"/>
      <c r="M357" s="41" t="s">
        <v>2482</v>
      </c>
      <c r="N357" s="307">
        <v>356.0</v>
      </c>
      <c r="O357" s="41"/>
      <c r="P357" s="41" t="s">
        <v>2445</v>
      </c>
      <c r="Q357" s="307">
        <v>356.0</v>
      </c>
      <c r="R357" s="41"/>
      <c r="S357" s="41" t="s">
        <v>919</v>
      </c>
      <c r="T357" s="307">
        <v>356.0</v>
      </c>
      <c r="U357" s="41"/>
      <c r="V357" s="41"/>
      <c r="W357" s="307">
        <v>356.0</v>
      </c>
      <c r="X357" s="41"/>
      <c r="Y357" s="698" t="s">
        <v>2767</v>
      </c>
      <c r="Z357" s="307">
        <v>356.0</v>
      </c>
      <c r="AA357" s="41"/>
      <c r="AB357" s="41" t="s">
        <v>2377</v>
      </c>
      <c r="AC357" s="307">
        <v>356.0</v>
      </c>
      <c r="AD357" s="79"/>
      <c r="AF357" s="307">
        <v>356.0</v>
      </c>
      <c r="AH357" s="687" t="s">
        <v>2726</v>
      </c>
      <c r="AI357" s="307">
        <v>356.0</v>
      </c>
      <c r="AK357" s="687" t="s">
        <v>2741</v>
      </c>
      <c r="AL357" s="307">
        <v>356.0</v>
      </c>
      <c r="AN357" s="687" t="s">
        <v>2736</v>
      </c>
      <c r="AO357" s="307">
        <v>356.0</v>
      </c>
      <c r="AQ357" s="687" t="s">
        <v>2463</v>
      </c>
      <c r="AR357" s="307">
        <v>356.0</v>
      </c>
      <c r="AU357" s="307">
        <v>356.0</v>
      </c>
      <c r="AW357" s="687" t="s">
        <v>908</v>
      </c>
      <c r="AX357" s="307">
        <v>356.0</v>
      </c>
      <c r="AZ357" s="687" t="s">
        <v>2750</v>
      </c>
      <c r="BA357" s="307">
        <v>356.0</v>
      </c>
      <c r="BC357" s="691" t="s">
        <v>2726</v>
      </c>
      <c r="BD357" s="307">
        <v>356.0</v>
      </c>
      <c r="BF357" s="687" t="s">
        <v>2758</v>
      </c>
      <c r="BG357" s="145">
        <v>356.0</v>
      </c>
      <c r="BI357" s="688" t="s">
        <v>2778</v>
      </c>
      <c r="BJ357" s="145">
        <v>356.0</v>
      </c>
      <c r="BL357" s="692" t="s">
        <v>2779</v>
      </c>
      <c r="BM357" s="216">
        <v>356.0</v>
      </c>
    </row>
    <row r="358">
      <c r="A358" s="41" t="s">
        <v>2443</v>
      </c>
      <c r="B358" s="307">
        <v>357.0</v>
      </c>
      <c r="C358" s="41"/>
      <c r="D358" s="41" t="s">
        <v>230</v>
      </c>
      <c r="E358" s="307">
        <v>357.0</v>
      </c>
      <c r="F358" s="41"/>
      <c r="G358" s="41" t="s">
        <v>2400</v>
      </c>
      <c r="H358" s="307">
        <v>357.0</v>
      </c>
      <c r="I358" s="41"/>
      <c r="J358" s="41" t="s">
        <v>1079</v>
      </c>
      <c r="K358" s="307">
        <v>357.0</v>
      </c>
      <c r="L358" s="41"/>
      <c r="M358" s="41" t="s">
        <v>1049</v>
      </c>
      <c r="N358" s="307">
        <v>357.0</v>
      </c>
      <c r="O358" s="41"/>
      <c r="P358" s="41" t="s">
        <v>2457</v>
      </c>
      <c r="Q358" s="307">
        <v>357.0</v>
      </c>
      <c r="R358" s="41"/>
      <c r="S358" s="41" t="s">
        <v>2762</v>
      </c>
      <c r="T358" s="307">
        <v>357.0</v>
      </c>
      <c r="U358" s="41"/>
      <c r="V358" s="41"/>
      <c r="W358" s="307">
        <v>357.0</v>
      </c>
      <c r="X358" s="41"/>
      <c r="Y358" s="698" t="s">
        <v>2780</v>
      </c>
      <c r="Z358" s="307">
        <v>357.0</v>
      </c>
      <c r="AA358" s="41"/>
      <c r="AB358" s="41" t="s">
        <v>1140</v>
      </c>
      <c r="AC358" s="307">
        <v>357.0</v>
      </c>
      <c r="AD358" s="79"/>
      <c r="AF358" s="307">
        <v>357.0</v>
      </c>
      <c r="AH358" s="687" t="s">
        <v>2739</v>
      </c>
      <c r="AI358" s="307">
        <v>357.0</v>
      </c>
      <c r="AK358" s="687" t="s">
        <v>2448</v>
      </c>
      <c r="AL358" s="307">
        <v>357.0</v>
      </c>
      <c r="AN358" s="687" t="s">
        <v>2697</v>
      </c>
      <c r="AO358" s="307">
        <v>357.0</v>
      </c>
      <c r="AQ358" s="687" t="s">
        <v>2351</v>
      </c>
      <c r="AR358" s="307">
        <v>357.0</v>
      </c>
      <c r="AU358" s="307">
        <v>357.0</v>
      </c>
      <c r="AW358" s="687" t="s">
        <v>2750</v>
      </c>
      <c r="AX358" s="307">
        <v>357.0</v>
      </c>
      <c r="AZ358" s="687" t="s">
        <v>2781</v>
      </c>
      <c r="BA358" s="307">
        <v>357.0</v>
      </c>
      <c r="BC358" s="691" t="s">
        <v>2754</v>
      </c>
      <c r="BD358" s="307">
        <v>357.0</v>
      </c>
      <c r="BF358" s="700" t="s">
        <v>946</v>
      </c>
      <c r="BG358" s="145">
        <v>357.0</v>
      </c>
      <c r="BI358" s="688" t="s">
        <v>2775</v>
      </c>
      <c r="BJ358" s="145">
        <v>357.0</v>
      </c>
      <c r="BL358" s="692" t="s">
        <v>2782</v>
      </c>
      <c r="BM358" s="216">
        <v>357.0</v>
      </c>
    </row>
    <row r="359">
      <c r="A359" s="41" t="s">
        <v>2444</v>
      </c>
      <c r="B359" s="307">
        <v>358.0</v>
      </c>
      <c r="C359" s="41"/>
      <c r="D359" s="41" t="s">
        <v>919</v>
      </c>
      <c r="E359" s="307">
        <v>358.0</v>
      </c>
      <c r="F359" s="41"/>
      <c r="G359" s="41" t="s">
        <v>2250</v>
      </c>
      <c r="H359" s="307">
        <v>358.0</v>
      </c>
      <c r="I359" s="41"/>
      <c r="J359" s="41" t="s">
        <v>2442</v>
      </c>
      <c r="K359" s="307">
        <v>358.0</v>
      </c>
      <c r="L359" s="41"/>
      <c r="M359" s="41" t="s">
        <v>2722</v>
      </c>
      <c r="N359" s="307">
        <v>358.0</v>
      </c>
      <c r="O359" s="41"/>
      <c r="P359" s="41" t="s">
        <v>2770</v>
      </c>
      <c r="Q359" s="307">
        <v>358.0</v>
      </c>
      <c r="R359" s="41"/>
      <c r="S359" s="41" t="s">
        <v>2410</v>
      </c>
      <c r="T359" s="307">
        <v>358.0</v>
      </c>
      <c r="U359" s="41"/>
      <c r="V359" s="41"/>
      <c r="W359" s="307">
        <v>358.0</v>
      </c>
      <c r="X359" s="41"/>
      <c r="Y359" s="682" t="s">
        <v>2783</v>
      </c>
      <c r="Z359" s="307">
        <v>358.0</v>
      </c>
      <c r="AA359" s="41"/>
      <c r="AB359" s="41" t="s">
        <v>1105</v>
      </c>
      <c r="AC359" s="307">
        <v>358.0</v>
      </c>
      <c r="AD359" s="79"/>
      <c r="AF359" s="307">
        <v>358.0</v>
      </c>
      <c r="AH359" s="687" t="s">
        <v>2501</v>
      </c>
      <c r="AI359" s="307">
        <v>358.0</v>
      </c>
      <c r="AK359" s="687" t="s">
        <v>2745</v>
      </c>
      <c r="AL359" s="307">
        <v>358.0</v>
      </c>
      <c r="AN359" s="687" t="s">
        <v>2756</v>
      </c>
      <c r="AO359" s="307">
        <v>358.0</v>
      </c>
      <c r="AQ359" s="687" t="s">
        <v>2749</v>
      </c>
      <c r="AR359" s="307">
        <v>358.0</v>
      </c>
      <c r="AU359" s="307">
        <v>358.0</v>
      </c>
      <c r="AW359" s="687" t="s">
        <v>2781</v>
      </c>
      <c r="AX359" s="307">
        <v>358.0</v>
      </c>
      <c r="AZ359" s="687" t="s">
        <v>2280</v>
      </c>
      <c r="BA359" s="307">
        <v>358.0</v>
      </c>
      <c r="BC359" s="691" t="s">
        <v>2756</v>
      </c>
      <c r="BD359" s="307">
        <v>358.0</v>
      </c>
      <c r="BF359" s="687" t="s">
        <v>2502</v>
      </c>
      <c r="BG359" s="145">
        <v>358.0</v>
      </c>
      <c r="BI359" s="688" t="s">
        <v>71</v>
      </c>
      <c r="BJ359" s="145">
        <v>358.0</v>
      </c>
      <c r="BL359" s="692" t="s">
        <v>238</v>
      </c>
      <c r="BM359" s="216">
        <v>358.0</v>
      </c>
    </row>
    <row r="360">
      <c r="A360" s="41" t="s">
        <v>2445</v>
      </c>
      <c r="B360" s="307">
        <v>359.0</v>
      </c>
      <c r="C360" s="41"/>
      <c r="D360" s="41" t="s">
        <v>2444</v>
      </c>
      <c r="E360" s="307">
        <v>359.0</v>
      </c>
      <c r="F360" s="41"/>
      <c r="G360" s="41" t="s">
        <v>2752</v>
      </c>
      <c r="H360" s="307">
        <v>359.0</v>
      </c>
      <c r="I360" s="41"/>
      <c r="J360" s="41" t="s">
        <v>2734</v>
      </c>
      <c r="K360" s="307">
        <v>359.0</v>
      </c>
      <c r="L360" s="41"/>
      <c r="M360" s="41" t="s">
        <v>2313</v>
      </c>
      <c r="N360" s="307">
        <v>359.0</v>
      </c>
      <c r="O360" s="41"/>
      <c r="P360" s="41" t="s">
        <v>2756</v>
      </c>
      <c r="Q360" s="307">
        <v>359.0</v>
      </c>
      <c r="R360" s="41"/>
      <c r="S360" s="41" t="s">
        <v>2445</v>
      </c>
      <c r="T360" s="307">
        <v>359.0</v>
      </c>
      <c r="U360" s="41"/>
      <c r="V360" s="41"/>
      <c r="W360" s="307">
        <v>359.0</v>
      </c>
      <c r="X360" s="41"/>
      <c r="Y360" s="698" t="s">
        <v>2413</v>
      </c>
      <c r="Z360" s="307">
        <v>359.0</v>
      </c>
      <c r="AA360" s="41"/>
      <c r="AB360" s="41" t="s">
        <v>2784</v>
      </c>
      <c r="AC360" s="307">
        <v>359.0</v>
      </c>
      <c r="AD360" s="79"/>
      <c r="AF360" s="307">
        <v>359.0</v>
      </c>
      <c r="AH360" s="687" t="s">
        <v>2785</v>
      </c>
      <c r="AI360" s="307">
        <v>359.0</v>
      </c>
      <c r="AK360" s="687" t="s">
        <v>2738</v>
      </c>
      <c r="AL360" s="307">
        <v>359.0</v>
      </c>
      <c r="AN360" s="687" t="s">
        <v>1137</v>
      </c>
      <c r="AO360" s="307">
        <v>359.0</v>
      </c>
      <c r="AQ360" s="687" t="s">
        <v>949</v>
      </c>
      <c r="AR360" s="307">
        <v>359.0</v>
      </c>
      <c r="AU360" s="307">
        <v>359.0</v>
      </c>
      <c r="AW360" s="687" t="s">
        <v>2280</v>
      </c>
      <c r="AX360" s="307">
        <v>359.0</v>
      </c>
      <c r="AZ360" s="687" t="s">
        <v>2482</v>
      </c>
      <c r="BA360" s="307">
        <v>359.0</v>
      </c>
      <c r="BC360" s="691" t="s">
        <v>2764</v>
      </c>
      <c r="BD360" s="307">
        <v>359.0</v>
      </c>
      <c r="BF360" s="687" t="s">
        <v>2761</v>
      </c>
      <c r="BG360" s="145">
        <v>359.0</v>
      </c>
      <c r="BI360" s="688" t="s">
        <v>2776</v>
      </c>
      <c r="BJ360" s="145">
        <v>359.0</v>
      </c>
      <c r="BL360" s="692" t="s">
        <v>2312</v>
      </c>
      <c r="BM360" s="216">
        <v>359.0</v>
      </c>
    </row>
    <row r="361">
      <c r="A361" s="41" t="s">
        <v>2446</v>
      </c>
      <c r="B361" s="307">
        <v>360.0</v>
      </c>
      <c r="C361" s="41"/>
      <c r="D361" s="41" t="s">
        <v>2677</v>
      </c>
      <c r="E361" s="307">
        <v>360.0</v>
      </c>
      <c r="F361" s="41"/>
      <c r="G361" s="41" t="s">
        <v>1136</v>
      </c>
      <c r="H361" s="307">
        <v>360.0</v>
      </c>
      <c r="I361" s="41"/>
      <c r="J361" s="41" t="s">
        <v>2456</v>
      </c>
      <c r="K361" s="307">
        <v>360.0</v>
      </c>
      <c r="L361" s="41"/>
      <c r="M361" s="41" t="s">
        <v>2711</v>
      </c>
      <c r="N361" s="307">
        <v>360.0</v>
      </c>
      <c r="O361" s="41"/>
      <c r="P361" s="41" t="s">
        <v>2742</v>
      </c>
      <c r="Q361" s="307">
        <v>360.0</v>
      </c>
      <c r="R361" s="41"/>
      <c r="S361" s="41" t="s">
        <v>2457</v>
      </c>
      <c r="T361" s="307">
        <v>360.0</v>
      </c>
      <c r="U361" s="41"/>
      <c r="V361" s="41"/>
      <c r="W361" s="307">
        <v>360.0</v>
      </c>
      <c r="X361" s="41"/>
      <c r="Y361" s="682" t="s">
        <v>2484</v>
      </c>
      <c r="Z361" s="307">
        <v>360.0</v>
      </c>
      <c r="AA361" s="41"/>
      <c r="AB361" s="41" t="s">
        <v>2770</v>
      </c>
      <c r="AC361" s="307">
        <v>360.0</v>
      </c>
      <c r="AD361" s="79"/>
      <c r="AF361" s="307">
        <v>360.0</v>
      </c>
      <c r="AH361" s="687" t="s">
        <v>1079</v>
      </c>
      <c r="AI361" s="307">
        <v>360.0</v>
      </c>
      <c r="AK361" s="687" t="s">
        <v>2709</v>
      </c>
      <c r="AL361" s="307">
        <v>360.0</v>
      </c>
      <c r="AN361" s="687" t="s">
        <v>2459</v>
      </c>
      <c r="AO361" s="307">
        <v>360.0</v>
      </c>
      <c r="AQ361" s="687" t="s">
        <v>2478</v>
      </c>
      <c r="AR361" s="307">
        <v>360.0</v>
      </c>
      <c r="AU361" s="307">
        <v>360.0</v>
      </c>
      <c r="AW361" s="687" t="s">
        <v>2482</v>
      </c>
      <c r="AX361" s="307">
        <v>360.0</v>
      </c>
      <c r="AZ361" s="687" t="s">
        <v>2397</v>
      </c>
      <c r="BA361" s="307">
        <v>360.0</v>
      </c>
      <c r="BC361" s="691" t="s">
        <v>2752</v>
      </c>
      <c r="BD361" s="307">
        <v>360.0</v>
      </c>
      <c r="BF361" s="687" t="s">
        <v>2634</v>
      </c>
      <c r="BG361" s="145">
        <v>360.0</v>
      </c>
      <c r="BI361" s="688" t="s">
        <v>2786</v>
      </c>
      <c r="BJ361" s="145">
        <v>360.0</v>
      </c>
      <c r="BL361" s="692" t="s">
        <v>1254</v>
      </c>
      <c r="BM361" s="216">
        <v>360.0</v>
      </c>
    </row>
    <row r="362">
      <c r="A362" s="41" t="s">
        <v>2447</v>
      </c>
      <c r="B362" s="307">
        <v>361.0</v>
      </c>
      <c r="C362" s="41"/>
      <c r="D362" s="41" t="s">
        <v>2400</v>
      </c>
      <c r="E362" s="307">
        <v>361.0</v>
      </c>
      <c r="F362" s="41"/>
      <c r="G362" s="41" t="s">
        <v>2787</v>
      </c>
      <c r="H362" s="307">
        <v>361.0</v>
      </c>
      <c r="I362" s="41"/>
      <c r="J362" s="41" t="s">
        <v>2429</v>
      </c>
      <c r="K362" s="307">
        <v>361.0</v>
      </c>
      <c r="L362" s="41"/>
      <c r="M362" s="41" t="s">
        <v>920</v>
      </c>
      <c r="N362" s="307">
        <v>361.0</v>
      </c>
      <c r="O362" s="41"/>
      <c r="P362" s="41" t="s">
        <v>2447</v>
      </c>
      <c r="Q362" s="307">
        <v>361.0</v>
      </c>
      <c r="R362" s="41"/>
      <c r="S362" s="41" t="s">
        <v>2770</v>
      </c>
      <c r="T362" s="307">
        <v>361.0</v>
      </c>
      <c r="U362" s="41"/>
      <c r="V362" s="41"/>
      <c r="W362" s="307">
        <v>361.0</v>
      </c>
      <c r="X362" s="41"/>
      <c r="Y362" s="698" t="s">
        <v>2724</v>
      </c>
      <c r="Z362" s="307">
        <v>361.0</v>
      </c>
      <c r="AA362" s="41"/>
      <c r="AB362" s="41" t="s">
        <v>1102</v>
      </c>
      <c r="AC362" s="307">
        <v>361.0</v>
      </c>
      <c r="AD362" s="79"/>
      <c r="AF362" s="307">
        <v>361.0</v>
      </c>
      <c r="AH362" s="687" t="s">
        <v>2399</v>
      </c>
      <c r="AI362" s="307">
        <v>361.0</v>
      </c>
      <c r="AK362" s="687" t="s">
        <v>1122</v>
      </c>
      <c r="AL362" s="307">
        <v>361.0</v>
      </c>
      <c r="AN362" s="687" t="s">
        <v>2463</v>
      </c>
      <c r="AO362" s="307">
        <v>361.0</v>
      </c>
      <c r="AQ362" s="687" t="s">
        <v>1102</v>
      </c>
      <c r="AR362" s="307">
        <v>361.0</v>
      </c>
      <c r="AU362" s="307">
        <v>361.0</v>
      </c>
      <c r="AW362" s="687" t="s">
        <v>2397</v>
      </c>
      <c r="AX362" s="307">
        <v>361.0</v>
      </c>
      <c r="AZ362" s="687" t="s">
        <v>920</v>
      </c>
      <c r="BA362" s="307">
        <v>361.0</v>
      </c>
      <c r="BC362" s="691" t="s">
        <v>2758</v>
      </c>
      <c r="BD362" s="307">
        <v>361.0</v>
      </c>
      <c r="BF362" s="687" t="s">
        <v>2763</v>
      </c>
      <c r="BG362" s="145">
        <v>361.0</v>
      </c>
      <c r="BI362" s="688" t="s">
        <v>2463</v>
      </c>
      <c r="BJ362" s="145">
        <v>361.0</v>
      </c>
      <c r="BL362" s="692" t="s">
        <v>829</v>
      </c>
      <c r="BM362" s="216">
        <v>361.0</v>
      </c>
    </row>
    <row r="363">
      <c r="A363" s="41" t="s">
        <v>1079</v>
      </c>
      <c r="B363" s="307">
        <v>362.0</v>
      </c>
      <c r="C363" s="41"/>
      <c r="D363" s="41" t="s">
        <v>2752</v>
      </c>
      <c r="E363" s="307">
        <v>362.0</v>
      </c>
      <c r="F363" s="41"/>
      <c r="G363" s="41" t="s">
        <v>928</v>
      </c>
      <c r="H363" s="307">
        <v>362.0</v>
      </c>
      <c r="I363" s="41"/>
      <c r="J363" s="41" t="s">
        <v>2446</v>
      </c>
      <c r="K363" s="307">
        <v>362.0</v>
      </c>
      <c r="L363" s="41"/>
      <c r="M363" s="41" t="s">
        <v>2690</v>
      </c>
      <c r="N363" s="307">
        <v>362.0</v>
      </c>
      <c r="O363" s="41"/>
      <c r="P363" s="41" t="s">
        <v>2634</v>
      </c>
      <c r="Q363" s="307">
        <v>362.0</v>
      </c>
      <c r="R363" s="41"/>
      <c r="S363" s="41" t="s">
        <v>2756</v>
      </c>
      <c r="T363" s="307">
        <v>362.0</v>
      </c>
      <c r="U363" s="41"/>
      <c r="V363" s="41"/>
      <c r="W363" s="307">
        <v>362.0</v>
      </c>
      <c r="X363" s="41"/>
      <c r="Y363" s="698" t="s">
        <v>2444</v>
      </c>
      <c r="Z363" s="307">
        <v>362.0</v>
      </c>
      <c r="AA363" s="41"/>
      <c r="AB363" s="41" t="s">
        <v>2788</v>
      </c>
      <c r="AC363" s="307">
        <v>362.0</v>
      </c>
      <c r="AD363" s="79"/>
      <c r="AF363" s="307">
        <v>362.0</v>
      </c>
      <c r="AH363" s="687" t="s">
        <v>2741</v>
      </c>
      <c r="AI363" s="307">
        <v>362.0</v>
      </c>
      <c r="AK363" s="687" t="s">
        <v>920</v>
      </c>
      <c r="AL363" s="307">
        <v>362.0</v>
      </c>
      <c r="AN363" s="687" t="s">
        <v>2749</v>
      </c>
      <c r="AO363" s="307">
        <v>362.0</v>
      </c>
      <c r="AQ363" s="687" t="s">
        <v>2750</v>
      </c>
      <c r="AR363" s="307">
        <v>362.0</v>
      </c>
      <c r="AU363" s="307">
        <v>362.0</v>
      </c>
      <c r="AW363" s="687" t="s">
        <v>920</v>
      </c>
      <c r="AX363" s="307">
        <v>362.0</v>
      </c>
      <c r="AZ363" s="687" t="s">
        <v>2751</v>
      </c>
      <c r="BA363" s="307">
        <v>362.0</v>
      </c>
      <c r="BC363" s="713" t="s">
        <v>946</v>
      </c>
      <c r="BD363" s="307">
        <v>362.0</v>
      </c>
      <c r="BF363" s="687" t="s">
        <v>2765</v>
      </c>
      <c r="BG363" s="145">
        <v>362.0</v>
      </c>
      <c r="BI363" s="688" t="s">
        <v>2334</v>
      </c>
      <c r="BJ363" s="145">
        <v>362.0</v>
      </c>
      <c r="BL363" s="692" t="s">
        <v>2385</v>
      </c>
      <c r="BM363" s="216">
        <v>362.0</v>
      </c>
    </row>
    <row r="364">
      <c r="A364" s="41" t="s">
        <v>2773</v>
      </c>
      <c r="B364" s="307">
        <v>363.0</v>
      </c>
      <c r="C364" s="41"/>
      <c r="D364" s="41" t="s">
        <v>2451</v>
      </c>
      <c r="E364" s="307">
        <v>363.0</v>
      </c>
      <c r="F364" s="41"/>
      <c r="G364" s="41" t="s">
        <v>2319</v>
      </c>
      <c r="H364" s="307">
        <v>363.0</v>
      </c>
      <c r="I364" s="41"/>
      <c r="J364" s="41" t="s">
        <v>835</v>
      </c>
      <c r="K364" s="307">
        <v>363.0</v>
      </c>
      <c r="L364" s="41"/>
      <c r="M364" s="41" t="s">
        <v>2336</v>
      </c>
      <c r="N364" s="307">
        <v>363.0</v>
      </c>
      <c r="O364" s="41"/>
      <c r="P364" s="41" t="s">
        <v>1075</v>
      </c>
      <c r="Q364" s="307">
        <v>363.0</v>
      </c>
      <c r="R364" s="41"/>
      <c r="S364" s="41" t="s">
        <v>2742</v>
      </c>
      <c r="T364" s="307">
        <v>363.0</v>
      </c>
      <c r="U364" s="41"/>
      <c r="V364" s="41"/>
      <c r="W364" s="307">
        <v>363.0</v>
      </c>
      <c r="X364" s="41"/>
      <c r="Y364" s="698" t="s">
        <v>2391</v>
      </c>
      <c r="Z364" s="307">
        <v>363.0</v>
      </c>
      <c r="AA364" s="41"/>
      <c r="AB364" s="41" t="s">
        <v>2726</v>
      </c>
      <c r="AC364" s="307">
        <v>363.0</v>
      </c>
      <c r="AD364" s="79"/>
      <c r="AF364" s="307">
        <v>363.0</v>
      </c>
      <c r="AH364" s="687" t="s">
        <v>2789</v>
      </c>
      <c r="AI364" s="307">
        <v>363.0</v>
      </c>
      <c r="AK364" s="687" t="s">
        <v>2753</v>
      </c>
      <c r="AL364" s="307">
        <v>363.0</v>
      </c>
      <c r="AN364" s="687" t="s">
        <v>949</v>
      </c>
      <c r="AO364" s="307">
        <v>363.0</v>
      </c>
      <c r="AQ364" s="687" t="s">
        <v>2458</v>
      </c>
      <c r="AR364" s="307">
        <v>363.0</v>
      </c>
      <c r="AU364" s="307">
        <v>363.0</v>
      </c>
      <c r="AW364" s="687" t="s">
        <v>2751</v>
      </c>
      <c r="AX364" s="307">
        <v>363.0</v>
      </c>
      <c r="AZ364" s="687" t="s">
        <v>2726</v>
      </c>
      <c r="BA364" s="307">
        <v>363.0</v>
      </c>
      <c r="BC364" s="691" t="s">
        <v>2753</v>
      </c>
      <c r="BD364" s="307">
        <v>363.0</v>
      </c>
      <c r="BF364" s="687" t="s">
        <v>2772</v>
      </c>
      <c r="BG364" s="145">
        <v>363.0</v>
      </c>
      <c r="BI364" s="688" t="s">
        <v>2779</v>
      </c>
      <c r="BJ364" s="145">
        <v>363.0</v>
      </c>
      <c r="BL364" s="692" t="s">
        <v>2397</v>
      </c>
      <c r="BM364" s="216">
        <v>363.0</v>
      </c>
    </row>
    <row r="365">
      <c r="A365" s="41" t="s">
        <v>2448</v>
      </c>
      <c r="B365" s="307">
        <v>364.0</v>
      </c>
      <c r="C365" s="41"/>
      <c r="D365" s="41" t="s">
        <v>1136</v>
      </c>
      <c r="E365" s="307">
        <v>364.0</v>
      </c>
      <c r="F365" s="41"/>
      <c r="G365" s="41" t="s">
        <v>2452</v>
      </c>
      <c r="H365" s="307">
        <v>364.0</v>
      </c>
      <c r="I365" s="41"/>
      <c r="J365" s="41" t="s">
        <v>253</v>
      </c>
      <c r="K365" s="307">
        <v>364.0</v>
      </c>
      <c r="L365" s="41"/>
      <c r="M365" s="41" t="s">
        <v>919</v>
      </c>
      <c r="N365" s="307">
        <v>364.0</v>
      </c>
      <c r="O365" s="41"/>
      <c r="P365" s="41" t="s">
        <v>1238</v>
      </c>
      <c r="Q365" s="307">
        <v>364.0</v>
      </c>
      <c r="R365" s="41"/>
      <c r="S365" s="41" t="s">
        <v>2634</v>
      </c>
      <c r="T365" s="307">
        <v>364.0</v>
      </c>
      <c r="U365" s="41"/>
      <c r="V365" s="41"/>
      <c r="W365" s="307">
        <v>364.0</v>
      </c>
      <c r="X365" s="41"/>
      <c r="Y365" s="682" t="s">
        <v>2429</v>
      </c>
      <c r="Z365" s="307">
        <v>364.0</v>
      </c>
      <c r="AA365" s="41"/>
      <c r="AB365" s="41" t="s">
        <v>2689</v>
      </c>
      <c r="AC365" s="307">
        <v>364.0</v>
      </c>
      <c r="AD365" s="79"/>
      <c r="AF365" s="307">
        <v>364.0</v>
      </c>
      <c r="AH365" s="687" t="s">
        <v>2448</v>
      </c>
      <c r="AI365" s="307">
        <v>364.0</v>
      </c>
      <c r="AK365" s="687" t="s">
        <v>915</v>
      </c>
      <c r="AL365" s="307">
        <v>364.0</v>
      </c>
      <c r="AN365" s="687" t="s">
        <v>1102</v>
      </c>
      <c r="AO365" s="307">
        <v>364.0</v>
      </c>
      <c r="AQ365" s="687" t="s">
        <v>2280</v>
      </c>
      <c r="AR365" s="307">
        <v>364.0</v>
      </c>
      <c r="AU365" s="307">
        <v>364.0</v>
      </c>
      <c r="AW365" s="687" t="s">
        <v>2726</v>
      </c>
      <c r="AX365" s="307">
        <v>364.0</v>
      </c>
      <c r="AZ365" s="687" t="s">
        <v>2754</v>
      </c>
      <c r="BA365" s="307">
        <v>364.0</v>
      </c>
      <c r="BC365" s="691" t="s">
        <v>2761</v>
      </c>
      <c r="BD365" s="307">
        <v>364.0</v>
      </c>
      <c r="BF365" s="687" t="s">
        <v>2778</v>
      </c>
      <c r="BG365" s="145">
        <v>364.0</v>
      </c>
      <c r="BI365" s="688" t="s">
        <v>2782</v>
      </c>
      <c r="BJ365" s="145">
        <v>364.0</v>
      </c>
      <c r="BL365" s="692" t="s">
        <v>919</v>
      </c>
      <c r="BM365" s="216">
        <v>364.0</v>
      </c>
    </row>
    <row r="366">
      <c r="A366" s="41" t="s">
        <v>838</v>
      </c>
      <c r="B366" s="307">
        <v>365.0</v>
      </c>
      <c r="C366" s="41"/>
      <c r="D366" s="41" t="s">
        <v>2787</v>
      </c>
      <c r="E366" s="307">
        <v>365.0</v>
      </c>
      <c r="F366" s="41"/>
      <c r="G366" s="41" t="s">
        <v>2310</v>
      </c>
      <c r="H366" s="307">
        <v>365.0</v>
      </c>
      <c r="I366" s="41"/>
      <c r="J366" s="41" t="s">
        <v>2335</v>
      </c>
      <c r="K366" s="307">
        <v>365.0</v>
      </c>
      <c r="L366" s="41"/>
      <c r="M366" s="41" t="s">
        <v>2410</v>
      </c>
      <c r="N366" s="307">
        <v>365.0</v>
      </c>
      <c r="O366" s="41"/>
      <c r="P366" s="41" t="s">
        <v>2767</v>
      </c>
      <c r="Q366" s="307">
        <v>365.0</v>
      </c>
      <c r="R366" s="41"/>
      <c r="S366" s="41" t="s">
        <v>2777</v>
      </c>
      <c r="T366" s="307">
        <v>365.0</v>
      </c>
      <c r="U366" s="41"/>
      <c r="V366" s="41"/>
      <c r="W366" s="307">
        <v>365.0</v>
      </c>
      <c r="X366" s="41"/>
      <c r="Y366" s="698" t="s">
        <v>2399</v>
      </c>
      <c r="Z366" s="307">
        <v>365.0</v>
      </c>
      <c r="AA366" s="41"/>
      <c r="AB366" s="41" t="s">
        <v>2501</v>
      </c>
      <c r="AC366" s="307">
        <v>365.0</v>
      </c>
      <c r="AD366" s="79"/>
      <c r="AF366" s="307">
        <v>365.0</v>
      </c>
      <c r="AH366" s="687" t="s">
        <v>2787</v>
      </c>
      <c r="AI366" s="307">
        <v>365.0</v>
      </c>
      <c r="AK366" s="687" t="s">
        <v>1075</v>
      </c>
      <c r="AL366" s="307">
        <v>365.0</v>
      </c>
      <c r="AN366" s="687" t="s">
        <v>2750</v>
      </c>
      <c r="AO366" s="307">
        <v>365.0</v>
      </c>
      <c r="AQ366" s="687" t="s">
        <v>2482</v>
      </c>
      <c r="AR366" s="307">
        <v>365.0</v>
      </c>
      <c r="AU366" s="307">
        <v>365.0</v>
      </c>
      <c r="AW366" s="687" t="s">
        <v>2754</v>
      </c>
      <c r="AX366" s="307">
        <v>365.0</v>
      </c>
      <c r="AZ366" s="687" t="s">
        <v>2756</v>
      </c>
      <c r="BA366" s="307">
        <v>365.0</v>
      </c>
      <c r="BC366" s="691" t="s">
        <v>2634</v>
      </c>
      <c r="BD366" s="307">
        <v>365.0</v>
      </c>
      <c r="BF366" s="687" t="s">
        <v>2775</v>
      </c>
      <c r="BG366" s="145">
        <v>365.0</v>
      </c>
      <c r="BI366" s="688" t="s">
        <v>238</v>
      </c>
      <c r="BJ366" s="145">
        <v>365.0</v>
      </c>
      <c r="BL366" s="706" t="s">
        <v>2790</v>
      </c>
      <c r="BM366" s="216">
        <v>365.0</v>
      </c>
    </row>
    <row r="367">
      <c r="A367" s="41" t="s">
        <v>2722</v>
      </c>
      <c r="B367" s="307">
        <v>366.0</v>
      </c>
      <c r="C367" s="41"/>
      <c r="D367" s="41" t="s">
        <v>928</v>
      </c>
      <c r="E367" s="307">
        <v>366.0</v>
      </c>
      <c r="F367" s="41"/>
      <c r="G367" s="41" t="s">
        <v>215</v>
      </c>
      <c r="H367" s="307">
        <v>366.0</v>
      </c>
      <c r="I367" s="41"/>
      <c r="J367" s="41" t="s">
        <v>2745</v>
      </c>
      <c r="K367" s="307">
        <v>366.0</v>
      </c>
      <c r="L367" s="41"/>
      <c r="M367" s="41" t="s">
        <v>2445</v>
      </c>
      <c r="N367" s="307">
        <v>366.0</v>
      </c>
      <c r="O367" s="41"/>
      <c r="P367" s="41" t="s">
        <v>2780</v>
      </c>
      <c r="Q367" s="307">
        <v>366.0</v>
      </c>
      <c r="R367" s="41"/>
      <c r="S367" s="41" t="s">
        <v>1075</v>
      </c>
      <c r="T367" s="307">
        <v>366.0</v>
      </c>
      <c r="U367" s="41"/>
      <c r="V367" s="41"/>
      <c r="W367" s="307">
        <v>366.0</v>
      </c>
      <c r="X367" s="41"/>
      <c r="Y367" s="698" t="s">
        <v>2377</v>
      </c>
      <c r="Z367" s="307">
        <v>366.0</v>
      </c>
      <c r="AA367" s="41"/>
      <c r="AB367" s="41" t="s">
        <v>2445</v>
      </c>
      <c r="AC367" s="307">
        <v>366.0</v>
      </c>
      <c r="AD367" s="79"/>
      <c r="AF367" s="307">
        <v>366.0</v>
      </c>
      <c r="AH367" s="687" t="s">
        <v>2745</v>
      </c>
      <c r="AI367" s="307">
        <v>366.0</v>
      </c>
      <c r="AK367" s="687" t="s">
        <v>2479</v>
      </c>
      <c r="AL367" s="307">
        <v>366.0</v>
      </c>
      <c r="AN367" s="687" t="s">
        <v>2458</v>
      </c>
      <c r="AO367" s="307">
        <v>366.0</v>
      </c>
      <c r="AQ367" s="687" t="s">
        <v>2751</v>
      </c>
      <c r="AR367" s="307">
        <v>366.0</v>
      </c>
      <c r="AU367" s="307">
        <v>366.0</v>
      </c>
      <c r="AW367" s="687" t="s">
        <v>2756</v>
      </c>
      <c r="AX367" s="307">
        <v>366.0</v>
      </c>
      <c r="AZ367" s="687" t="s">
        <v>2764</v>
      </c>
      <c r="BA367" s="307">
        <v>366.0</v>
      </c>
      <c r="BC367" s="691" t="s">
        <v>2763</v>
      </c>
      <c r="BD367" s="307">
        <v>366.0</v>
      </c>
      <c r="BF367" s="687" t="s">
        <v>2776</v>
      </c>
      <c r="BG367" s="145">
        <v>366.0</v>
      </c>
      <c r="BI367" s="688" t="s">
        <v>2312</v>
      </c>
      <c r="BJ367" s="145">
        <v>366.0</v>
      </c>
      <c r="BL367" s="692" t="s">
        <v>2331</v>
      </c>
      <c r="BM367" s="216">
        <v>366.0</v>
      </c>
    </row>
    <row r="368">
      <c r="A368" s="41" t="s">
        <v>2449</v>
      </c>
      <c r="B368" s="307">
        <v>367.0</v>
      </c>
      <c r="C368" s="41"/>
      <c r="D368" s="41" t="s">
        <v>2452</v>
      </c>
      <c r="E368" s="307">
        <v>367.0</v>
      </c>
      <c r="F368" s="41"/>
      <c r="G368" s="41" t="s">
        <v>2706</v>
      </c>
      <c r="H368" s="307">
        <v>367.0</v>
      </c>
      <c r="I368" s="41"/>
      <c r="J368" s="41" t="s">
        <v>239</v>
      </c>
      <c r="K368" s="307">
        <v>367.0</v>
      </c>
      <c r="L368" s="41"/>
      <c r="M368" s="41" t="s">
        <v>2457</v>
      </c>
      <c r="N368" s="307">
        <v>367.0</v>
      </c>
      <c r="O368" s="41"/>
      <c r="P368" s="41" t="s">
        <v>2443</v>
      </c>
      <c r="Q368" s="307">
        <v>367.0</v>
      </c>
      <c r="R368" s="41"/>
      <c r="S368" s="41" t="s">
        <v>2726</v>
      </c>
      <c r="T368" s="307">
        <v>367.0</v>
      </c>
      <c r="U368" s="41"/>
      <c r="V368" s="41"/>
      <c r="W368" s="307">
        <v>367.0</v>
      </c>
      <c r="X368" s="41"/>
      <c r="Y368" s="682" t="s">
        <v>1140</v>
      </c>
      <c r="Z368" s="307">
        <v>367.0</v>
      </c>
      <c r="AA368" s="41"/>
      <c r="AB368" s="41" t="s">
        <v>2752</v>
      </c>
      <c r="AC368" s="307">
        <v>367.0</v>
      </c>
      <c r="AD368" s="79"/>
      <c r="AF368" s="307">
        <v>367.0</v>
      </c>
      <c r="AH368" s="687" t="s">
        <v>2791</v>
      </c>
      <c r="AI368" s="307">
        <v>367.0</v>
      </c>
      <c r="AK368" s="687" t="s">
        <v>2721</v>
      </c>
      <c r="AL368" s="307">
        <v>367.0</v>
      </c>
      <c r="AN368" s="687" t="s">
        <v>2280</v>
      </c>
      <c r="AO368" s="307">
        <v>367.0</v>
      </c>
      <c r="AQ368" s="687" t="s">
        <v>2735</v>
      </c>
      <c r="AR368" s="307">
        <v>367.0</v>
      </c>
      <c r="AU368" s="307">
        <v>367.0</v>
      </c>
      <c r="AW368" s="687" t="s">
        <v>2764</v>
      </c>
      <c r="AX368" s="307">
        <v>367.0</v>
      </c>
      <c r="AZ368" s="687" t="s">
        <v>2412</v>
      </c>
      <c r="BA368" s="307">
        <v>367.0</v>
      </c>
      <c r="BC368" s="691" t="s">
        <v>2765</v>
      </c>
      <c r="BD368" s="307">
        <v>367.0</v>
      </c>
      <c r="BF368" s="687" t="s">
        <v>2418</v>
      </c>
      <c r="BG368" s="145">
        <v>367.0</v>
      </c>
      <c r="BI368" s="688" t="s">
        <v>1254</v>
      </c>
      <c r="BJ368" s="145">
        <v>367.0</v>
      </c>
      <c r="BL368" s="692" t="s">
        <v>2445</v>
      </c>
      <c r="BM368" s="216">
        <v>367.0</v>
      </c>
    </row>
    <row r="369">
      <c r="A369" s="41" t="s">
        <v>2332</v>
      </c>
      <c r="B369" s="307">
        <v>368.0</v>
      </c>
      <c r="C369" s="41"/>
      <c r="D369" s="41" t="s">
        <v>2310</v>
      </c>
      <c r="E369" s="307">
        <v>368.0</v>
      </c>
      <c r="F369" s="41"/>
      <c r="G369" s="41" t="s">
        <v>2444</v>
      </c>
      <c r="H369" s="307">
        <v>368.0</v>
      </c>
      <c r="I369" s="41"/>
      <c r="J369" s="41" t="s">
        <v>2714</v>
      </c>
      <c r="K369" s="307">
        <v>368.0</v>
      </c>
      <c r="L369" s="41"/>
      <c r="M369" s="41" t="s">
        <v>2770</v>
      </c>
      <c r="N369" s="307">
        <v>368.0</v>
      </c>
      <c r="O369" s="41"/>
      <c r="P369" s="41" t="s">
        <v>264</v>
      </c>
      <c r="Q369" s="307">
        <v>368.0</v>
      </c>
      <c r="R369" s="41"/>
      <c r="S369" s="41" t="s">
        <v>1238</v>
      </c>
      <c r="T369" s="307">
        <v>368.0</v>
      </c>
      <c r="U369" s="41"/>
      <c r="V369" s="41"/>
      <c r="W369" s="307">
        <v>368.0</v>
      </c>
      <c r="X369" s="41"/>
      <c r="Y369" s="698" t="s">
        <v>2450</v>
      </c>
      <c r="Z369" s="307">
        <v>368.0</v>
      </c>
      <c r="AA369" s="41"/>
      <c r="AB369" s="41" t="s">
        <v>2512</v>
      </c>
      <c r="AC369" s="307">
        <v>368.0</v>
      </c>
      <c r="AD369" s="79"/>
      <c r="AF369" s="307">
        <v>368.0</v>
      </c>
      <c r="AH369" s="687" t="s">
        <v>2738</v>
      </c>
      <c r="AI369" s="307">
        <v>368.0</v>
      </c>
      <c r="AK369" s="687" t="s">
        <v>2697</v>
      </c>
      <c r="AL369" s="307">
        <v>368.0</v>
      </c>
      <c r="AN369" s="687" t="s">
        <v>2482</v>
      </c>
      <c r="AO369" s="307">
        <v>368.0</v>
      </c>
      <c r="AQ369" s="687" t="s">
        <v>2725</v>
      </c>
      <c r="AR369" s="307">
        <v>368.0</v>
      </c>
      <c r="AU369" s="307">
        <v>368.0</v>
      </c>
      <c r="AW369" s="687" t="s">
        <v>2792</v>
      </c>
      <c r="AX369" s="307">
        <v>368.0</v>
      </c>
      <c r="AZ369" s="687" t="s">
        <v>2792</v>
      </c>
      <c r="BA369" s="307">
        <v>368.0</v>
      </c>
      <c r="BC369" s="691" t="s">
        <v>2772</v>
      </c>
      <c r="BD369" s="307">
        <v>368.0</v>
      </c>
      <c r="BF369" s="687" t="s">
        <v>2793</v>
      </c>
      <c r="BG369" s="145">
        <v>368.0</v>
      </c>
      <c r="BI369" s="688" t="s">
        <v>829</v>
      </c>
      <c r="BJ369" s="145">
        <v>368.0</v>
      </c>
      <c r="BL369" s="692" t="s">
        <v>2473</v>
      </c>
      <c r="BM369" s="216">
        <v>368.0</v>
      </c>
    </row>
    <row r="370">
      <c r="A370" s="41" t="s">
        <v>2322</v>
      </c>
      <c r="B370" s="307">
        <v>369.0</v>
      </c>
      <c r="C370" s="41"/>
      <c r="D370" s="41" t="s">
        <v>215</v>
      </c>
      <c r="E370" s="307">
        <v>369.0</v>
      </c>
      <c r="F370" s="41"/>
      <c r="G370" s="41" t="s">
        <v>2454</v>
      </c>
      <c r="H370" s="307">
        <v>369.0</v>
      </c>
      <c r="I370" s="41"/>
      <c r="J370" s="41" t="s">
        <v>2736</v>
      </c>
      <c r="K370" s="307">
        <v>369.0</v>
      </c>
      <c r="L370" s="41"/>
      <c r="M370" s="41" t="s">
        <v>2756</v>
      </c>
      <c r="N370" s="307">
        <v>369.0</v>
      </c>
      <c r="O370" s="41"/>
      <c r="P370" s="41" t="s">
        <v>2783</v>
      </c>
      <c r="Q370" s="307">
        <v>369.0</v>
      </c>
      <c r="R370" s="41"/>
      <c r="S370" s="41" t="s">
        <v>2767</v>
      </c>
      <c r="T370" s="307">
        <v>369.0</v>
      </c>
      <c r="U370" s="41"/>
      <c r="V370" s="41"/>
      <c r="W370" s="307">
        <v>369.0</v>
      </c>
      <c r="X370" s="41"/>
      <c r="Y370" s="698" t="s">
        <v>1102</v>
      </c>
      <c r="Z370" s="307">
        <v>369.0</v>
      </c>
      <c r="AA370" s="41"/>
      <c r="AB370" s="41" t="s">
        <v>2794</v>
      </c>
      <c r="AC370" s="307">
        <v>369.0</v>
      </c>
      <c r="AD370" s="79"/>
      <c r="AF370" s="307">
        <v>369.0</v>
      </c>
      <c r="AH370" s="687" t="s">
        <v>2689</v>
      </c>
      <c r="AI370" s="307">
        <v>369.0</v>
      </c>
      <c r="AK370" s="687" t="s">
        <v>2792</v>
      </c>
      <c r="AL370" s="307">
        <v>369.0</v>
      </c>
      <c r="AN370" s="687" t="s">
        <v>2351</v>
      </c>
      <c r="AO370" s="307">
        <v>369.0</v>
      </c>
      <c r="AQ370" s="687" t="s">
        <v>2754</v>
      </c>
      <c r="AR370" s="307">
        <v>369.0</v>
      </c>
      <c r="AU370" s="307">
        <v>369.0</v>
      </c>
      <c r="AW370" s="687" t="s">
        <v>2676</v>
      </c>
      <c r="AX370" s="307">
        <v>369.0</v>
      </c>
      <c r="AZ370" s="687" t="s">
        <v>2771</v>
      </c>
      <c r="BA370" s="307">
        <v>369.0</v>
      </c>
      <c r="BC370" s="691" t="s">
        <v>2778</v>
      </c>
      <c r="BD370" s="307">
        <v>369.0</v>
      </c>
      <c r="BF370" s="687" t="s">
        <v>2786</v>
      </c>
      <c r="BG370" s="145">
        <v>369.0</v>
      </c>
      <c r="BI370" s="688" t="s">
        <v>2385</v>
      </c>
      <c r="BJ370" s="145">
        <v>369.0</v>
      </c>
      <c r="BL370" s="692" t="s">
        <v>2508</v>
      </c>
      <c r="BM370" s="216">
        <v>369.0</v>
      </c>
    </row>
    <row r="371">
      <c r="A371" s="41" t="s">
        <v>2450</v>
      </c>
      <c r="B371" s="307">
        <v>370.0</v>
      </c>
      <c r="C371" s="41"/>
      <c r="D371" s="41" t="s">
        <v>2523</v>
      </c>
      <c r="E371" s="307">
        <v>370.0</v>
      </c>
      <c r="F371" s="41"/>
      <c r="G371" s="41" t="s">
        <v>914</v>
      </c>
      <c r="H371" s="307">
        <v>370.0</v>
      </c>
      <c r="I371" s="41"/>
      <c r="J371" s="41" t="s">
        <v>2332</v>
      </c>
      <c r="K371" s="307">
        <v>370.0</v>
      </c>
      <c r="L371" s="41"/>
      <c r="M371" s="41" t="s">
        <v>2742</v>
      </c>
      <c r="N371" s="307">
        <v>370.0</v>
      </c>
      <c r="O371" s="41"/>
      <c r="P371" s="41" t="s">
        <v>2413</v>
      </c>
      <c r="Q371" s="307">
        <v>370.0</v>
      </c>
      <c r="R371" s="41"/>
      <c r="S371" s="41" t="s">
        <v>2780</v>
      </c>
      <c r="T371" s="307">
        <v>370.0</v>
      </c>
      <c r="U371" s="41"/>
      <c r="V371" s="41"/>
      <c r="W371" s="307">
        <v>370.0</v>
      </c>
      <c r="X371" s="41"/>
      <c r="Y371" s="698" t="s">
        <v>2788</v>
      </c>
      <c r="Z371" s="307">
        <v>370.0</v>
      </c>
      <c r="AA371" s="41"/>
      <c r="AB371" s="41" t="s">
        <v>2711</v>
      </c>
      <c r="AC371" s="307">
        <v>370.0</v>
      </c>
      <c r="AD371" s="79"/>
      <c r="AF371" s="307">
        <v>370.0</v>
      </c>
      <c r="AH371" s="687" t="s">
        <v>2709</v>
      </c>
      <c r="AI371" s="307">
        <v>370.0</v>
      </c>
      <c r="AK371" s="687" t="s">
        <v>2512</v>
      </c>
      <c r="AL371" s="307">
        <v>370.0</v>
      </c>
      <c r="AN371" s="687" t="s">
        <v>2751</v>
      </c>
      <c r="AO371" s="307">
        <v>370.0</v>
      </c>
      <c r="AQ371" s="687" t="s">
        <v>2764</v>
      </c>
      <c r="AR371" s="307">
        <v>370.0</v>
      </c>
      <c r="AU371" s="307">
        <v>370.0</v>
      </c>
      <c r="AW371" s="687" t="s">
        <v>2505</v>
      </c>
      <c r="AX371" s="307">
        <v>370.0</v>
      </c>
      <c r="AZ371" s="687" t="s">
        <v>2676</v>
      </c>
      <c r="BA371" s="307">
        <v>370.0</v>
      </c>
      <c r="BC371" s="691" t="s">
        <v>2775</v>
      </c>
      <c r="BD371" s="307">
        <v>370.0</v>
      </c>
      <c r="BF371" s="687" t="s">
        <v>2334</v>
      </c>
      <c r="BG371" s="145">
        <v>370.0</v>
      </c>
      <c r="BI371" s="688" t="s">
        <v>2397</v>
      </c>
      <c r="BJ371" s="145">
        <v>370.0</v>
      </c>
      <c r="BL371" s="692" t="s">
        <v>830</v>
      </c>
      <c r="BM371" s="216">
        <v>370.0</v>
      </c>
    </row>
    <row r="372">
      <c r="A372" s="41" t="s">
        <v>230</v>
      </c>
      <c r="B372" s="307">
        <v>371.0</v>
      </c>
      <c r="C372" s="41"/>
      <c r="D372" s="41" t="s">
        <v>2415</v>
      </c>
      <c r="E372" s="307">
        <v>371.0</v>
      </c>
      <c r="F372" s="41"/>
      <c r="G372" s="41" t="s">
        <v>922</v>
      </c>
      <c r="H372" s="307">
        <v>371.0</v>
      </c>
      <c r="I372" s="41"/>
      <c r="J372" s="41" t="s">
        <v>2689</v>
      </c>
      <c r="K372" s="307">
        <v>371.0</v>
      </c>
      <c r="L372" s="41"/>
      <c r="M372" s="41" t="s">
        <v>2678</v>
      </c>
      <c r="N372" s="307">
        <v>371.0</v>
      </c>
      <c r="O372" s="41"/>
      <c r="P372" s="41" t="s">
        <v>2789</v>
      </c>
      <c r="Q372" s="307">
        <v>371.0</v>
      </c>
      <c r="R372" s="41"/>
      <c r="S372" s="41" t="s">
        <v>264</v>
      </c>
      <c r="T372" s="307">
        <v>371.0</v>
      </c>
      <c r="U372" s="41"/>
      <c r="V372" s="41"/>
      <c r="W372" s="307">
        <v>371.0</v>
      </c>
      <c r="X372" s="41"/>
      <c r="Y372" s="682" t="s">
        <v>2726</v>
      </c>
      <c r="Z372" s="307">
        <v>371.0</v>
      </c>
      <c r="AA372" s="41"/>
      <c r="AB372" s="41" t="s">
        <v>2658</v>
      </c>
      <c r="AC372" s="307">
        <v>371.0</v>
      </c>
      <c r="AD372" s="79"/>
      <c r="AF372" s="307">
        <v>371.0</v>
      </c>
      <c r="AH372" s="687" t="s">
        <v>2488</v>
      </c>
      <c r="AI372" s="307">
        <v>371.0</v>
      </c>
      <c r="AK372" s="687" t="s">
        <v>2748</v>
      </c>
      <c r="AL372" s="307">
        <v>371.0</v>
      </c>
      <c r="AN372" s="687" t="s">
        <v>2707</v>
      </c>
      <c r="AO372" s="307">
        <v>371.0</v>
      </c>
      <c r="AQ372" s="687" t="s">
        <v>2792</v>
      </c>
      <c r="AR372" s="307">
        <v>371.0</v>
      </c>
      <c r="AU372" s="307">
        <v>371.0</v>
      </c>
      <c r="AW372" s="687" t="s">
        <v>2752</v>
      </c>
      <c r="AX372" s="307">
        <v>371.0</v>
      </c>
      <c r="AZ372" s="687" t="s">
        <v>2505</v>
      </c>
      <c r="BA372" s="307">
        <v>371.0</v>
      </c>
      <c r="BC372" s="691" t="s">
        <v>2776</v>
      </c>
      <c r="BD372" s="307">
        <v>371.0</v>
      </c>
      <c r="BF372" s="687" t="s">
        <v>2779</v>
      </c>
      <c r="BG372" s="145">
        <v>371.0</v>
      </c>
      <c r="BI372" s="688" t="s">
        <v>919</v>
      </c>
      <c r="BJ372" s="145">
        <v>371.0</v>
      </c>
      <c r="BL372" s="692" t="s">
        <v>2479</v>
      </c>
      <c r="BM372" s="216">
        <v>371.0</v>
      </c>
    </row>
    <row r="373">
      <c r="A373" s="41" t="s">
        <v>919</v>
      </c>
      <c r="B373" s="307">
        <v>372.0</v>
      </c>
      <c r="C373" s="41"/>
      <c r="D373" s="41" t="s">
        <v>2454</v>
      </c>
      <c r="E373" s="307">
        <v>372.0</v>
      </c>
      <c r="F373" s="41"/>
      <c r="G373" s="41" t="s">
        <v>2436</v>
      </c>
      <c r="H373" s="307">
        <v>372.0</v>
      </c>
      <c r="I373" s="41"/>
      <c r="J373" s="41" t="s">
        <v>2437</v>
      </c>
      <c r="K373" s="307">
        <v>372.0</v>
      </c>
      <c r="L373" s="41"/>
      <c r="M373" s="41" t="s">
        <v>2458</v>
      </c>
      <c r="N373" s="307">
        <v>372.0</v>
      </c>
      <c r="O373" s="41"/>
      <c r="P373" s="41" t="s">
        <v>2484</v>
      </c>
      <c r="Q373" s="307">
        <v>372.0</v>
      </c>
      <c r="R373" s="41"/>
      <c r="S373" s="41" t="s">
        <v>2783</v>
      </c>
      <c r="T373" s="307">
        <v>372.0</v>
      </c>
      <c r="U373" s="41"/>
      <c r="V373" s="41"/>
      <c r="W373" s="307">
        <v>372.0</v>
      </c>
      <c r="X373" s="41"/>
      <c r="Y373" s="682" t="s">
        <v>2689</v>
      </c>
      <c r="Z373" s="307">
        <v>372.0</v>
      </c>
      <c r="AA373" s="41"/>
      <c r="AB373" s="41" t="s">
        <v>2764</v>
      </c>
      <c r="AC373" s="307">
        <v>372.0</v>
      </c>
      <c r="AD373" s="79"/>
      <c r="AF373" s="307">
        <v>372.0</v>
      </c>
      <c r="AH373" s="687" t="s">
        <v>1122</v>
      </c>
      <c r="AI373" s="307">
        <v>372.0</v>
      </c>
      <c r="AK373" s="687" t="s">
        <v>2722</v>
      </c>
      <c r="AL373" s="307">
        <v>372.0</v>
      </c>
      <c r="AN373" s="687" t="s">
        <v>2735</v>
      </c>
      <c r="AO373" s="307">
        <v>372.0</v>
      </c>
      <c r="AQ373" s="687" t="s">
        <v>2676</v>
      </c>
      <c r="AR373" s="307">
        <v>372.0</v>
      </c>
      <c r="AU373" s="307">
        <v>372.0</v>
      </c>
      <c r="AW373" s="687" t="s">
        <v>2758</v>
      </c>
      <c r="AX373" s="307">
        <v>372.0</v>
      </c>
      <c r="AZ373" s="687" t="s">
        <v>2752</v>
      </c>
      <c r="BA373" s="307">
        <v>372.0</v>
      </c>
      <c r="BC373" s="691" t="s">
        <v>2793</v>
      </c>
      <c r="BD373" s="307">
        <v>372.0</v>
      </c>
      <c r="BF373" s="687" t="s">
        <v>2782</v>
      </c>
      <c r="BG373" s="145">
        <v>372.0</v>
      </c>
      <c r="BI373" s="708" t="s">
        <v>2790</v>
      </c>
      <c r="BJ373" s="145">
        <v>372.0</v>
      </c>
      <c r="BL373" s="692" t="s">
        <v>2795</v>
      </c>
      <c r="BM373" s="216">
        <v>372.0</v>
      </c>
    </row>
    <row r="374">
      <c r="A374" s="41" t="s">
        <v>2677</v>
      </c>
      <c r="B374" s="307">
        <v>373.0</v>
      </c>
      <c r="C374" s="41"/>
      <c r="D374" s="41" t="s">
        <v>2720</v>
      </c>
      <c r="E374" s="307">
        <v>373.0</v>
      </c>
      <c r="F374" s="41"/>
      <c r="G374" s="41" t="s">
        <v>2445</v>
      </c>
      <c r="H374" s="307">
        <v>373.0</v>
      </c>
      <c r="I374" s="41"/>
      <c r="J374" s="41" t="s">
        <v>2512</v>
      </c>
      <c r="K374" s="307">
        <v>373.0</v>
      </c>
      <c r="L374" s="41"/>
      <c r="M374" s="41" t="s">
        <v>1075</v>
      </c>
      <c r="N374" s="307">
        <v>373.0</v>
      </c>
      <c r="O374" s="41"/>
      <c r="P374" s="41" t="s">
        <v>2485</v>
      </c>
      <c r="Q374" s="307">
        <v>373.0</v>
      </c>
      <c r="R374" s="41"/>
      <c r="S374" s="41" t="s">
        <v>2413</v>
      </c>
      <c r="T374" s="307">
        <v>373.0</v>
      </c>
      <c r="U374" s="41"/>
      <c r="V374" s="41"/>
      <c r="W374" s="307">
        <v>373.0</v>
      </c>
      <c r="X374" s="41"/>
      <c r="Y374" s="682" t="s">
        <v>2501</v>
      </c>
      <c r="Z374" s="307">
        <v>373.0</v>
      </c>
      <c r="AA374" s="41"/>
      <c r="AB374" s="41" t="s">
        <v>2436</v>
      </c>
      <c r="AC374" s="307">
        <v>373.0</v>
      </c>
      <c r="AD374" s="79"/>
      <c r="AF374" s="307">
        <v>373.0</v>
      </c>
      <c r="AH374" s="687" t="s">
        <v>2796</v>
      </c>
      <c r="AI374" s="307">
        <v>373.0</v>
      </c>
      <c r="AK374" s="687" t="s">
        <v>2752</v>
      </c>
      <c r="AL374" s="307">
        <v>373.0</v>
      </c>
      <c r="AN374" s="687" t="s">
        <v>2725</v>
      </c>
      <c r="AO374" s="307">
        <v>373.0</v>
      </c>
      <c r="AQ374" s="687" t="s">
        <v>2505</v>
      </c>
      <c r="AR374" s="307">
        <v>373.0</v>
      </c>
      <c r="AU374" s="307">
        <v>373.0</v>
      </c>
      <c r="AW374" s="700" t="s">
        <v>946</v>
      </c>
      <c r="AX374" s="307">
        <v>373.0</v>
      </c>
      <c r="AZ374" s="687" t="s">
        <v>2758</v>
      </c>
      <c r="BA374" s="307">
        <v>373.0</v>
      </c>
      <c r="BC374" s="691" t="s">
        <v>2779</v>
      </c>
      <c r="BD374" s="307">
        <v>373.0</v>
      </c>
      <c r="BF374" s="687" t="s">
        <v>2312</v>
      </c>
      <c r="BG374" s="145">
        <v>373.0</v>
      </c>
      <c r="BI374" s="688" t="s">
        <v>2445</v>
      </c>
      <c r="BJ374" s="145">
        <v>373.0</v>
      </c>
      <c r="BL374" s="692" t="s">
        <v>2748</v>
      </c>
      <c r="BM374" s="216">
        <v>373.0</v>
      </c>
    </row>
    <row r="375">
      <c r="A375" s="41" t="s">
        <v>2752</v>
      </c>
      <c r="B375" s="307">
        <v>374.0</v>
      </c>
      <c r="C375" s="41"/>
      <c r="D375" s="41" t="s">
        <v>1048</v>
      </c>
      <c r="E375" s="307">
        <v>374.0</v>
      </c>
      <c r="F375" s="41"/>
      <c r="G375" s="41" t="s">
        <v>2703</v>
      </c>
      <c r="H375" s="307">
        <v>374.0</v>
      </c>
      <c r="I375" s="41"/>
      <c r="J375" s="41" t="s">
        <v>2402</v>
      </c>
      <c r="K375" s="307">
        <v>374.0</v>
      </c>
      <c r="L375" s="41"/>
      <c r="M375" s="41" t="s">
        <v>1238</v>
      </c>
      <c r="N375" s="307">
        <v>374.0</v>
      </c>
      <c r="O375" s="41"/>
      <c r="P375" s="41" t="s">
        <v>2724</v>
      </c>
      <c r="Q375" s="307">
        <v>374.0</v>
      </c>
      <c r="R375" s="41"/>
      <c r="S375" s="41" t="s">
        <v>2484</v>
      </c>
      <c r="T375" s="307">
        <v>374.0</v>
      </c>
      <c r="U375" s="41"/>
      <c r="V375" s="41"/>
      <c r="W375" s="307">
        <v>374.0</v>
      </c>
      <c r="X375" s="41"/>
      <c r="Y375" s="682" t="s">
        <v>2445</v>
      </c>
      <c r="Z375" s="307">
        <v>374.0</v>
      </c>
      <c r="AA375" s="41"/>
      <c r="AB375" s="41" t="s">
        <v>915</v>
      </c>
      <c r="AC375" s="307">
        <v>374.0</v>
      </c>
      <c r="AD375" s="79"/>
      <c r="AF375" s="307">
        <v>374.0</v>
      </c>
      <c r="AH375" s="687" t="s">
        <v>920</v>
      </c>
      <c r="AI375" s="307">
        <v>374.0</v>
      </c>
      <c r="AK375" s="687" t="s">
        <v>2747</v>
      </c>
      <c r="AL375" s="307">
        <v>374.0</v>
      </c>
      <c r="AN375" s="687" t="s">
        <v>2754</v>
      </c>
      <c r="AO375" s="307">
        <v>374.0</v>
      </c>
      <c r="AQ375" s="687" t="s">
        <v>2758</v>
      </c>
      <c r="AR375" s="307">
        <v>374.0</v>
      </c>
      <c r="AU375" s="307">
        <v>374.0</v>
      </c>
      <c r="AW375" s="687" t="s">
        <v>2761</v>
      </c>
      <c r="AX375" s="307">
        <v>374.0</v>
      </c>
      <c r="AZ375" s="700" t="s">
        <v>946</v>
      </c>
      <c r="BA375" s="307">
        <v>374.0</v>
      </c>
      <c r="BC375" s="691" t="s">
        <v>2797</v>
      </c>
      <c r="BD375" s="307">
        <v>374.0</v>
      </c>
      <c r="BF375" s="687" t="s">
        <v>1254</v>
      </c>
      <c r="BG375" s="145">
        <v>374.0</v>
      </c>
      <c r="BI375" s="688" t="s">
        <v>2473</v>
      </c>
      <c r="BJ375" s="145">
        <v>374.0</v>
      </c>
      <c r="BL375" s="692" t="s">
        <v>2503</v>
      </c>
      <c r="BM375" s="216">
        <v>374.0</v>
      </c>
    </row>
    <row r="376">
      <c r="A376" s="41" t="s">
        <v>2451</v>
      </c>
      <c r="B376" s="307">
        <v>375.0</v>
      </c>
      <c r="C376" s="41"/>
      <c r="D376" s="41" t="s">
        <v>2456</v>
      </c>
      <c r="E376" s="307">
        <v>375.0</v>
      </c>
      <c r="F376" s="41"/>
      <c r="G376" s="41" t="s">
        <v>2450</v>
      </c>
      <c r="H376" s="307">
        <v>375.0</v>
      </c>
      <c r="I376" s="41"/>
      <c r="J376" s="41" t="s">
        <v>2406</v>
      </c>
      <c r="K376" s="307">
        <v>375.0</v>
      </c>
      <c r="L376" s="41"/>
      <c r="M376" s="41" t="s">
        <v>827</v>
      </c>
      <c r="N376" s="307">
        <v>375.0</v>
      </c>
      <c r="O376" s="41"/>
      <c r="P376" s="41" t="s">
        <v>2444</v>
      </c>
      <c r="Q376" s="307">
        <v>375.0</v>
      </c>
      <c r="R376" s="41"/>
      <c r="S376" s="41" t="s">
        <v>2724</v>
      </c>
      <c r="T376" s="307">
        <v>375.0</v>
      </c>
      <c r="U376" s="41"/>
      <c r="V376" s="41"/>
      <c r="W376" s="307">
        <v>375.0</v>
      </c>
      <c r="X376" s="41"/>
      <c r="Y376" s="682" t="s">
        <v>2512</v>
      </c>
      <c r="Z376" s="307">
        <v>375.0</v>
      </c>
      <c r="AA376" s="41"/>
      <c r="AB376" s="41" t="s">
        <v>2787</v>
      </c>
      <c r="AC376" s="307">
        <v>375.0</v>
      </c>
      <c r="AD376" s="79"/>
      <c r="AF376" s="307">
        <v>375.0</v>
      </c>
      <c r="AH376" s="687" t="s">
        <v>2753</v>
      </c>
      <c r="AI376" s="307">
        <v>375.0</v>
      </c>
      <c r="AK376" s="687" t="s">
        <v>2436</v>
      </c>
      <c r="AL376" s="307">
        <v>375.0</v>
      </c>
      <c r="AN376" s="687" t="s">
        <v>2764</v>
      </c>
      <c r="AO376" s="307">
        <v>375.0</v>
      </c>
      <c r="AQ376" s="700" t="s">
        <v>946</v>
      </c>
      <c r="AR376" s="307">
        <v>375.0</v>
      </c>
      <c r="AU376" s="307">
        <v>375.0</v>
      </c>
      <c r="AW376" s="687" t="s">
        <v>2763</v>
      </c>
      <c r="AX376" s="307">
        <v>375.0</v>
      </c>
      <c r="AZ376" s="687" t="s">
        <v>2753</v>
      </c>
      <c r="BA376" s="307">
        <v>375.0</v>
      </c>
      <c r="BC376" s="691" t="s">
        <v>2312</v>
      </c>
      <c r="BD376" s="307">
        <v>375.0</v>
      </c>
      <c r="BF376" s="687" t="s">
        <v>829</v>
      </c>
      <c r="BG376" s="145">
        <v>375.0</v>
      </c>
      <c r="BI376" s="688" t="s">
        <v>2508</v>
      </c>
      <c r="BJ376" s="145">
        <v>375.0</v>
      </c>
      <c r="BL376" s="692" t="s">
        <v>2523</v>
      </c>
      <c r="BM376" s="216">
        <v>375.0</v>
      </c>
    </row>
    <row r="377">
      <c r="A377" s="41" t="s">
        <v>1136</v>
      </c>
      <c r="B377" s="307">
        <v>376.0</v>
      </c>
      <c r="C377" s="41"/>
      <c r="D377" s="41" t="s">
        <v>2457</v>
      </c>
      <c r="E377" s="307">
        <v>376.0</v>
      </c>
      <c r="F377" s="41"/>
      <c r="G377" s="41" t="s">
        <v>2720</v>
      </c>
      <c r="H377" s="307">
        <v>376.0</v>
      </c>
      <c r="I377" s="41"/>
      <c r="J377" s="41" t="s">
        <v>2720</v>
      </c>
      <c r="K377" s="307">
        <v>376.0</v>
      </c>
      <c r="L377" s="41"/>
      <c r="M377" s="41" t="s">
        <v>2767</v>
      </c>
      <c r="N377" s="307">
        <v>376.0</v>
      </c>
      <c r="O377" s="41"/>
      <c r="P377" s="41" t="s">
        <v>2399</v>
      </c>
      <c r="Q377" s="307">
        <v>376.0</v>
      </c>
      <c r="R377" s="41"/>
      <c r="S377" s="41" t="s">
        <v>2444</v>
      </c>
      <c r="T377" s="307">
        <v>376.0</v>
      </c>
      <c r="U377" s="41"/>
      <c r="V377" s="41"/>
      <c r="W377" s="307">
        <v>376.0</v>
      </c>
      <c r="X377" s="41"/>
      <c r="Y377" s="698" t="s">
        <v>2798</v>
      </c>
      <c r="Z377" s="307">
        <v>376.0</v>
      </c>
      <c r="AA377" s="41"/>
      <c r="AB377" s="41" t="s">
        <v>2503</v>
      </c>
      <c r="AC377" s="307">
        <v>376.0</v>
      </c>
      <c r="AD377" s="79"/>
      <c r="AF377" s="307">
        <v>376.0</v>
      </c>
      <c r="AH377" s="687" t="s">
        <v>80</v>
      </c>
      <c r="AI377" s="307">
        <v>376.0</v>
      </c>
      <c r="AK377" s="687" t="s">
        <v>2326</v>
      </c>
      <c r="AL377" s="307">
        <v>376.0</v>
      </c>
      <c r="AN377" s="687" t="s">
        <v>2792</v>
      </c>
      <c r="AO377" s="307">
        <v>376.0</v>
      </c>
      <c r="AQ377" s="687" t="s">
        <v>2779</v>
      </c>
      <c r="AR377" s="307">
        <v>376.0</v>
      </c>
      <c r="AU377" s="307">
        <v>376.0</v>
      </c>
      <c r="AW377" s="687" t="s">
        <v>2765</v>
      </c>
      <c r="AX377" s="307">
        <v>376.0</v>
      </c>
      <c r="AZ377" s="687" t="s">
        <v>2761</v>
      </c>
      <c r="BA377" s="307">
        <v>376.0</v>
      </c>
      <c r="BC377" s="691" t="s">
        <v>1254</v>
      </c>
      <c r="BD377" s="307">
        <v>376.0</v>
      </c>
      <c r="BF377" s="687" t="s">
        <v>2385</v>
      </c>
      <c r="BG377" s="145">
        <v>376.0</v>
      </c>
      <c r="BI377" s="688" t="s">
        <v>830</v>
      </c>
      <c r="BJ377" s="145">
        <v>376.0</v>
      </c>
      <c r="BL377" s="692" t="s">
        <v>267</v>
      </c>
      <c r="BM377" s="216">
        <v>376.0</v>
      </c>
    </row>
    <row r="378">
      <c r="A378" s="41" t="s">
        <v>2787</v>
      </c>
      <c r="B378" s="307">
        <v>377.0</v>
      </c>
      <c r="C378" s="41"/>
      <c r="D378" s="41" t="s">
        <v>1075</v>
      </c>
      <c r="E378" s="307">
        <v>377.0</v>
      </c>
      <c r="F378" s="41"/>
      <c r="G378" s="41" t="s">
        <v>1048</v>
      </c>
      <c r="H378" s="307">
        <v>377.0</v>
      </c>
      <c r="I378" s="41"/>
      <c r="J378" s="41" t="s">
        <v>2492</v>
      </c>
      <c r="K378" s="307">
        <v>377.0</v>
      </c>
      <c r="L378" s="41"/>
      <c r="M378" s="41" t="s">
        <v>2780</v>
      </c>
      <c r="N378" s="307">
        <v>377.0</v>
      </c>
      <c r="O378" s="41"/>
      <c r="P378" s="41" t="s">
        <v>1140</v>
      </c>
      <c r="Q378" s="307">
        <v>377.0</v>
      </c>
      <c r="R378" s="41"/>
      <c r="S378" s="41" t="s">
        <v>2399</v>
      </c>
      <c r="T378" s="307">
        <v>377.0</v>
      </c>
      <c r="U378" s="41"/>
      <c r="V378" s="41"/>
      <c r="W378" s="307">
        <v>377.0</v>
      </c>
      <c r="X378" s="41"/>
      <c r="Y378" s="698" t="s">
        <v>945</v>
      </c>
      <c r="Z378" s="307">
        <v>377.0</v>
      </c>
      <c r="AA378" s="41"/>
      <c r="AB378" s="41" t="s">
        <v>2463</v>
      </c>
      <c r="AC378" s="307">
        <v>377.0</v>
      </c>
      <c r="AD378" s="79"/>
      <c r="AE378" s="705"/>
      <c r="AF378" s="705">
        <v>377.0</v>
      </c>
      <c r="AG378" s="705"/>
      <c r="AH378" s="706" t="s">
        <v>915</v>
      </c>
      <c r="AI378" s="705">
        <v>377.0</v>
      </c>
      <c r="AJ378" s="705"/>
      <c r="AK378" s="706" t="s">
        <v>2730</v>
      </c>
      <c r="AL378" s="705">
        <v>377.0</v>
      </c>
      <c r="AM378" s="705"/>
      <c r="AN378" s="706" t="s">
        <v>2676</v>
      </c>
      <c r="AO378" s="705">
        <v>377.0</v>
      </c>
      <c r="AP378" s="705"/>
      <c r="AQ378" s="706" t="s">
        <v>2761</v>
      </c>
      <c r="AR378" s="705">
        <v>377.0</v>
      </c>
      <c r="AS378" s="705"/>
      <c r="AT378" s="705"/>
      <c r="AU378" s="705">
        <v>377.0</v>
      </c>
      <c r="AV378" s="705"/>
      <c r="AW378" s="706" t="s">
        <v>2772</v>
      </c>
      <c r="AX378" s="705">
        <v>377.0</v>
      </c>
      <c r="AY378" s="705"/>
      <c r="AZ378" s="706" t="s">
        <v>2763</v>
      </c>
      <c r="BA378" s="705">
        <v>377.0</v>
      </c>
      <c r="BB378" s="705"/>
      <c r="BC378" s="707" t="s">
        <v>829</v>
      </c>
      <c r="BD378" s="705">
        <v>377.0</v>
      </c>
      <c r="BE378" s="705"/>
      <c r="BF378" s="706" t="s">
        <v>2790</v>
      </c>
      <c r="BG378" s="145">
        <v>377.0</v>
      </c>
      <c r="BI378" s="688" t="s">
        <v>2479</v>
      </c>
      <c r="BJ378" s="145">
        <v>377.0</v>
      </c>
      <c r="BL378" s="692" t="s">
        <v>2713</v>
      </c>
      <c r="BM378" s="216">
        <v>377.0</v>
      </c>
    </row>
    <row r="379">
      <c r="A379" s="705" t="s">
        <v>2764</v>
      </c>
      <c r="B379" s="307">
        <v>378.0</v>
      </c>
      <c r="C379" s="705"/>
      <c r="D379" s="705" t="s">
        <v>2682</v>
      </c>
      <c r="E379" s="307">
        <v>378.0</v>
      </c>
      <c r="F379" s="41"/>
      <c r="G379" s="41" t="s">
        <v>2456</v>
      </c>
      <c r="H379" s="307">
        <v>378.0</v>
      </c>
      <c r="I379" s="41"/>
      <c r="J379" s="41" t="s">
        <v>2749</v>
      </c>
      <c r="K379" s="307">
        <v>378.0</v>
      </c>
      <c r="L379" s="41"/>
      <c r="M379" s="41" t="s">
        <v>2443</v>
      </c>
      <c r="N379" s="307">
        <v>378.0</v>
      </c>
      <c r="O379" s="41"/>
      <c r="P379" s="41" t="s">
        <v>2450</v>
      </c>
      <c r="Q379" s="307">
        <v>378.0</v>
      </c>
      <c r="R379" s="41"/>
      <c r="S379" s="41" t="s">
        <v>1140</v>
      </c>
      <c r="T379" s="307">
        <v>378.0</v>
      </c>
      <c r="U379" s="41"/>
      <c r="V379" s="41"/>
      <c r="W379" s="307">
        <v>378.0</v>
      </c>
      <c r="X379" s="41"/>
      <c r="Y379" s="698" t="s">
        <v>2764</v>
      </c>
      <c r="Z379" s="307">
        <v>378.0</v>
      </c>
      <c r="AA379" s="41"/>
      <c r="AB379" s="41" t="s">
        <v>2773</v>
      </c>
      <c r="AC379" s="307">
        <v>378.0</v>
      </c>
      <c r="AD379" s="79"/>
      <c r="AF379" s="307">
        <v>378.0</v>
      </c>
      <c r="AH379" s="687" t="s">
        <v>2658</v>
      </c>
      <c r="AI379" s="307">
        <v>378.0</v>
      </c>
      <c r="AK379" s="687" t="s">
        <v>2508</v>
      </c>
      <c r="AL379" s="307">
        <v>378.0</v>
      </c>
      <c r="AN379" s="687" t="s">
        <v>2505</v>
      </c>
      <c r="AO379" s="307">
        <v>378.0</v>
      </c>
      <c r="AQ379" s="687" t="s">
        <v>2512</v>
      </c>
      <c r="AR379" s="307">
        <v>378.0</v>
      </c>
      <c r="AU379" s="307">
        <v>378.0</v>
      </c>
      <c r="AW379" s="687" t="s">
        <v>2778</v>
      </c>
      <c r="AX379" s="307">
        <v>378.0</v>
      </c>
      <c r="AZ379" s="687" t="s">
        <v>2765</v>
      </c>
      <c r="BA379" s="307">
        <v>378.0</v>
      </c>
      <c r="BC379" s="691" t="s">
        <v>2385</v>
      </c>
      <c r="BD379" s="307">
        <v>378.0</v>
      </c>
      <c r="BF379" s="687" t="s">
        <v>2445</v>
      </c>
      <c r="BG379" s="145">
        <v>378.0</v>
      </c>
      <c r="BI379" s="688" t="s">
        <v>2795</v>
      </c>
      <c r="BJ379" s="145">
        <v>378.0</v>
      </c>
      <c r="BL379" s="695" t="s">
        <v>2700</v>
      </c>
      <c r="BM379" s="216">
        <v>378.0</v>
      </c>
    </row>
    <row r="380">
      <c r="A380" s="41" t="s">
        <v>928</v>
      </c>
      <c r="B380" s="307">
        <v>379.0</v>
      </c>
      <c r="C380" s="41"/>
      <c r="D380" s="41" t="s">
        <v>2458</v>
      </c>
      <c r="E380" s="307">
        <v>379.0</v>
      </c>
      <c r="F380" s="41"/>
      <c r="G380" s="41" t="s">
        <v>2403</v>
      </c>
      <c r="H380" s="307">
        <v>379.0</v>
      </c>
      <c r="I380" s="41"/>
      <c r="J380" s="41" t="s">
        <v>2719</v>
      </c>
      <c r="K380" s="307">
        <v>379.0</v>
      </c>
      <c r="L380" s="41"/>
      <c r="M380" s="41" t="s">
        <v>264</v>
      </c>
      <c r="N380" s="307">
        <v>379.0</v>
      </c>
      <c r="O380" s="41"/>
      <c r="P380" s="41" t="s">
        <v>1102</v>
      </c>
      <c r="Q380" s="307">
        <v>379.0</v>
      </c>
      <c r="R380" s="41"/>
      <c r="S380" s="41" t="s">
        <v>2450</v>
      </c>
      <c r="T380" s="307">
        <v>379.0</v>
      </c>
      <c r="U380" s="41"/>
      <c r="V380" s="41"/>
      <c r="W380" s="307">
        <v>379.0</v>
      </c>
      <c r="X380" s="41"/>
      <c r="Y380" s="698" t="s">
        <v>2436</v>
      </c>
      <c r="Z380" s="307">
        <v>379.0</v>
      </c>
      <c r="AA380" s="41"/>
      <c r="AB380" s="41" t="s">
        <v>2431</v>
      </c>
      <c r="AC380" s="307">
        <v>379.0</v>
      </c>
      <c r="AD380" s="79"/>
      <c r="AE380" s="705"/>
      <c r="AF380" s="307">
        <v>379.0</v>
      </c>
      <c r="AG380" s="705"/>
      <c r="AH380" s="706" t="s">
        <v>2799</v>
      </c>
      <c r="AI380" s="307">
        <v>379.0</v>
      </c>
      <c r="AJ380" s="705"/>
      <c r="AK380" s="706" t="s">
        <v>2742</v>
      </c>
      <c r="AL380" s="307">
        <v>379.0</v>
      </c>
      <c r="AM380" s="705"/>
      <c r="AN380" s="706" t="s">
        <v>2758</v>
      </c>
      <c r="AO380" s="307">
        <v>379.0</v>
      </c>
      <c r="AP380" s="705"/>
      <c r="AQ380" s="706" t="s">
        <v>2800</v>
      </c>
      <c r="AR380" s="307">
        <v>379.0</v>
      </c>
      <c r="AS380" s="705"/>
      <c r="AT380" s="705"/>
      <c r="AU380" s="307">
        <v>379.0</v>
      </c>
      <c r="AV380" s="705"/>
      <c r="AW380" s="706" t="s">
        <v>2775</v>
      </c>
      <c r="AX380" s="307">
        <v>379.0</v>
      </c>
      <c r="AY380" s="705"/>
      <c r="AZ380" s="706" t="s">
        <v>2772</v>
      </c>
      <c r="BA380" s="307">
        <v>379.0</v>
      </c>
      <c r="BB380" s="705"/>
      <c r="BC380" s="707" t="s">
        <v>2790</v>
      </c>
      <c r="BD380" s="307">
        <v>379.0</v>
      </c>
      <c r="BF380" s="687" t="s">
        <v>2473</v>
      </c>
      <c r="BG380" s="145">
        <v>379.0</v>
      </c>
      <c r="BI380" s="688" t="s">
        <v>2748</v>
      </c>
      <c r="BJ380" s="145">
        <v>379.0</v>
      </c>
      <c r="BL380" s="695" t="s">
        <v>2509</v>
      </c>
      <c r="BM380" s="216">
        <v>379.0</v>
      </c>
    </row>
    <row r="381">
      <c r="A381" s="41" t="s">
        <v>2452</v>
      </c>
      <c r="B381" s="307">
        <v>380.0</v>
      </c>
      <c r="C381" s="41"/>
      <c r="D381" s="41" t="s">
        <v>2717</v>
      </c>
      <c r="E381" s="307">
        <v>380.0</v>
      </c>
      <c r="F381" s="41"/>
      <c r="G381" s="41" t="s">
        <v>2458</v>
      </c>
      <c r="H381" s="307">
        <v>380.0</v>
      </c>
      <c r="I381" s="41"/>
      <c r="J381" s="41" t="s">
        <v>2523</v>
      </c>
      <c r="K381" s="307">
        <v>380.0</v>
      </c>
      <c r="L381" s="41"/>
      <c r="M381" s="41" t="s">
        <v>246</v>
      </c>
      <c r="N381" s="307">
        <v>380.0</v>
      </c>
      <c r="O381" s="41"/>
      <c r="P381" s="41" t="s">
        <v>2788</v>
      </c>
      <c r="Q381" s="307">
        <v>380.0</v>
      </c>
      <c r="R381" s="41"/>
      <c r="S381" s="41" t="s">
        <v>1102</v>
      </c>
      <c r="T381" s="307">
        <v>380.0</v>
      </c>
      <c r="U381" s="41"/>
      <c r="V381" s="41"/>
      <c r="W381" s="307">
        <v>380.0</v>
      </c>
      <c r="X381" s="41"/>
      <c r="Y381" s="682" t="s">
        <v>915</v>
      </c>
      <c r="Z381" s="307">
        <v>380.0</v>
      </c>
      <c r="AA381" s="41"/>
      <c r="AB381" s="41" t="s">
        <v>2479</v>
      </c>
      <c r="AC381" s="307">
        <v>380.0</v>
      </c>
      <c r="AD381" s="79"/>
      <c r="AF381" s="307">
        <v>380.0</v>
      </c>
      <c r="AH381" s="687" t="s">
        <v>2391</v>
      </c>
      <c r="AI381" s="307">
        <v>380.0</v>
      </c>
      <c r="AK381" s="687" t="s">
        <v>2755</v>
      </c>
      <c r="AL381" s="307">
        <v>380.0</v>
      </c>
      <c r="AN381" s="700" t="s">
        <v>946</v>
      </c>
      <c r="AO381" s="307">
        <v>380.0</v>
      </c>
      <c r="AQ381" s="687" t="s">
        <v>2763</v>
      </c>
      <c r="AR381" s="307">
        <v>380.0</v>
      </c>
      <c r="AU381" s="307">
        <v>380.0</v>
      </c>
      <c r="AW381" s="687" t="s">
        <v>2776</v>
      </c>
      <c r="AX381" s="307">
        <v>380.0</v>
      </c>
      <c r="AZ381" s="687" t="s">
        <v>2778</v>
      </c>
      <c r="BA381" s="307">
        <v>380.0</v>
      </c>
      <c r="BC381" s="691" t="s">
        <v>2473</v>
      </c>
      <c r="BD381" s="307">
        <v>380.0</v>
      </c>
      <c r="BF381" s="687" t="s">
        <v>830</v>
      </c>
      <c r="BG381" s="145">
        <v>380.0</v>
      </c>
      <c r="BI381" s="688" t="s">
        <v>2503</v>
      </c>
      <c r="BJ381" s="145">
        <v>380.0</v>
      </c>
      <c r="BL381" s="692" t="s">
        <v>2240</v>
      </c>
      <c r="BM381" s="216">
        <v>380.0</v>
      </c>
    </row>
    <row r="382">
      <c r="A382" s="41" t="s">
        <v>2453</v>
      </c>
      <c r="B382" s="307">
        <v>381.0</v>
      </c>
      <c r="C382" s="41"/>
      <c r="D382" s="41" t="s">
        <v>2801</v>
      </c>
      <c r="E382" s="307">
        <v>381.0</v>
      </c>
      <c r="F382" s="41"/>
      <c r="G382" s="41" t="s">
        <v>2717</v>
      </c>
      <c r="H382" s="307">
        <v>381.0</v>
      </c>
      <c r="I382" s="41"/>
      <c r="J382" s="41" t="s">
        <v>2489</v>
      </c>
      <c r="K382" s="307">
        <v>381.0</v>
      </c>
      <c r="L382" s="41"/>
      <c r="M382" s="41" t="s">
        <v>2413</v>
      </c>
      <c r="N382" s="307">
        <v>381.0</v>
      </c>
      <c r="O382" s="41"/>
      <c r="P382" s="41" t="s">
        <v>2326</v>
      </c>
      <c r="Q382" s="307">
        <v>381.0</v>
      </c>
      <c r="R382" s="41"/>
      <c r="S382" s="41" t="s">
        <v>2788</v>
      </c>
      <c r="T382" s="307">
        <v>381.0</v>
      </c>
      <c r="U382" s="41"/>
      <c r="V382" s="41"/>
      <c r="W382" s="307">
        <v>381.0</v>
      </c>
      <c r="X382" s="41"/>
      <c r="Y382" s="698" t="s">
        <v>2787</v>
      </c>
      <c r="Z382" s="307">
        <v>381.0</v>
      </c>
      <c r="AA382" s="41"/>
      <c r="AB382" s="41" t="s">
        <v>2709</v>
      </c>
      <c r="AC382" s="307">
        <v>381.0</v>
      </c>
      <c r="AD382" s="79"/>
      <c r="AF382" s="307">
        <v>381.0</v>
      </c>
      <c r="AH382" s="687" t="s">
        <v>1075</v>
      </c>
      <c r="AI382" s="307">
        <v>381.0</v>
      </c>
      <c r="AK382" s="687" t="s">
        <v>2337</v>
      </c>
      <c r="AL382" s="307">
        <v>381.0</v>
      </c>
      <c r="AN382" s="687" t="s">
        <v>1246</v>
      </c>
      <c r="AO382" s="307">
        <v>381.0</v>
      </c>
      <c r="AQ382" s="687" t="s">
        <v>2765</v>
      </c>
      <c r="AR382" s="307">
        <v>381.0</v>
      </c>
      <c r="AU382" s="307">
        <v>381.0</v>
      </c>
      <c r="AW382" s="687" t="s">
        <v>2793</v>
      </c>
      <c r="AX382" s="307">
        <v>381.0</v>
      </c>
      <c r="AZ382" s="687" t="s">
        <v>2775</v>
      </c>
      <c r="BA382" s="307">
        <v>381.0</v>
      </c>
      <c r="BC382" s="691" t="s">
        <v>830</v>
      </c>
      <c r="BD382" s="307">
        <v>381.0</v>
      </c>
      <c r="BF382" s="687" t="s">
        <v>2795</v>
      </c>
      <c r="BG382" s="145">
        <v>381.0</v>
      </c>
      <c r="BI382" s="688" t="s">
        <v>2713</v>
      </c>
      <c r="BJ382" s="145">
        <v>381.0</v>
      </c>
      <c r="BL382" s="692" t="s">
        <v>2413</v>
      </c>
      <c r="BM382" s="216">
        <v>381.0</v>
      </c>
    </row>
    <row r="383">
      <c r="A383" s="41" t="s">
        <v>2310</v>
      </c>
      <c r="B383" s="307">
        <v>382.0</v>
      </c>
      <c r="C383" s="41"/>
      <c r="D383" s="41" t="s">
        <v>1250</v>
      </c>
      <c r="E383" s="307">
        <v>382.0</v>
      </c>
      <c r="F383" s="41"/>
      <c r="G383" s="41" t="s">
        <v>2323</v>
      </c>
      <c r="H383" s="307">
        <v>382.0</v>
      </c>
      <c r="I383" s="41"/>
      <c r="J383" s="41" t="s">
        <v>910</v>
      </c>
      <c r="K383" s="307">
        <v>382.0</v>
      </c>
      <c r="L383" s="41"/>
      <c r="M383" s="41" t="s">
        <v>2789</v>
      </c>
      <c r="N383" s="307">
        <v>382.0</v>
      </c>
      <c r="O383" s="41"/>
      <c r="P383" s="41" t="s">
        <v>2802</v>
      </c>
      <c r="Q383" s="307">
        <v>382.0</v>
      </c>
      <c r="R383" s="41"/>
      <c r="S383" s="41" t="s">
        <v>2326</v>
      </c>
      <c r="T383" s="307">
        <v>382.0</v>
      </c>
      <c r="U383" s="41"/>
      <c r="V383" s="41"/>
      <c r="W383" s="307">
        <v>382.0</v>
      </c>
      <c r="X383" s="41"/>
      <c r="Y383" s="698" t="s">
        <v>2503</v>
      </c>
      <c r="Z383" s="307">
        <v>382.0</v>
      </c>
      <c r="AA383" s="41"/>
      <c r="AB383" s="41" t="s">
        <v>2785</v>
      </c>
      <c r="AC383" s="307">
        <v>382.0</v>
      </c>
      <c r="AD383" s="79"/>
      <c r="AF383" s="307">
        <v>382.0</v>
      </c>
      <c r="AH383" s="687" t="s">
        <v>2479</v>
      </c>
      <c r="AI383" s="307">
        <v>382.0</v>
      </c>
      <c r="AK383" s="687" t="s">
        <v>2456</v>
      </c>
      <c r="AL383" s="307">
        <v>382.0</v>
      </c>
      <c r="AN383" s="687" t="s">
        <v>2779</v>
      </c>
      <c r="AO383" s="307">
        <v>382.0</v>
      </c>
      <c r="AQ383" s="687" t="s">
        <v>2772</v>
      </c>
      <c r="AR383" s="307">
        <v>382.0</v>
      </c>
      <c r="AU383" s="307">
        <v>382.0</v>
      </c>
      <c r="AW383" s="687" t="s">
        <v>2779</v>
      </c>
      <c r="AX383" s="307">
        <v>382.0</v>
      </c>
      <c r="AZ383" s="687" t="s">
        <v>2776</v>
      </c>
      <c r="BA383" s="307">
        <v>382.0</v>
      </c>
      <c r="BC383" s="691" t="s">
        <v>2795</v>
      </c>
      <c r="BD383" s="307">
        <v>382.0</v>
      </c>
      <c r="BF383" s="687" t="s">
        <v>2503</v>
      </c>
      <c r="BG383" s="145">
        <v>382.0</v>
      </c>
      <c r="BI383" s="688" t="s">
        <v>2331</v>
      </c>
      <c r="BJ383" s="145">
        <v>382.0</v>
      </c>
      <c r="BL383" s="692" t="s">
        <v>2803</v>
      </c>
      <c r="BM383" s="216">
        <v>382.0</v>
      </c>
    </row>
    <row r="384">
      <c r="A384" s="41" t="s">
        <v>215</v>
      </c>
      <c r="B384" s="307">
        <v>383.0</v>
      </c>
      <c r="C384" s="41"/>
      <c r="D384" s="41" t="s">
        <v>939</v>
      </c>
      <c r="E384" s="307">
        <v>383.0</v>
      </c>
      <c r="F384" s="41"/>
      <c r="G384" s="41" t="s">
        <v>2801</v>
      </c>
      <c r="H384" s="307">
        <v>383.0</v>
      </c>
      <c r="I384" s="41"/>
      <c r="J384" s="41" t="s">
        <v>2450</v>
      </c>
      <c r="K384" s="307">
        <v>383.0</v>
      </c>
      <c r="L384" s="41"/>
      <c r="M384" s="41" t="s">
        <v>2484</v>
      </c>
      <c r="N384" s="307">
        <v>383.0</v>
      </c>
      <c r="O384" s="41"/>
      <c r="P384" s="41" t="s">
        <v>2689</v>
      </c>
      <c r="Q384" s="307">
        <v>383.0</v>
      </c>
      <c r="R384" s="41"/>
      <c r="S384" s="41" t="s">
        <v>2802</v>
      </c>
      <c r="T384" s="307">
        <v>383.0</v>
      </c>
      <c r="U384" s="41"/>
      <c r="V384" s="41"/>
      <c r="W384" s="307">
        <v>383.0</v>
      </c>
      <c r="X384" s="41"/>
      <c r="Y384" s="682" t="s">
        <v>2463</v>
      </c>
      <c r="Z384" s="307">
        <v>383.0</v>
      </c>
      <c r="AA384" s="41"/>
      <c r="AB384" s="41" t="s">
        <v>2761</v>
      </c>
      <c r="AC384" s="307">
        <v>383.0</v>
      </c>
      <c r="AD384" s="79"/>
      <c r="AF384" s="307">
        <v>383.0</v>
      </c>
      <c r="AH384" s="687" t="s">
        <v>2804</v>
      </c>
      <c r="AI384" s="307">
        <v>383.0</v>
      </c>
      <c r="AK384" s="687" t="s">
        <v>2746</v>
      </c>
      <c r="AL384" s="307">
        <v>383.0</v>
      </c>
      <c r="AN384" s="687" t="s">
        <v>2761</v>
      </c>
      <c r="AO384" s="307">
        <v>383.0</v>
      </c>
      <c r="AQ384" s="687" t="s">
        <v>2778</v>
      </c>
      <c r="AR384" s="307">
        <v>383.0</v>
      </c>
      <c r="AU384" s="307">
        <v>383.0</v>
      </c>
      <c r="AW384" s="687" t="s">
        <v>2797</v>
      </c>
      <c r="AX384" s="307">
        <v>383.0</v>
      </c>
      <c r="AZ384" s="687" t="s">
        <v>2793</v>
      </c>
      <c r="BA384" s="307">
        <v>383.0</v>
      </c>
      <c r="BC384" s="691" t="s">
        <v>2503</v>
      </c>
      <c r="BD384" s="307">
        <v>383.0</v>
      </c>
      <c r="BF384" s="687" t="s">
        <v>2805</v>
      </c>
      <c r="BG384" s="145">
        <v>383.0</v>
      </c>
      <c r="BI384" s="696" t="s">
        <v>2700</v>
      </c>
      <c r="BJ384" s="145">
        <v>383.0</v>
      </c>
      <c r="BL384" s="692" t="s">
        <v>2777</v>
      </c>
      <c r="BM384" s="216">
        <v>383.0</v>
      </c>
    </row>
    <row r="385">
      <c r="A385" s="41" t="s">
        <v>2806</v>
      </c>
      <c r="B385" s="307">
        <v>384.0</v>
      </c>
      <c r="C385" s="41"/>
      <c r="D385" s="41" t="s">
        <v>2764</v>
      </c>
      <c r="E385" s="307">
        <v>384.0</v>
      </c>
      <c r="F385" s="41"/>
      <c r="G385" s="41" t="s">
        <v>1250</v>
      </c>
      <c r="H385" s="307">
        <v>384.0</v>
      </c>
      <c r="I385" s="41"/>
      <c r="J385" s="41" t="s">
        <v>2391</v>
      </c>
      <c r="K385" s="307">
        <v>384.0</v>
      </c>
      <c r="L385" s="41"/>
      <c r="M385" s="41" t="s">
        <v>2485</v>
      </c>
      <c r="N385" s="307">
        <v>384.0</v>
      </c>
      <c r="O385" s="41"/>
      <c r="P385" s="41" t="s">
        <v>2501</v>
      </c>
      <c r="Q385" s="307">
        <v>384.0</v>
      </c>
      <c r="R385" s="41"/>
      <c r="S385" s="41" t="s">
        <v>2689</v>
      </c>
      <c r="T385" s="307">
        <v>384.0</v>
      </c>
      <c r="U385" s="41"/>
      <c r="V385" s="41"/>
      <c r="W385" s="307">
        <v>384.0</v>
      </c>
      <c r="X385" s="41"/>
      <c r="Y385" s="698" t="s">
        <v>2773</v>
      </c>
      <c r="Z385" s="307">
        <v>384.0</v>
      </c>
      <c r="AA385" s="41"/>
      <c r="AB385" s="41" t="s">
        <v>2672</v>
      </c>
      <c r="AC385" s="307">
        <v>384.0</v>
      </c>
      <c r="AD385" s="79"/>
      <c r="AF385" s="307">
        <v>384.0</v>
      </c>
      <c r="AH385" s="687" t="s">
        <v>2721</v>
      </c>
      <c r="AI385" s="307">
        <v>384.0</v>
      </c>
      <c r="AK385" s="687" t="s">
        <v>2743</v>
      </c>
      <c r="AL385" s="307">
        <v>384.0</v>
      </c>
      <c r="AN385" s="687" t="s">
        <v>2512</v>
      </c>
      <c r="AO385" s="307">
        <v>384.0</v>
      </c>
      <c r="AQ385" s="687" t="s">
        <v>2775</v>
      </c>
      <c r="AR385" s="307">
        <v>384.0</v>
      </c>
      <c r="AU385" s="307">
        <v>384.0</v>
      </c>
      <c r="AW385" s="687" t="s">
        <v>2312</v>
      </c>
      <c r="AX385" s="307">
        <v>384.0</v>
      </c>
      <c r="AZ385" s="687" t="s">
        <v>2779</v>
      </c>
      <c r="BA385" s="307">
        <v>384.0</v>
      </c>
      <c r="BC385" s="691" t="s">
        <v>2805</v>
      </c>
      <c r="BD385" s="307">
        <v>384.0</v>
      </c>
      <c r="BF385" s="687" t="s">
        <v>2713</v>
      </c>
      <c r="BG385" s="145">
        <v>384.0</v>
      </c>
      <c r="BI385" s="696" t="s">
        <v>2509</v>
      </c>
      <c r="BJ385" s="145">
        <v>384.0</v>
      </c>
      <c r="BL385" s="692" t="s">
        <v>2752</v>
      </c>
      <c r="BM385" s="216">
        <v>384.0</v>
      </c>
    </row>
    <row r="386">
      <c r="A386" s="41" t="s">
        <v>2454</v>
      </c>
      <c r="B386" s="307">
        <v>385.0</v>
      </c>
      <c r="C386" s="41"/>
      <c r="D386" s="41" t="s">
        <v>2460</v>
      </c>
      <c r="E386" s="307">
        <v>385.0</v>
      </c>
      <c r="F386" s="41"/>
      <c r="G386" s="41" t="s">
        <v>939</v>
      </c>
      <c r="H386" s="307">
        <v>385.0</v>
      </c>
      <c r="I386" s="41"/>
      <c r="J386" s="41" t="s">
        <v>1048</v>
      </c>
      <c r="K386" s="307">
        <v>385.0</v>
      </c>
      <c r="L386" s="41"/>
      <c r="M386" s="41" t="s">
        <v>2724</v>
      </c>
      <c r="N386" s="307">
        <v>385.0</v>
      </c>
      <c r="O386" s="41"/>
      <c r="P386" s="41" t="s">
        <v>2764</v>
      </c>
      <c r="Q386" s="307">
        <v>385.0</v>
      </c>
      <c r="R386" s="41"/>
      <c r="S386" s="41" t="s">
        <v>2501</v>
      </c>
      <c r="T386" s="307">
        <v>385.0</v>
      </c>
      <c r="U386" s="41"/>
      <c r="V386" s="41"/>
      <c r="W386" s="307">
        <v>385.0</v>
      </c>
      <c r="X386" s="41"/>
      <c r="Y386" s="682" t="s">
        <v>2431</v>
      </c>
      <c r="Z386" s="307">
        <v>385.0</v>
      </c>
      <c r="AA386" s="41"/>
      <c r="AB386" s="41" t="s">
        <v>2520</v>
      </c>
      <c r="AC386" s="307">
        <v>385.0</v>
      </c>
      <c r="AD386" s="79"/>
      <c r="AF386" s="307">
        <v>385.0</v>
      </c>
      <c r="AH386" s="687" t="s">
        <v>2807</v>
      </c>
      <c r="AI386" s="307">
        <v>385.0</v>
      </c>
      <c r="AK386" s="687" t="s">
        <v>2744</v>
      </c>
      <c r="AL386" s="307">
        <v>385.0</v>
      </c>
      <c r="AN386" s="687" t="s">
        <v>2800</v>
      </c>
      <c r="AO386" s="307">
        <v>385.0</v>
      </c>
      <c r="AQ386" s="687" t="s">
        <v>2776</v>
      </c>
      <c r="AR386" s="307">
        <v>385.0</v>
      </c>
      <c r="AU386" s="307">
        <v>385.0</v>
      </c>
      <c r="AW386" s="687" t="s">
        <v>1254</v>
      </c>
      <c r="AX386" s="307">
        <v>385.0</v>
      </c>
      <c r="AZ386" s="687" t="s">
        <v>2797</v>
      </c>
      <c r="BA386" s="307">
        <v>385.0</v>
      </c>
      <c r="BC386" s="691" t="s">
        <v>2713</v>
      </c>
      <c r="BD386" s="307">
        <v>385.0</v>
      </c>
      <c r="BF386" s="687" t="s">
        <v>2331</v>
      </c>
      <c r="BG386" s="145">
        <v>385.0</v>
      </c>
      <c r="BI386" s="688" t="s">
        <v>2240</v>
      </c>
      <c r="BJ386" s="145">
        <v>385.0</v>
      </c>
      <c r="BL386" s="692" t="s">
        <v>2759</v>
      </c>
      <c r="BM386" s="216">
        <v>385.0</v>
      </c>
    </row>
    <row r="387">
      <c r="A387" s="41" t="s">
        <v>2720</v>
      </c>
      <c r="B387" s="307">
        <v>386.0</v>
      </c>
      <c r="C387" s="41"/>
      <c r="D387" s="41" t="s">
        <v>2461</v>
      </c>
      <c r="E387" s="307">
        <v>386.0</v>
      </c>
      <c r="F387" s="41"/>
      <c r="G387" s="41" t="s">
        <v>2764</v>
      </c>
      <c r="H387" s="307">
        <v>386.0</v>
      </c>
      <c r="I387" s="41"/>
      <c r="J387" s="41" t="s">
        <v>2752</v>
      </c>
      <c r="K387" s="307">
        <v>386.0</v>
      </c>
      <c r="L387" s="41"/>
      <c r="M387" s="41" t="s">
        <v>2444</v>
      </c>
      <c r="N387" s="307">
        <v>386.0</v>
      </c>
      <c r="O387" s="41"/>
      <c r="P387" s="41" t="s">
        <v>2787</v>
      </c>
      <c r="Q387" s="307">
        <v>386.0</v>
      </c>
      <c r="R387" s="41"/>
      <c r="S387" s="41" t="s">
        <v>945</v>
      </c>
      <c r="T387" s="307">
        <v>386.0</v>
      </c>
      <c r="U387" s="41"/>
      <c r="V387" s="41"/>
      <c r="W387" s="307">
        <v>386.0</v>
      </c>
      <c r="X387" s="41"/>
      <c r="Y387" s="682" t="s">
        <v>2479</v>
      </c>
      <c r="Z387" s="307">
        <v>386.0</v>
      </c>
      <c r="AA387" s="41"/>
      <c r="AB387" s="41" t="s">
        <v>2789</v>
      </c>
      <c r="AC387" s="307">
        <v>386.0</v>
      </c>
      <c r="AD387" s="79"/>
      <c r="AF387" s="307">
        <v>386.0</v>
      </c>
      <c r="AH387" s="687" t="s">
        <v>2697</v>
      </c>
      <c r="AI387" s="307">
        <v>386.0</v>
      </c>
      <c r="AK387" s="687" t="s">
        <v>2756</v>
      </c>
      <c r="AL387" s="307">
        <v>386.0</v>
      </c>
      <c r="AN387" s="687" t="s">
        <v>2763</v>
      </c>
      <c r="AO387" s="307">
        <v>386.0</v>
      </c>
      <c r="AQ387" s="687" t="s">
        <v>2793</v>
      </c>
      <c r="AR387" s="307">
        <v>386.0</v>
      </c>
      <c r="AU387" s="307">
        <v>386.0</v>
      </c>
      <c r="AW387" s="687" t="s">
        <v>829</v>
      </c>
      <c r="AX387" s="307">
        <v>386.0</v>
      </c>
      <c r="AZ387" s="687" t="s">
        <v>2312</v>
      </c>
      <c r="BA387" s="307">
        <v>386.0</v>
      </c>
      <c r="BC387" s="691" t="s">
        <v>2331</v>
      </c>
      <c r="BD387" s="307">
        <v>386.0</v>
      </c>
      <c r="BF387" s="694" t="s">
        <v>2700</v>
      </c>
      <c r="BG387" s="145">
        <v>386.0</v>
      </c>
      <c r="BI387" s="688" t="s">
        <v>2413</v>
      </c>
      <c r="BJ387" s="145">
        <v>386.0</v>
      </c>
      <c r="BL387" s="692" t="s">
        <v>2808</v>
      </c>
      <c r="BM387" s="216">
        <v>386.0</v>
      </c>
    </row>
    <row r="388">
      <c r="A388" s="41" t="s">
        <v>1048</v>
      </c>
      <c r="B388" s="307">
        <v>387.0</v>
      </c>
      <c r="C388" s="41"/>
      <c r="D388" s="41" t="s">
        <v>2490</v>
      </c>
      <c r="E388" s="307">
        <v>387.0</v>
      </c>
      <c r="F388" s="41"/>
      <c r="G388" s="41" t="s">
        <v>2722</v>
      </c>
      <c r="H388" s="307">
        <v>387.0</v>
      </c>
      <c r="I388" s="41"/>
      <c r="J388" s="41" t="s">
        <v>2409</v>
      </c>
      <c r="K388" s="307">
        <v>387.0</v>
      </c>
      <c r="L388" s="41"/>
      <c r="M388" s="41" t="s">
        <v>2399</v>
      </c>
      <c r="N388" s="307">
        <v>387.0</v>
      </c>
      <c r="O388" s="41"/>
      <c r="P388" s="41" t="s">
        <v>2503</v>
      </c>
      <c r="Q388" s="307">
        <v>387.0</v>
      </c>
      <c r="R388" s="41"/>
      <c r="S388" s="41" t="s">
        <v>2749</v>
      </c>
      <c r="T388" s="307">
        <v>387.0</v>
      </c>
      <c r="U388" s="41"/>
      <c r="V388" s="41"/>
      <c r="W388" s="307">
        <v>387.0</v>
      </c>
      <c r="X388" s="41"/>
      <c r="Y388" s="682" t="s">
        <v>2709</v>
      </c>
      <c r="Z388" s="307">
        <v>387.0</v>
      </c>
      <c r="AA388" s="41"/>
      <c r="AB388" s="41" t="s">
        <v>920</v>
      </c>
      <c r="AC388" s="307">
        <v>387.0</v>
      </c>
      <c r="AD388" s="79"/>
      <c r="AF388" s="307">
        <v>387.0</v>
      </c>
      <c r="AH388" s="687" t="s">
        <v>2809</v>
      </c>
      <c r="AI388" s="307">
        <v>387.0</v>
      </c>
      <c r="AK388" s="687" t="s">
        <v>1137</v>
      </c>
      <c r="AL388" s="307">
        <v>387.0</v>
      </c>
      <c r="AN388" s="687" t="s">
        <v>2765</v>
      </c>
      <c r="AO388" s="307">
        <v>387.0</v>
      </c>
      <c r="AQ388" s="687" t="s">
        <v>2797</v>
      </c>
      <c r="AR388" s="307">
        <v>387.0</v>
      </c>
      <c r="AU388" s="307">
        <v>387.0</v>
      </c>
      <c r="AW388" s="687" t="s">
        <v>2385</v>
      </c>
      <c r="AX388" s="307">
        <v>387.0</v>
      </c>
      <c r="AZ388" s="687" t="s">
        <v>1254</v>
      </c>
      <c r="BA388" s="307">
        <v>387.0</v>
      </c>
      <c r="BC388" s="697" t="s">
        <v>2700</v>
      </c>
      <c r="BD388" s="307">
        <v>387.0</v>
      </c>
      <c r="BF388" s="694" t="s">
        <v>2509</v>
      </c>
      <c r="BG388" s="145">
        <v>387.0</v>
      </c>
      <c r="BI388" s="688" t="s">
        <v>2803</v>
      </c>
      <c r="BJ388" s="145">
        <v>387.0</v>
      </c>
      <c r="BL388" s="692" t="s">
        <v>2810</v>
      </c>
      <c r="BM388" s="216">
        <v>387.0</v>
      </c>
    </row>
    <row r="389">
      <c r="A389" s="41" t="s">
        <v>2455</v>
      </c>
      <c r="B389" s="307">
        <v>388.0</v>
      </c>
      <c r="C389" s="41"/>
      <c r="D389" s="41" t="s">
        <v>2485</v>
      </c>
      <c r="E389" s="307">
        <v>388.0</v>
      </c>
      <c r="F389" s="41"/>
      <c r="G389" s="41" t="s">
        <v>2461</v>
      </c>
      <c r="H389" s="307">
        <v>388.0</v>
      </c>
      <c r="I389" s="41"/>
      <c r="J389" s="41" t="s">
        <v>2490</v>
      </c>
      <c r="K389" s="307">
        <v>388.0</v>
      </c>
      <c r="L389" s="41"/>
      <c r="M389" s="41" t="s">
        <v>1140</v>
      </c>
      <c r="N389" s="307">
        <v>388.0</v>
      </c>
      <c r="O389" s="41"/>
      <c r="P389" s="41" t="s">
        <v>2463</v>
      </c>
      <c r="Q389" s="307">
        <v>388.0</v>
      </c>
      <c r="R389" s="41"/>
      <c r="S389" s="41" t="s">
        <v>2764</v>
      </c>
      <c r="T389" s="307">
        <v>388.0</v>
      </c>
      <c r="U389" s="41"/>
      <c r="V389" s="41"/>
      <c r="W389" s="307">
        <v>388.0</v>
      </c>
      <c r="X389" s="41"/>
      <c r="Y389" s="698" t="s">
        <v>2785</v>
      </c>
      <c r="Z389" s="307">
        <v>388.0</v>
      </c>
      <c r="AA389" s="41"/>
      <c r="AB389" s="41" t="s">
        <v>1098</v>
      </c>
      <c r="AC389" s="307">
        <v>388.0</v>
      </c>
      <c r="AD389" s="79"/>
      <c r="AE389" s="705"/>
      <c r="AF389" s="307">
        <v>388.0</v>
      </c>
      <c r="AG389" s="705"/>
      <c r="AH389" s="706" t="s">
        <v>2792</v>
      </c>
      <c r="AI389" s="307">
        <v>388.0</v>
      </c>
      <c r="AJ389" s="705"/>
      <c r="AK389" s="706" t="s">
        <v>2459</v>
      </c>
      <c r="AL389" s="307">
        <v>388.0</v>
      </c>
      <c r="AM389" s="705"/>
      <c r="AN389" s="706" t="s">
        <v>2772</v>
      </c>
      <c r="AO389" s="307">
        <v>388.0</v>
      </c>
      <c r="AP389" s="705"/>
      <c r="AQ389" s="706" t="s">
        <v>2312</v>
      </c>
      <c r="AR389" s="307">
        <v>388.0</v>
      </c>
      <c r="AS389" s="705"/>
      <c r="AT389" s="705"/>
      <c r="AU389" s="307">
        <v>388.0</v>
      </c>
      <c r="AV389" s="705"/>
      <c r="AW389" s="706" t="s">
        <v>2790</v>
      </c>
      <c r="AX389" s="307">
        <v>388.0</v>
      </c>
      <c r="AZ389" s="687" t="s">
        <v>829</v>
      </c>
      <c r="BA389" s="307">
        <v>388.0</v>
      </c>
      <c r="BC389" s="697" t="s">
        <v>2509</v>
      </c>
      <c r="BD389" s="307">
        <v>388.0</v>
      </c>
      <c r="BF389" s="687" t="s">
        <v>2240</v>
      </c>
      <c r="BG389" s="145">
        <v>388.0</v>
      </c>
      <c r="BI389" s="688" t="s">
        <v>2777</v>
      </c>
      <c r="BJ389" s="145">
        <v>388.0</v>
      </c>
      <c r="BL389" s="692" t="s">
        <v>2465</v>
      </c>
      <c r="BM389" s="216">
        <v>388.0</v>
      </c>
    </row>
    <row r="390">
      <c r="A390" s="41" t="s">
        <v>2456</v>
      </c>
      <c r="B390" s="307">
        <v>389.0</v>
      </c>
      <c r="C390" s="41"/>
      <c r="D390" s="41" t="s">
        <v>846</v>
      </c>
      <c r="E390" s="307">
        <v>389.0</v>
      </c>
      <c r="F390" s="41"/>
      <c r="G390" s="41" t="s">
        <v>2734</v>
      </c>
      <c r="H390" s="307">
        <v>389.0</v>
      </c>
      <c r="I390" s="41"/>
      <c r="J390" s="41" t="s">
        <v>2436</v>
      </c>
      <c r="K390" s="307">
        <v>389.0</v>
      </c>
      <c r="L390" s="41"/>
      <c r="M390" s="41" t="s">
        <v>2450</v>
      </c>
      <c r="N390" s="307">
        <v>389.0</v>
      </c>
      <c r="O390" s="41"/>
      <c r="P390" s="41" t="s">
        <v>2773</v>
      </c>
      <c r="Q390" s="307">
        <v>389.0</v>
      </c>
      <c r="R390" s="41"/>
      <c r="S390" s="41" t="s">
        <v>915</v>
      </c>
      <c r="T390" s="307">
        <v>389.0</v>
      </c>
      <c r="U390" s="41"/>
      <c r="V390" s="41"/>
      <c r="W390" s="307">
        <v>389.0</v>
      </c>
      <c r="X390" s="41"/>
      <c r="Y390" s="698" t="s">
        <v>2761</v>
      </c>
      <c r="Z390" s="307">
        <v>389.0</v>
      </c>
      <c r="AA390" s="41"/>
      <c r="AB390" s="41" t="s">
        <v>2774</v>
      </c>
      <c r="AC390" s="307">
        <v>389.0</v>
      </c>
      <c r="AD390" s="79"/>
      <c r="AF390" s="307">
        <v>389.0</v>
      </c>
      <c r="AH390" s="687" t="s">
        <v>2770</v>
      </c>
      <c r="AI390" s="307">
        <v>389.0</v>
      </c>
      <c r="AK390" s="687" t="s">
        <v>2463</v>
      </c>
      <c r="AL390" s="307">
        <v>389.0</v>
      </c>
      <c r="AN390" s="687" t="s">
        <v>2778</v>
      </c>
      <c r="AO390" s="307">
        <v>389.0</v>
      </c>
      <c r="AQ390" s="687" t="s">
        <v>1254</v>
      </c>
      <c r="AR390" s="307">
        <v>389.0</v>
      </c>
      <c r="AU390" s="307">
        <v>389.0</v>
      </c>
      <c r="AW390" s="687" t="s">
        <v>2473</v>
      </c>
      <c r="AX390" s="307">
        <v>389.0</v>
      </c>
      <c r="AZ390" s="687" t="s">
        <v>2385</v>
      </c>
      <c r="BA390" s="307">
        <v>389.0</v>
      </c>
      <c r="BC390" s="691" t="s">
        <v>2240</v>
      </c>
      <c r="BD390" s="307">
        <v>389.0</v>
      </c>
      <c r="BF390" s="687" t="s">
        <v>2413</v>
      </c>
      <c r="BG390" s="145">
        <v>389.0</v>
      </c>
      <c r="BI390" s="688" t="s">
        <v>2468</v>
      </c>
      <c r="BJ390" s="145">
        <v>389.0</v>
      </c>
      <c r="BL390" s="692" t="s">
        <v>2314</v>
      </c>
      <c r="BM390" s="216">
        <v>389.0</v>
      </c>
    </row>
    <row r="391">
      <c r="A391" s="41" t="s">
        <v>2457</v>
      </c>
      <c r="B391" s="307">
        <v>390.0</v>
      </c>
      <c r="C391" s="41"/>
      <c r="D391" s="41" t="s">
        <v>2734</v>
      </c>
      <c r="E391" s="307">
        <v>390.0</v>
      </c>
      <c r="F391" s="41"/>
      <c r="G391" s="41" t="s">
        <v>2721</v>
      </c>
      <c r="H391" s="307">
        <v>390.0</v>
      </c>
      <c r="I391" s="41"/>
      <c r="J391" s="41" t="s">
        <v>2721</v>
      </c>
      <c r="K391" s="307">
        <v>390.0</v>
      </c>
      <c r="L391" s="41"/>
      <c r="M391" s="41" t="s">
        <v>1102</v>
      </c>
      <c r="N391" s="307">
        <v>390.0</v>
      </c>
      <c r="O391" s="41"/>
      <c r="P391" s="41" t="s">
        <v>2431</v>
      </c>
      <c r="Q391" s="307">
        <v>390.0</v>
      </c>
      <c r="R391" s="41"/>
      <c r="S391" s="41" t="s">
        <v>2787</v>
      </c>
      <c r="T391" s="307">
        <v>390.0</v>
      </c>
      <c r="U391" s="41"/>
      <c r="V391" s="41"/>
      <c r="W391" s="307">
        <v>390.0</v>
      </c>
      <c r="X391" s="41"/>
      <c r="Y391" s="682" t="s">
        <v>2520</v>
      </c>
      <c r="Z391" s="307">
        <v>390.0</v>
      </c>
      <c r="AA391" s="41"/>
      <c r="AB391" s="41" t="s">
        <v>2336</v>
      </c>
      <c r="AC391" s="307">
        <v>390.0</v>
      </c>
      <c r="AD391" s="79"/>
      <c r="AE391" s="705"/>
      <c r="AF391" s="307">
        <v>390.0</v>
      </c>
      <c r="AG391" s="705"/>
      <c r="AH391" s="706" t="s">
        <v>2512</v>
      </c>
      <c r="AI391" s="307">
        <v>390.0</v>
      </c>
      <c r="AJ391" s="705"/>
      <c r="AK391" s="706" t="s">
        <v>2749</v>
      </c>
      <c r="AL391" s="307">
        <v>390.0</v>
      </c>
      <c r="AM391" s="705"/>
      <c r="AN391" s="706" t="s">
        <v>2775</v>
      </c>
      <c r="AO391" s="307">
        <v>390.0</v>
      </c>
      <c r="AP391" s="705"/>
      <c r="AQ391" s="706" t="s">
        <v>2385</v>
      </c>
      <c r="AR391" s="307">
        <v>390.0</v>
      </c>
      <c r="AS391" s="705"/>
      <c r="AT391" s="705"/>
      <c r="AU391" s="307">
        <v>390.0</v>
      </c>
      <c r="AV391" s="705"/>
      <c r="AW391" s="706" t="s">
        <v>2795</v>
      </c>
      <c r="AX391" s="307">
        <v>390.0</v>
      </c>
      <c r="AY391" s="705"/>
      <c r="AZ391" s="706" t="s">
        <v>2790</v>
      </c>
      <c r="BA391" s="307">
        <v>390.0</v>
      </c>
      <c r="BC391" s="691" t="s">
        <v>2413</v>
      </c>
      <c r="BD391" s="307">
        <v>390.0</v>
      </c>
      <c r="BF391" s="687" t="s">
        <v>2803</v>
      </c>
      <c r="BG391" s="145">
        <v>390.0</v>
      </c>
      <c r="BI391" s="688" t="s">
        <v>2759</v>
      </c>
      <c r="BJ391" s="145">
        <v>390.0</v>
      </c>
      <c r="BL391" s="692" t="s">
        <v>2338</v>
      </c>
      <c r="BM391" s="216">
        <v>390.0</v>
      </c>
    </row>
    <row r="392">
      <c r="A392" s="41" t="s">
        <v>1075</v>
      </c>
      <c r="B392" s="307">
        <v>391.0</v>
      </c>
      <c r="C392" s="41"/>
      <c r="D392" s="41" t="s">
        <v>2489</v>
      </c>
      <c r="E392" s="307">
        <v>391.0</v>
      </c>
      <c r="F392" s="41"/>
      <c r="G392" s="41" t="s">
        <v>2489</v>
      </c>
      <c r="H392" s="307">
        <v>391.0</v>
      </c>
      <c r="I392" s="41"/>
      <c r="J392" s="41" t="s">
        <v>2447</v>
      </c>
      <c r="K392" s="307">
        <v>391.0</v>
      </c>
      <c r="L392" s="41"/>
      <c r="M392" s="41" t="s">
        <v>2788</v>
      </c>
      <c r="N392" s="307">
        <v>391.0</v>
      </c>
      <c r="O392" s="41"/>
      <c r="P392" s="41" t="s">
        <v>2479</v>
      </c>
      <c r="Q392" s="307">
        <v>391.0</v>
      </c>
      <c r="R392" s="41"/>
      <c r="S392" s="41" t="s">
        <v>2503</v>
      </c>
      <c r="T392" s="307">
        <v>391.0</v>
      </c>
      <c r="U392" s="41"/>
      <c r="V392" s="41"/>
      <c r="W392" s="307">
        <v>391.0</v>
      </c>
      <c r="X392" s="41"/>
      <c r="Y392" s="698" t="s">
        <v>2789</v>
      </c>
      <c r="Z392" s="307">
        <v>391.0</v>
      </c>
      <c r="AA392" s="41"/>
      <c r="AB392" s="41" t="s">
        <v>2766</v>
      </c>
      <c r="AC392" s="307">
        <v>391.0</v>
      </c>
      <c r="AD392" s="79"/>
      <c r="AE392" s="705"/>
      <c r="AF392" s="307">
        <v>391.0</v>
      </c>
      <c r="AG392" s="705"/>
      <c r="AH392" s="706" t="s">
        <v>2423</v>
      </c>
      <c r="AI392" s="307">
        <v>391.0</v>
      </c>
      <c r="AJ392" s="705"/>
      <c r="AK392" s="706" t="s">
        <v>949</v>
      </c>
      <c r="AL392" s="307">
        <v>391.0</v>
      </c>
      <c r="AM392" s="705"/>
      <c r="AN392" s="706" t="s">
        <v>2776</v>
      </c>
      <c r="AO392" s="307">
        <v>391.0</v>
      </c>
      <c r="AP392" s="705"/>
      <c r="AQ392" s="706" t="s">
        <v>2790</v>
      </c>
      <c r="AR392" s="307">
        <v>391.0</v>
      </c>
      <c r="AU392" s="307">
        <v>391.0</v>
      </c>
      <c r="AW392" s="687" t="s">
        <v>2503</v>
      </c>
      <c r="AX392" s="307">
        <v>391.0</v>
      </c>
      <c r="AZ392" s="687" t="s">
        <v>2473</v>
      </c>
      <c r="BA392" s="307">
        <v>391.0</v>
      </c>
      <c r="BC392" s="691" t="s">
        <v>2803</v>
      </c>
      <c r="BD392" s="307">
        <v>391.0</v>
      </c>
      <c r="BF392" s="687" t="s">
        <v>2777</v>
      </c>
      <c r="BG392" s="145">
        <v>391.0</v>
      </c>
      <c r="BI392" s="688" t="s">
        <v>2808</v>
      </c>
      <c r="BJ392" s="145">
        <v>391.0</v>
      </c>
      <c r="BL392" s="692" t="s">
        <v>2811</v>
      </c>
      <c r="BM392" s="216">
        <v>391.0</v>
      </c>
    </row>
    <row r="393">
      <c r="A393" s="705" t="s">
        <v>2682</v>
      </c>
      <c r="B393" s="307">
        <v>392.0</v>
      </c>
      <c r="C393" s="41"/>
      <c r="D393" s="41" t="s">
        <v>835</v>
      </c>
      <c r="E393" s="307">
        <v>392.0</v>
      </c>
      <c r="F393" s="41"/>
      <c r="G393" s="41" t="s">
        <v>835</v>
      </c>
      <c r="H393" s="307">
        <v>392.0</v>
      </c>
      <c r="I393" s="41"/>
      <c r="J393" s="41" t="s">
        <v>2448</v>
      </c>
      <c r="K393" s="307">
        <v>392.0</v>
      </c>
      <c r="L393" s="41"/>
      <c r="M393" s="41" t="s">
        <v>2326</v>
      </c>
      <c r="N393" s="307">
        <v>392.0</v>
      </c>
      <c r="O393" s="41"/>
      <c r="P393" s="41" t="s">
        <v>2709</v>
      </c>
      <c r="Q393" s="307">
        <v>392.0</v>
      </c>
      <c r="R393" s="41"/>
      <c r="S393" s="41" t="s">
        <v>2463</v>
      </c>
      <c r="T393" s="307">
        <v>392.0</v>
      </c>
      <c r="U393" s="41"/>
      <c r="V393" s="41"/>
      <c r="W393" s="307">
        <v>392.0</v>
      </c>
      <c r="X393" s="41"/>
      <c r="Y393" s="682" t="s">
        <v>920</v>
      </c>
      <c r="Z393" s="307">
        <v>392.0</v>
      </c>
      <c r="AA393" s="41"/>
      <c r="AB393" s="41" t="s">
        <v>2721</v>
      </c>
      <c r="AC393" s="307">
        <v>392.0</v>
      </c>
      <c r="AD393" s="79"/>
      <c r="AF393" s="307">
        <v>392.0</v>
      </c>
      <c r="AH393" s="687" t="s">
        <v>2812</v>
      </c>
      <c r="AI393" s="307">
        <v>392.0</v>
      </c>
      <c r="AK393" s="687" t="s">
        <v>1102</v>
      </c>
      <c r="AL393" s="307">
        <v>392.0</v>
      </c>
      <c r="AN393" s="687" t="s">
        <v>2793</v>
      </c>
      <c r="AO393" s="307">
        <v>392.0</v>
      </c>
      <c r="AQ393" s="687" t="s">
        <v>2473</v>
      </c>
      <c r="AR393" s="307">
        <v>392.0</v>
      </c>
      <c r="AU393" s="307">
        <v>392.0</v>
      </c>
      <c r="AW393" s="687" t="s">
        <v>2805</v>
      </c>
      <c r="AX393" s="307">
        <v>392.0</v>
      </c>
      <c r="AZ393" s="687" t="s">
        <v>2795</v>
      </c>
      <c r="BA393" s="307">
        <v>392.0</v>
      </c>
      <c r="BC393" s="691" t="s">
        <v>2777</v>
      </c>
      <c r="BD393" s="307">
        <v>392.0</v>
      </c>
      <c r="BF393" s="687" t="s">
        <v>2468</v>
      </c>
      <c r="BG393" s="145">
        <v>392.0</v>
      </c>
      <c r="BI393" s="688" t="s">
        <v>2225</v>
      </c>
      <c r="BJ393" s="145">
        <v>392.0</v>
      </c>
      <c r="BL393" s="692" t="s">
        <v>2672</v>
      </c>
      <c r="BM393" s="216">
        <v>392.0</v>
      </c>
    </row>
    <row r="394">
      <c r="A394" s="41" t="s">
        <v>2458</v>
      </c>
      <c r="B394" s="307">
        <v>393.0</v>
      </c>
      <c r="C394" s="41"/>
      <c r="D394" s="41" t="s">
        <v>2714</v>
      </c>
      <c r="E394" s="307">
        <v>393.0</v>
      </c>
      <c r="F394" s="41"/>
      <c r="G394" s="41" t="s">
        <v>253</v>
      </c>
      <c r="H394" s="307">
        <v>393.0</v>
      </c>
      <c r="I394" s="41"/>
      <c r="J394" s="41" t="s">
        <v>2813</v>
      </c>
      <c r="K394" s="307">
        <v>393.0</v>
      </c>
      <c r="L394" s="41"/>
      <c r="M394" s="41" t="s">
        <v>2802</v>
      </c>
      <c r="N394" s="307">
        <v>393.0</v>
      </c>
      <c r="O394" s="41"/>
      <c r="P394" s="41" t="s">
        <v>2785</v>
      </c>
      <c r="Q394" s="307">
        <v>393.0</v>
      </c>
      <c r="R394" s="41"/>
      <c r="S394" s="41" t="s">
        <v>2773</v>
      </c>
      <c r="T394" s="307">
        <v>393.0</v>
      </c>
      <c r="U394" s="41"/>
      <c r="V394" s="41"/>
      <c r="W394" s="307">
        <v>393.0</v>
      </c>
      <c r="X394" s="41"/>
      <c r="Y394" s="682" t="s">
        <v>1098</v>
      </c>
      <c r="Z394" s="307">
        <v>393.0</v>
      </c>
      <c r="AA394" s="41"/>
      <c r="AB394" s="41" t="s">
        <v>2776</v>
      </c>
      <c r="AC394" s="307">
        <v>393.0</v>
      </c>
      <c r="AD394" s="79"/>
      <c r="AF394" s="307">
        <v>393.0</v>
      </c>
      <c r="AH394" s="687" t="s">
        <v>2748</v>
      </c>
      <c r="AI394" s="307">
        <v>393.0</v>
      </c>
      <c r="AK394" s="687" t="s">
        <v>2750</v>
      </c>
      <c r="AL394" s="307">
        <v>393.0</v>
      </c>
      <c r="AN394" s="687" t="s">
        <v>2797</v>
      </c>
      <c r="AO394" s="307">
        <v>393.0</v>
      </c>
      <c r="AQ394" s="687" t="s">
        <v>2795</v>
      </c>
      <c r="AR394" s="307">
        <v>393.0</v>
      </c>
      <c r="AU394" s="307">
        <v>393.0</v>
      </c>
      <c r="AW394" s="687" t="s">
        <v>2713</v>
      </c>
      <c r="AX394" s="307">
        <v>393.0</v>
      </c>
      <c r="AZ394" s="687" t="s">
        <v>2503</v>
      </c>
      <c r="BA394" s="307">
        <v>393.0</v>
      </c>
      <c r="BC394" s="691" t="s">
        <v>2757</v>
      </c>
      <c r="BD394" s="307">
        <v>393.0</v>
      </c>
      <c r="BF394" s="687" t="s">
        <v>2757</v>
      </c>
      <c r="BG394" s="145">
        <v>393.0</v>
      </c>
      <c r="BI394" s="688" t="s">
        <v>2810</v>
      </c>
      <c r="BJ394" s="145">
        <v>393.0</v>
      </c>
      <c r="BL394" s="692" t="s">
        <v>2814</v>
      </c>
      <c r="BM394" s="216">
        <v>393.0</v>
      </c>
    </row>
    <row r="395">
      <c r="A395" s="41" t="s">
        <v>2717</v>
      </c>
      <c r="B395" s="307">
        <v>394.0</v>
      </c>
      <c r="C395" s="41"/>
      <c r="D395" s="41" t="s">
        <v>2332</v>
      </c>
      <c r="E395" s="307">
        <v>394.0</v>
      </c>
      <c r="F395" s="41"/>
      <c r="G395" s="41" t="s">
        <v>2745</v>
      </c>
      <c r="H395" s="307">
        <v>394.0</v>
      </c>
      <c r="I395" s="41"/>
      <c r="J395" s="41" t="s">
        <v>2482</v>
      </c>
      <c r="K395" s="307">
        <v>394.0</v>
      </c>
      <c r="L395" s="41"/>
      <c r="M395" s="41" t="s">
        <v>2689</v>
      </c>
      <c r="N395" s="307">
        <v>394.0</v>
      </c>
      <c r="O395" s="41"/>
      <c r="P395" s="41" t="s">
        <v>2761</v>
      </c>
      <c r="Q395" s="307">
        <v>394.0</v>
      </c>
      <c r="R395" s="41"/>
      <c r="S395" s="41" t="s">
        <v>2431</v>
      </c>
      <c r="T395" s="307">
        <v>394.0</v>
      </c>
      <c r="U395" s="41"/>
      <c r="V395" s="41"/>
      <c r="W395" s="307">
        <v>394.0</v>
      </c>
      <c r="X395" s="41"/>
      <c r="Y395" s="698" t="s">
        <v>2774</v>
      </c>
      <c r="Z395" s="307">
        <v>394.0</v>
      </c>
      <c r="AA395" s="41"/>
      <c r="AB395" s="41" t="s">
        <v>2510</v>
      </c>
      <c r="AC395" s="307">
        <v>394.0</v>
      </c>
      <c r="AD395" s="79"/>
      <c r="AF395" s="307">
        <v>394.0</v>
      </c>
      <c r="AH395" s="687" t="s">
        <v>2722</v>
      </c>
      <c r="AI395" s="307">
        <v>394.0</v>
      </c>
      <c r="AK395" s="687" t="s">
        <v>2458</v>
      </c>
      <c r="AL395" s="307">
        <v>394.0</v>
      </c>
      <c r="AN395" s="687" t="s">
        <v>2312</v>
      </c>
      <c r="AO395" s="307">
        <v>394.0</v>
      </c>
      <c r="AQ395" s="687" t="s">
        <v>2503</v>
      </c>
      <c r="AR395" s="307">
        <v>394.0</v>
      </c>
      <c r="AU395" s="307">
        <v>394.0</v>
      </c>
      <c r="AW395" s="687" t="s">
        <v>2331</v>
      </c>
      <c r="AX395" s="307">
        <v>394.0</v>
      </c>
      <c r="AZ395" s="687" t="s">
        <v>2805</v>
      </c>
      <c r="BA395" s="307">
        <v>394.0</v>
      </c>
      <c r="BC395" s="691" t="s">
        <v>2759</v>
      </c>
      <c r="BD395" s="307">
        <v>394.0</v>
      </c>
      <c r="BF395" s="687" t="s">
        <v>2759</v>
      </c>
      <c r="BG395" s="145">
        <v>394.0</v>
      </c>
      <c r="BI395" s="688" t="s">
        <v>2465</v>
      </c>
      <c r="BJ395" s="145">
        <v>394.0</v>
      </c>
      <c r="BL395" s="692" t="s">
        <v>2815</v>
      </c>
      <c r="BM395" s="216">
        <v>394.0</v>
      </c>
    </row>
    <row r="396">
      <c r="A396" s="41" t="s">
        <v>2459</v>
      </c>
      <c r="B396" s="307">
        <v>395.0</v>
      </c>
      <c r="C396" s="41"/>
      <c r="D396" s="41" t="s">
        <v>2813</v>
      </c>
      <c r="E396" s="307">
        <v>395.0</v>
      </c>
      <c r="F396" s="41"/>
      <c r="G396" s="41" t="s">
        <v>2714</v>
      </c>
      <c r="H396" s="307">
        <v>395.0</v>
      </c>
      <c r="I396" s="41"/>
      <c r="J396" s="41" t="s">
        <v>1049</v>
      </c>
      <c r="K396" s="307">
        <v>395.0</v>
      </c>
      <c r="L396" s="41"/>
      <c r="M396" s="41" t="s">
        <v>2501</v>
      </c>
      <c r="N396" s="307">
        <v>395.0</v>
      </c>
      <c r="O396" s="41"/>
      <c r="P396" s="41" t="s">
        <v>2520</v>
      </c>
      <c r="Q396" s="307">
        <v>395.0</v>
      </c>
      <c r="R396" s="41"/>
      <c r="S396" s="41" t="s">
        <v>2479</v>
      </c>
      <c r="T396" s="307">
        <v>395.0</v>
      </c>
      <c r="U396" s="41"/>
      <c r="V396" s="41"/>
      <c r="W396" s="307">
        <v>395.0</v>
      </c>
      <c r="X396" s="41"/>
      <c r="Y396" s="698" t="s">
        <v>2509</v>
      </c>
      <c r="Z396" s="307">
        <v>395.0</v>
      </c>
      <c r="AA396" s="41"/>
      <c r="AB396" s="41" t="s">
        <v>2744</v>
      </c>
      <c r="AC396" s="307">
        <v>395.0</v>
      </c>
      <c r="AD396" s="79"/>
      <c r="AF396" s="307">
        <v>395.0</v>
      </c>
      <c r="AH396" s="687" t="s">
        <v>2788</v>
      </c>
      <c r="AI396" s="307">
        <v>395.0</v>
      </c>
      <c r="AK396" s="687" t="s">
        <v>2280</v>
      </c>
      <c r="AL396" s="307">
        <v>395.0</v>
      </c>
      <c r="AN396" s="687" t="s">
        <v>1254</v>
      </c>
      <c r="AO396" s="307">
        <v>395.0</v>
      </c>
      <c r="AQ396" s="687" t="s">
        <v>2805</v>
      </c>
      <c r="AR396" s="307">
        <v>395.0</v>
      </c>
      <c r="AU396" s="307">
        <v>395.0</v>
      </c>
      <c r="AW396" s="694" t="s">
        <v>2700</v>
      </c>
      <c r="AX396" s="307">
        <v>395.0</v>
      </c>
      <c r="AZ396" s="687" t="s">
        <v>2713</v>
      </c>
      <c r="BA396" s="307">
        <v>395.0</v>
      </c>
      <c r="BC396" s="691" t="s">
        <v>2676</v>
      </c>
      <c r="BD396" s="307">
        <v>395.0</v>
      </c>
      <c r="BF396" s="687" t="s">
        <v>2676</v>
      </c>
      <c r="BG396" s="145">
        <v>395.0</v>
      </c>
      <c r="BI396" s="688" t="s">
        <v>2314</v>
      </c>
      <c r="BJ396" s="145">
        <v>395.0</v>
      </c>
      <c r="BL396" s="692" t="s">
        <v>2816</v>
      </c>
      <c r="BM396" s="216">
        <v>395.0</v>
      </c>
    </row>
    <row r="397">
      <c r="A397" s="41" t="s">
        <v>2801</v>
      </c>
      <c r="B397" s="307">
        <v>396.0</v>
      </c>
      <c r="C397" s="41"/>
      <c r="D397" s="41" t="s">
        <v>2806</v>
      </c>
      <c r="E397" s="307">
        <v>396.0</v>
      </c>
      <c r="F397" s="41"/>
      <c r="G397" s="41" t="s">
        <v>2332</v>
      </c>
      <c r="H397" s="307">
        <v>396.0</v>
      </c>
      <c r="I397" s="41"/>
      <c r="J397" s="41" t="s">
        <v>2722</v>
      </c>
      <c r="K397" s="307">
        <v>396.0</v>
      </c>
      <c r="L397" s="41"/>
      <c r="M397" s="41" t="s">
        <v>2764</v>
      </c>
      <c r="N397" s="307">
        <v>396.0</v>
      </c>
      <c r="O397" s="41"/>
      <c r="P397" s="41" t="s">
        <v>1098</v>
      </c>
      <c r="Q397" s="307">
        <v>396.0</v>
      </c>
      <c r="R397" s="41"/>
      <c r="S397" s="41" t="s">
        <v>2709</v>
      </c>
      <c r="T397" s="307">
        <v>396.0</v>
      </c>
      <c r="U397" s="41"/>
      <c r="V397" s="41"/>
      <c r="W397" s="307">
        <v>396.0</v>
      </c>
      <c r="X397" s="41"/>
      <c r="Y397" s="682" t="s">
        <v>2336</v>
      </c>
      <c r="Z397" s="307">
        <v>396.0</v>
      </c>
      <c r="AA397" s="41"/>
      <c r="AB397" s="41" t="s">
        <v>2791</v>
      </c>
      <c r="AC397" s="307">
        <v>396.0</v>
      </c>
      <c r="AD397" s="79"/>
      <c r="AF397" s="307">
        <v>396.0</v>
      </c>
      <c r="AH397" s="687" t="s">
        <v>2752</v>
      </c>
      <c r="AI397" s="307">
        <v>396.0</v>
      </c>
      <c r="AK397" s="687" t="s">
        <v>2482</v>
      </c>
      <c r="AL397" s="307">
        <v>396.0</v>
      </c>
      <c r="AN397" s="687" t="s">
        <v>2385</v>
      </c>
      <c r="AO397" s="307">
        <v>396.0</v>
      </c>
      <c r="AQ397" s="687" t="s">
        <v>2713</v>
      </c>
      <c r="AR397" s="307">
        <v>396.0</v>
      </c>
      <c r="AU397" s="307">
        <v>396.0</v>
      </c>
      <c r="AW397" s="694" t="s">
        <v>2509</v>
      </c>
      <c r="AX397" s="307">
        <v>396.0</v>
      </c>
      <c r="AZ397" s="687" t="s">
        <v>2331</v>
      </c>
      <c r="BA397" s="307">
        <v>396.0</v>
      </c>
      <c r="BC397" s="691" t="s">
        <v>2808</v>
      </c>
      <c r="BD397" s="307">
        <v>396.0</v>
      </c>
      <c r="BF397" s="687" t="s">
        <v>2808</v>
      </c>
      <c r="BG397" s="145">
        <v>396.0</v>
      </c>
      <c r="BI397" s="688" t="s">
        <v>2338</v>
      </c>
      <c r="BJ397" s="145">
        <v>396.0</v>
      </c>
      <c r="BL397" s="692" t="s">
        <v>2784</v>
      </c>
      <c r="BM397" s="216">
        <v>396.0</v>
      </c>
    </row>
    <row r="398">
      <c r="A398" s="41" t="s">
        <v>1250</v>
      </c>
      <c r="B398" s="307">
        <v>397.0</v>
      </c>
      <c r="C398" s="41"/>
      <c r="D398" s="41" t="s">
        <v>2475</v>
      </c>
      <c r="E398" s="307">
        <v>397.0</v>
      </c>
      <c r="F398" s="41"/>
      <c r="G398" s="41" t="s">
        <v>263</v>
      </c>
      <c r="H398" s="307">
        <v>397.0</v>
      </c>
      <c r="I398" s="41"/>
      <c r="J398" s="41" t="s">
        <v>2313</v>
      </c>
      <c r="K398" s="307">
        <v>397.0</v>
      </c>
      <c r="L398" s="41"/>
      <c r="M398" s="41" t="s">
        <v>2787</v>
      </c>
      <c r="N398" s="307">
        <v>397.0</v>
      </c>
      <c r="O398" s="41"/>
      <c r="P398" s="41" t="s">
        <v>2774</v>
      </c>
      <c r="Q398" s="307">
        <v>397.0</v>
      </c>
      <c r="R398" s="41"/>
      <c r="S398" s="41" t="s">
        <v>2785</v>
      </c>
      <c r="T398" s="307">
        <v>397.0</v>
      </c>
      <c r="U398" s="41"/>
      <c r="V398" s="41"/>
      <c r="W398" s="307">
        <v>397.0</v>
      </c>
      <c r="X398" s="41"/>
      <c r="Y398" s="698" t="s">
        <v>2766</v>
      </c>
      <c r="Z398" s="307">
        <v>397.0</v>
      </c>
      <c r="AA398" s="41"/>
      <c r="AB398" s="41" t="s">
        <v>2457</v>
      </c>
      <c r="AC398" s="307">
        <v>397.0</v>
      </c>
      <c r="AD398" s="79"/>
      <c r="AE398" s="705"/>
      <c r="AF398" s="307">
        <v>397.0</v>
      </c>
      <c r="AG398" s="705"/>
      <c r="AH398" s="706" t="s">
        <v>239</v>
      </c>
      <c r="AI398" s="307">
        <v>397.0</v>
      </c>
      <c r="AJ398" s="705"/>
      <c r="AK398" s="706" t="s">
        <v>2351</v>
      </c>
      <c r="AL398" s="307">
        <v>397.0</v>
      </c>
      <c r="AM398" s="705"/>
      <c r="AN398" s="706" t="s">
        <v>2790</v>
      </c>
      <c r="AO398" s="307">
        <v>397.0</v>
      </c>
      <c r="AQ398" s="694" t="s">
        <v>2700</v>
      </c>
      <c r="AR398" s="307">
        <v>397.0</v>
      </c>
      <c r="AU398" s="307">
        <v>397.0</v>
      </c>
      <c r="AW398" s="687" t="s">
        <v>2240</v>
      </c>
      <c r="AX398" s="307">
        <v>397.0</v>
      </c>
      <c r="AZ398" s="694" t="s">
        <v>2700</v>
      </c>
      <c r="BA398" s="307">
        <v>397.0</v>
      </c>
      <c r="BC398" s="691" t="s">
        <v>2810</v>
      </c>
      <c r="BD398" s="307">
        <v>397.0</v>
      </c>
      <c r="BF398" s="687" t="s">
        <v>2225</v>
      </c>
      <c r="BG398" s="145">
        <v>397.0</v>
      </c>
      <c r="BI398" s="688" t="s">
        <v>2678</v>
      </c>
      <c r="BJ398" s="145">
        <v>397.0</v>
      </c>
      <c r="BL398" s="692" t="s">
        <v>2667</v>
      </c>
      <c r="BM398" s="216">
        <v>397.0</v>
      </c>
    </row>
    <row r="399">
      <c r="A399" s="41" t="s">
        <v>939</v>
      </c>
      <c r="B399" s="307">
        <v>398.0</v>
      </c>
      <c r="C399" s="41"/>
      <c r="D399" s="41" t="s">
        <v>2817</v>
      </c>
      <c r="E399" s="307">
        <v>398.0</v>
      </c>
      <c r="F399" s="41"/>
      <c r="G399" s="41" t="s">
        <v>2813</v>
      </c>
      <c r="H399" s="307">
        <v>398.0</v>
      </c>
      <c r="I399" s="41"/>
      <c r="J399" s="41" t="s">
        <v>2711</v>
      </c>
      <c r="K399" s="307">
        <v>398.0</v>
      </c>
      <c r="L399" s="41"/>
      <c r="M399" s="41" t="s">
        <v>2503</v>
      </c>
      <c r="N399" s="307">
        <v>398.0</v>
      </c>
      <c r="O399" s="41"/>
      <c r="P399" s="41" t="s">
        <v>2509</v>
      </c>
      <c r="Q399" s="307">
        <v>398.0</v>
      </c>
      <c r="R399" s="41"/>
      <c r="S399" s="41" t="s">
        <v>2761</v>
      </c>
      <c r="T399" s="307">
        <v>398.0</v>
      </c>
      <c r="U399" s="41"/>
      <c r="V399" s="41"/>
      <c r="W399" s="307">
        <v>398.0</v>
      </c>
      <c r="X399" s="41"/>
      <c r="Y399" s="698" t="s">
        <v>2721</v>
      </c>
      <c r="Z399" s="307">
        <v>398.0</v>
      </c>
      <c r="AA399" s="41"/>
      <c r="AB399" s="41" t="s">
        <v>2385</v>
      </c>
      <c r="AC399" s="307">
        <v>398.0</v>
      </c>
      <c r="AD399" s="79"/>
      <c r="AF399" s="307">
        <v>398.0</v>
      </c>
      <c r="AH399" s="687" t="s">
        <v>2818</v>
      </c>
      <c r="AI399" s="307">
        <v>398.0</v>
      </c>
      <c r="AK399" s="687" t="s">
        <v>2751</v>
      </c>
      <c r="AL399" s="307">
        <v>398.0</v>
      </c>
      <c r="AN399" s="687" t="s">
        <v>2473</v>
      </c>
      <c r="AO399" s="307">
        <v>398.0</v>
      </c>
      <c r="AQ399" s="694" t="s">
        <v>2509</v>
      </c>
      <c r="AR399" s="307">
        <v>398.0</v>
      </c>
      <c r="AU399" s="307">
        <v>398.0</v>
      </c>
      <c r="AW399" s="687" t="s">
        <v>2413</v>
      </c>
      <c r="AX399" s="307">
        <v>398.0</v>
      </c>
      <c r="AZ399" s="694" t="s">
        <v>2509</v>
      </c>
      <c r="BA399" s="307">
        <v>398.0</v>
      </c>
      <c r="BC399" s="691" t="s">
        <v>2465</v>
      </c>
      <c r="BD399" s="307">
        <v>398.0</v>
      </c>
      <c r="BF399" s="687" t="s">
        <v>2810</v>
      </c>
      <c r="BG399" s="145">
        <v>398.0</v>
      </c>
      <c r="BI399" s="688" t="s">
        <v>2811</v>
      </c>
      <c r="BJ399" s="145">
        <v>398.0</v>
      </c>
      <c r="BL399" s="692" t="s">
        <v>2505</v>
      </c>
      <c r="BM399" s="216">
        <v>398.0</v>
      </c>
    </row>
    <row r="400">
      <c r="A400" s="41" t="s">
        <v>2460</v>
      </c>
      <c r="B400" s="307">
        <v>399.0</v>
      </c>
      <c r="C400" s="41"/>
      <c r="D400" s="41" t="s">
        <v>2756</v>
      </c>
      <c r="E400" s="307">
        <v>399.0</v>
      </c>
      <c r="F400" s="41"/>
      <c r="G400" s="41" t="s">
        <v>2806</v>
      </c>
      <c r="H400" s="307">
        <v>399.0</v>
      </c>
      <c r="I400" s="41"/>
      <c r="J400" s="41" t="s">
        <v>2819</v>
      </c>
      <c r="K400" s="307">
        <v>399.0</v>
      </c>
      <c r="L400" s="41"/>
      <c r="M400" s="41" t="s">
        <v>2463</v>
      </c>
      <c r="N400" s="307">
        <v>399.0</v>
      </c>
      <c r="O400" s="41"/>
      <c r="P400" s="41" t="s">
        <v>2766</v>
      </c>
      <c r="Q400" s="307">
        <v>399.0</v>
      </c>
      <c r="R400" s="41"/>
      <c r="S400" s="41" t="s">
        <v>2520</v>
      </c>
      <c r="T400" s="307">
        <v>399.0</v>
      </c>
      <c r="U400" s="41"/>
      <c r="V400" s="41"/>
      <c r="W400" s="307">
        <v>399.0</v>
      </c>
      <c r="X400" s="41"/>
      <c r="Y400" s="682" t="s">
        <v>2468</v>
      </c>
      <c r="Z400" s="307">
        <v>399.0</v>
      </c>
      <c r="AA400" s="41"/>
      <c r="AB400" s="41" t="s">
        <v>2338</v>
      </c>
      <c r="AC400" s="307">
        <v>399.0</v>
      </c>
      <c r="AD400" s="79"/>
      <c r="AF400" s="307">
        <v>399.0</v>
      </c>
      <c r="AH400" s="687" t="s">
        <v>2747</v>
      </c>
      <c r="AI400" s="307">
        <v>399.0</v>
      </c>
      <c r="AK400" s="687" t="s">
        <v>2707</v>
      </c>
      <c r="AL400" s="307">
        <v>399.0</v>
      </c>
      <c r="AN400" s="687" t="s">
        <v>2795</v>
      </c>
      <c r="AO400" s="307">
        <v>399.0</v>
      </c>
      <c r="AQ400" s="687" t="s">
        <v>2413</v>
      </c>
      <c r="AR400" s="307">
        <v>399.0</v>
      </c>
      <c r="AU400" s="307">
        <v>399.0</v>
      </c>
      <c r="AW400" s="687" t="s">
        <v>2803</v>
      </c>
      <c r="AX400" s="307">
        <v>399.0</v>
      </c>
      <c r="AZ400" s="687" t="s">
        <v>2240</v>
      </c>
      <c r="BA400" s="307">
        <v>399.0</v>
      </c>
      <c r="BC400" s="691" t="s">
        <v>2314</v>
      </c>
      <c r="BD400" s="307">
        <v>399.0</v>
      </c>
      <c r="BF400" s="687" t="s">
        <v>2465</v>
      </c>
      <c r="BG400" s="145">
        <v>399.0</v>
      </c>
      <c r="BI400" s="688" t="s">
        <v>2672</v>
      </c>
      <c r="BJ400" s="145">
        <v>399.0</v>
      </c>
      <c r="BL400" s="692" t="s">
        <v>2442</v>
      </c>
      <c r="BM400" s="216">
        <v>399.0</v>
      </c>
    </row>
    <row r="401">
      <c r="A401" s="41" t="s">
        <v>2461</v>
      </c>
      <c r="B401" s="307">
        <v>400.0</v>
      </c>
      <c r="C401" s="41"/>
      <c r="D401" s="41" t="s">
        <v>2487</v>
      </c>
      <c r="E401" s="307">
        <v>400.0</v>
      </c>
      <c r="F401" s="41"/>
      <c r="G401" s="41" t="s">
        <v>2475</v>
      </c>
      <c r="H401" s="307">
        <v>400.0</v>
      </c>
      <c r="I401" s="41"/>
      <c r="J401" s="41" t="s">
        <v>920</v>
      </c>
      <c r="K401" s="307">
        <v>400.0</v>
      </c>
      <c r="L401" s="41"/>
      <c r="M401" s="41" t="s">
        <v>2773</v>
      </c>
      <c r="N401" s="307">
        <v>400.0</v>
      </c>
      <c r="O401" s="41"/>
      <c r="P401" s="41" t="s">
        <v>2721</v>
      </c>
      <c r="Q401" s="307">
        <v>400.0</v>
      </c>
      <c r="R401" s="41"/>
      <c r="S401" s="41" t="s">
        <v>2789</v>
      </c>
      <c r="T401" s="307">
        <v>400.0</v>
      </c>
      <c r="U401" s="41"/>
      <c r="V401" s="41"/>
      <c r="W401" s="307">
        <v>400.0</v>
      </c>
      <c r="X401" s="41"/>
      <c r="Y401" s="698" t="s">
        <v>2776</v>
      </c>
      <c r="Z401" s="307">
        <v>400.0</v>
      </c>
      <c r="AA401" s="41"/>
      <c r="AB401" s="41" t="s">
        <v>2796</v>
      </c>
      <c r="AC401" s="307">
        <v>400.0</v>
      </c>
      <c r="AD401" s="79"/>
      <c r="AF401" s="307">
        <v>400.0</v>
      </c>
      <c r="AH401" s="687" t="s">
        <v>2436</v>
      </c>
      <c r="AI401" s="307">
        <v>400.0</v>
      </c>
      <c r="AK401" s="687" t="s">
        <v>2735</v>
      </c>
      <c r="AL401" s="307">
        <v>400.0</v>
      </c>
      <c r="AN401" s="687" t="s">
        <v>2503</v>
      </c>
      <c r="AO401" s="307">
        <v>400.0</v>
      </c>
      <c r="AQ401" s="687" t="s">
        <v>2777</v>
      </c>
      <c r="AR401" s="307">
        <v>400.0</v>
      </c>
      <c r="AU401" s="307">
        <v>400.0</v>
      </c>
      <c r="AW401" s="687" t="s">
        <v>2777</v>
      </c>
      <c r="AX401" s="307">
        <v>400.0</v>
      </c>
      <c r="AZ401" s="687" t="s">
        <v>2413</v>
      </c>
      <c r="BA401" s="307">
        <v>400.0</v>
      </c>
      <c r="BC401" s="691" t="s">
        <v>2338</v>
      </c>
      <c r="BD401" s="307">
        <v>400.0</v>
      </c>
      <c r="BF401" s="687" t="s">
        <v>2314</v>
      </c>
      <c r="BG401" s="145">
        <v>400.0</v>
      </c>
      <c r="BI401" s="688" t="s">
        <v>2814</v>
      </c>
      <c r="BJ401" s="145">
        <v>400.0</v>
      </c>
      <c r="BL401" s="692" t="s">
        <v>2820</v>
      </c>
      <c r="BM401" s="216">
        <v>400.0</v>
      </c>
    </row>
    <row r="402">
      <c r="A402" s="41"/>
      <c r="B402" s="307">
        <v>401.0</v>
      </c>
      <c r="C402" s="41"/>
      <c r="D402" s="41"/>
      <c r="E402" s="307">
        <v>401.0</v>
      </c>
      <c r="F402" s="41"/>
      <c r="G402" s="41" t="s">
        <v>2756</v>
      </c>
      <c r="H402" s="307">
        <v>401.0</v>
      </c>
      <c r="I402" s="41"/>
      <c r="J402" s="41" t="s">
        <v>2336</v>
      </c>
      <c r="K402" s="307">
        <v>401.0</v>
      </c>
      <c r="L402" s="41"/>
      <c r="M402" s="41" t="s">
        <v>2431</v>
      </c>
      <c r="N402" s="307">
        <v>401.0</v>
      </c>
      <c r="O402" s="41"/>
      <c r="P402" s="41"/>
      <c r="Q402" s="307">
        <v>401.0</v>
      </c>
      <c r="R402" s="41"/>
      <c r="S402" s="41"/>
      <c r="T402" s="307">
        <v>401.0</v>
      </c>
      <c r="U402" s="41"/>
      <c r="V402" s="41"/>
      <c r="W402" s="307">
        <v>401.0</v>
      </c>
      <c r="X402" s="41"/>
      <c r="Y402" s="716"/>
      <c r="Z402" s="307">
        <v>401.0</v>
      </c>
      <c r="AA402" s="41"/>
      <c r="AB402" s="41" t="s">
        <v>2459</v>
      </c>
      <c r="AC402" s="307">
        <v>401.0</v>
      </c>
      <c r="AD402" s="79"/>
      <c r="AF402" s="307">
        <v>401.0</v>
      </c>
      <c r="AH402" s="687" t="s">
        <v>2729</v>
      </c>
      <c r="AI402" s="307">
        <v>401.0</v>
      </c>
      <c r="AK402" s="687" t="s">
        <v>2725</v>
      </c>
      <c r="AL402" s="307">
        <v>401.0</v>
      </c>
      <c r="AN402" s="687" t="s">
        <v>2805</v>
      </c>
      <c r="AO402" s="307">
        <v>401.0</v>
      </c>
      <c r="AQ402" s="687" t="s">
        <v>2757</v>
      </c>
      <c r="AR402" s="307">
        <v>401.0</v>
      </c>
      <c r="AU402" s="307">
        <v>401.0</v>
      </c>
      <c r="AW402" s="687" t="s">
        <v>2757</v>
      </c>
      <c r="AX402" s="307">
        <v>401.0</v>
      </c>
      <c r="AZ402" s="687" t="s">
        <v>2803</v>
      </c>
      <c r="BA402" s="307">
        <v>401.0</v>
      </c>
      <c r="BC402" s="691" t="s">
        <v>2678</v>
      </c>
      <c r="BD402" s="307">
        <v>401.0</v>
      </c>
      <c r="BF402" s="687" t="s">
        <v>2338</v>
      </c>
      <c r="BG402" s="145">
        <v>401.0</v>
      </c>
      <c r="BI402" s="688" t="s">
        <v>2815</v>
      </c>
      <c r="BJ402" s="145">
        <v>401.0</v>
      </c>
      <c r="BL402" s="692" t="s">
        <v>2821</v>
      </c>
      <c r="BM402" s="216">
        <v>401.0</v>
      </c>
    </row>
    <row r="403">
      <c r="A403" s="41"/>
      <c r="B403" s="307">
        <v>402.0</v>
      </c>
      <c r="C403" s="41"/>
      <c r="D403" s="41"/>
      <c r="E403" s="307">
        <v>402.0</v>
      </c>
      <c r="F403" s="41"/>
      <c r="G403" s="41" t="s">
        <v>2487</v>
      </c>
      <c r="H403" s="307">
        <v>402.0</v>
      </c>
      <c r="I403" s="41"/>
      <c r="J403" s="41" t="s">
        <v>919</v>
      </c>
      <c r="K403" s="307">
        <v>402.0</v>
      </c>
      <c r="L403" s="41"/>
      <c r="M403" s="41" t="s">
        <v>2479</v>
      </c>
      <c r="N403" s="307">
        <v>402.0</v>
      </c>
      <c r="O403" s="41"/>
      <c r="P403" s="41"/>
      <c r="Q403" s="307">
        <v>402.0</v>
      </c>
      <c r="R403" s="41"/>
      <c r="S403" s="41"/>
      <c r="T403" s="307">
        <v>402.0</v>
      </c>
      <c r="U403" s="41"/>
      <c r="V403" s="41"/>
      <c r="W403" s="307">
        <v>402.0</v>
      </c>
      <c r="X403" s="41"/>
      <c r="Y403" s="716"/>
      <c r="Z403" s="307">
        <v>402.0</v>
      </c>
      <c r="AA403" s="41"/>
      <c r="AB403" s="41" t="s">
        <v>2741</v>
      </c>
      <c r="AC403" s="307">
        <v>402.0</v>
      </c>
      <c r="AD403" s="79"/>
      <c r="AF403" s="307">
        <v>402.0</v>
      </c>
      <c r="AH403" s="687" t="s">
        <v>2822</v>
      </c>
      <c r="AI403" s="307">
        <v>402.0</v>
      </c>
      <c r="AK403" s="687" t="s">
        <v>2754</v>
      </c>
      <c r="AL403" s="307">
        <v>402.0</v>
      </c>
      <c r="AN403" s="687" t="s">
        <v>2713</v>
      </c>
      <c r="AO403" s="307">
        <v>402.0</v>
      </c>
      <c r="AQ403" s="687" t="s">
        <v>2823</v>
      </c>
      <c r="AR403" s="307">
        <v>402.0</v>
      </c>
      <c r="AU403" s="307">
        <v>402.0</v>
      </c>
      <c r="AW403" s="687" t="s">
        <v>2823</v>
      </c>
      <c r="AX403" s="307">
        <v>402.0</v>
      </c>
      <c r="AZ403" s="687" t="s">
        <v>2777</v>
      </c>
      <c r="BA403" s="307">
        <v>402.0</v>
      </c>
      <c r="BC403" s="691" t="s">
        <v>2811</v>
      </c>
      <c r="BD403" s="307">
        <v>402.0</v>
      </c>
      <c r="BF403" s="687" t="s">
        <v>2678</v>
      </c>
      <c r="BG403" s="145">
        <v>402.0</v>
      </c>
      <c r="BI403" s="688" t="s">
        <v>2824</v>
      </c>
      <c r="BJ403" s="145">
        <v>402.0</v>
      </c>
      <c r="BL403" s="692" t="s">
        <v>2823</v>
      </c>
      <c r="BM403" s="216">
        <v>402.0</v>
      </c>
    </row>
    <row r="404">
      <c r="A404" s="41"/>
      <c r="B404" s="307">
        <v>403.0</v>
      </c>
      <c r="C404" s="41"/>
      <c r="D404" s="41"/>
      <c r="E404" s="307">
        <v>403.0</v>
      </c>
      <c r="F404" s="41"/>
      <c r="G404" s="41" t="s">
        <v>2481</v>
      </c>
      <c r="H404" s="307">
        <v>403.0</v>
      </c>
      <c r="I404" s="41"/>
      <c r="J404" s="41" t="s">
        <v>2445</v>
      </c>
      <c r="K404" s="307">
        <v>403.0</v>
      </c>
      <c r="L404" s="41"/>
      <c r="M404" s="41"/>
      <c r="N404" s="307">
        <v>403.0</v>
      </c>
      <c r="O404" s="41"/>
      <c r="P404" s="41"/>
      <c r="Q404" s="307">
        <v>403.0</v>
      </c>
      <c r="R404" s="41"/>
      <c r="S404" s="41"/>
      <c r="T404" s="307">
        <v>403.0</v>
      </c>
      <c r="U404" s="41"/>
      <c r="V404" s="41"/>
      <c r="W404" s="307">
        <v>403.0</v>
      </c>
      <c r="X404" s="41"/>
      <c r="Y404" s="716"/>
      <c r="Z404" s="307">
        <v>403.0</v>
      </c>
      <c r="AA404" s="41"/>
      <c r="AB404" s="41" t="s">
        <v>2824</v>
      </c>
      <c r="AC404" s="307">
        <v>403.0</v>
      </c>
      <c r="AD404" s="79"/>
      <c r="AF404" s="307">
        <v>403.0</v>
      </c>
      <c r="AH404" s="687" t="s">
        <v>2406</v>
      </c>
      <c r="AI404" s="307">
        <v>403.0</v>
      </c>
      <c r="AK404" s="687" t="s">
        <v>2764</v>
      </c>
      <c r="AL404" s="307">
        <v>403.0</v>
      </c>
      <c r="AN404" s="694" t="s">
        <v>2700</v>
      </c>
      <c r="AO404" s="307">
        <v>403.0</v>
      </c>
      <c r="AQ404" s="687" t="s">
        <v>2808</v>
      </c>
      <c r="AR404" s="307">
        <v>403.0</v>
      </c>
      <c r="AU404" s="307">
        <v>403.0</v>
      </c>
      <c r="AW404" s="687" t="s">
        <v>2808</v>
      </c>
      <c r="AX404" s="307">
        <v>403.0</v>
      </c>
      <c r="AZ404" s="687" t="s">
        <v>2757</v>
      </c>
      <c r="BA404" s="307">
        <v>403.0</v>
      </c>
      <c r="BC404" s="691" t="s">
        <v>2672</v>
      </c>
      <c r="BD404" s="307">
        <v>403.0</v>
      </c>
      <c r="BF404" s="687" t="s">
        <v>2811</v>
      </c>
      <c r="BG404" s="145">
        <v>403.0</v>
      </c>
      <c r="BI404" s="688" t="s">
        <v>2816</v>
      </c>
      <c r="BJ404" s="145">
        <v>403.0</v>
      </c>
      <c r="BL404" s="692" t="s">
        <v>2825</v>
      </c>
      <c r="BM404" s="216">
        <v>403.0</v>
      </c>
    </row>
    <row r="405">
      <c r="A405" s="41"/>
      <c r="B405" s="307">
        <v>404.0</v>
      </c>
      <c r="C405" s="41"/>
      <c r="D405" s="41"/>
      <c r="E405" s="307">
        <v>404.0</v>
      </c>
      <c r="F405" s="41"/>
      <c r="G405" s="41" t="s">
        <v>2760</v>
      </c>
      <c r="H405" s="307">
        <v>404.0</v>
      </c>
      <c r="I405" s="41"/>
      <c r="J405" s="41" t="s">
        <v>2457</v>
      </c>
      <c r="K405" s="307">
        <v>404.0</v>
      </c>
      <c r="L405" s="41"/>
      <c r="M405" s="41"/>
      <c r="N405" s="307">
        <v>404.0</v>
      </c>
      <c r="O405" s="41"/>
      <c r="P405" s="41"/>
      <c r="Q405" s="307">
        <v>404.0</v>
      </c>
      <c r="R405" s="41"/>
      <c r="S405" s="41"/>
      <c r="T405" s="307">
        <v>404.0</v>
      </c>
      <c r="U405" s="41"/>
      <c r="V405" s="41"/>
      <c r="W405" s="307">
        <v>404.0</v>
      </c>
      <c r="X405" s="41"/>
      <c r="Y405" s="716"/>
      <c r="Z405" s="307">
        <v>404.0</v>
      </c>
      <c r="AA405" s="41"/>
      <c r="AB405" s="41" t="s">
        <v>267</v>
      </c>
      <c r="AC405" s="307">
        <v>404.0</v>
      </c>
      <c r="AD405" s="79"/>
      <c r="AF405" s="307">
        <v>404.0</v>
      </c>
      <c r="AH405" s="687" t="s">
        <v>2326</v>
      </c>
      <c r="AI405" s="307">
        <v>404.0</v>
      </c>
      <c r="AK405" s="687" t="s">
        <v>2676</v>
      </c>
      <c r="AL405" s="307">
        <v>404.0</v>
      </c>
      <c r="AN405" s="694" t="s">
        <v>2509</v>
      </c>
      <c r="AO405" s="307">
        <v>404.0</v>
      </c>
      <c r="AQ405" s="687" t="s">
        <v>2810</v>
      </c>
      <c r="AR405" s="307">
        <v>404.0</v>
      </c>
      <c r="AU405" s="307">
        <v>404.0</v>
      </c>
      <c r="AW405" s="687" t="s">
        <v>2810</v>
      </c>
      <c r="AX405" s="307">
        <v>404.0</v>
      </c>
      <c r="AZ405" s="687" t="s">
        <v>2808</v>
      </c>
      <c r="BA405" s="307">
        <v>404.0</v>
      </c>
      <c r="BC405" s="691" t="s">
        <v>2826</v>
      </c>
      <c r="BD405" s="307">
        <v>404.0</v>
      </c>
      <c r="BF405" s="687" t="s">
        <v>2672</v>
      </c>
      <c r="BG405" s="145">
        <v>404.0</v>
      </c>
      <c r="BI405" s="688" t="s">
        <v>2784</v>
      </c>
      <c r="BJ405" s="145">
        <v>404.0</v>
      </c>
      <c r="BL405" s="692" t="s">
        <v>931</v>
      </c>
      <c r="BM405" s="216">
        <v>404.0</v>
      </c>
    </row>
    <row r="406">
      <c r="A406" s="41"/>
      <c r="B406" s="307">
        <v>405.0</v>
      </c>
      <c r="C406" s="41"/>
      <c r="D406" s="41"/>
      <c r="E406" s="307">
        <v>405.0</v>
      </c>
      <c r="F406" s="41"/>
      <c r="G406" s="41" t="s">
        <v>272</v>
      </c>
      <c r="H406" s="307">
        <v>405.0</v>
      </c>
      <c r="I406" s="41"/>
      <c r="J406" s="41" t="s">
        <v>2827</v>
      </c>
      <c r="K406" s="307">
        <v>405.0</v>
      </c>
      <c r="L406" s="41"/>
      <c r="M406" s="41"/>
      <c r="N406" s="307">
        <v>405.0</v>
      </c>
      <c r="O406" s="41"/>
      <c r="P406" s="41"/>
      <c r="Q406" s="307">
        <v>405.0</v>
      </c>
      <c r="R406" s="41"/>
      <c r="S406" s="41"/>
      <c r="T406" s="307">
        <v>405.0</v>
      </c>
      <c r="U406" s="41"/>
      <c r="V406" s="41"/>
      <c r="W406" s="307">
        <v>405.0</v>
      </c>
      <c r="X406" s="41"/>
      <c r="Y406" s="716"/>
      <c r="Z406" s="307">
        <v>405.0</v>
      </c>
      <c r="AA406" s="41"/>
      <c r="AB406" s="41" t="s">
        <v>2810</v>
      </c>
      <c r="AC406" s="307">
        <v>405.0</v>
      </c>
      <c r="AD406" s="79"/>
      <c r="AF406" s="307">
        <v>405.0</v>
      </c>
      <c r="AH406" s="687" t="s">
        <v>2730</v>
      </c>
      <c r="AI406" s="307">
        <v>405.0</v>
      </c>
      <c r="AL406" s="307">
        <v>405.0</v>
      </c>
      <c r="AN406" s="687" t="s">
        <v>2413</v>
      </c>
      <c r="AO406" s="307">
        <v>405.0</v>
      </c>
      <c r="AR406" s="307">
        <v>405.0</v>
      </c>
      <c r="AU406" s="307">
        <v>405.0</v>
      </c>
      <c r="AW406" s="687" t="s">
        <v>2465</v>
      </c>
      <c r="AX406" s="307">
        <v>405.0</v>
      </c>
      <c r="AZ406" s="687" t="s">
        <v>2810</v>
      </c>
      <c r="BA406" s="307">
        <v>405.0</v>
      </c>
      <c r="BC406" s="691" t="s">
        <v>2815</v>
      </c>
      <c r="BD406" s="307">
        <v>405.0</v>
      </c>
      <c r="BF406" s="687" t="s">
        <v>2826</v>
      </c>
      <c r="BG406" s="145">
        <v>405.0</v>
      </c>
      <c r="BI406" s="688" t="s">
        <v>2667</v>
      </c>
      <c r="BJ406" s="145">
        <v>405.0</v>
      </c>
      <c r="BL406" s="692" t="s">
        <v>2828</v>
      </c>
      <c r="BM406" s="216">
        <v>405.0</v>
      </c>
    </row>
    <row r="407">
      <c r="A407" s="41"/>
      <c r="B407" s="307">
        <v>406.0</v>
      </c>
      <c r="C407" s="41"/>
      <c r="D407" s="41"/>
      <c r="E407" s="307">
        <v>406.0</v>
      </c>
      <c r="F407" s="41"/>
      <c r="G407" s="41"/>
      <c r="H407" s="307">
        <v>406.0</v>
      </c>
      <c r="I407" s="41"/>
      <c r="J407" s="41" t="s">
        <v>2461</v>
      </c>
      <c r="K407" s="307">
        <v>406.0</v>
      </c>
      <c r="L407" s="41"/>
      <c r="M407" s="41"/>
      <c r="N407" s="307">
        <v>406.0</v>
      </c>
      <c r="O407" s="41"/>
      <c r="P407" s="41"/>
      <c r="Q407" s="307">
        <v>406.0</v>
      </c>
      <c r="R407" s="41"/>
      <c r="S407" s="41"/>
      <c r="T407" s="307">
        <v>406.0</v>
      </c>
      <c r="U407" s="41"/>
      <c r="V407" s="41"/>
      <c r="W407" s="307">
        <v>406.0</v>
      </c>
      <c r="X407" s="41"/>
      <c r="Y407" s="716"/>
      <c r="Z407" s="307">
        <v>406.0</v>
      </c>
      <c r="AA407" s="41"/>
      <c r="AB407" s="41" t="s">
        <v>2423</v>
      </c>
      <c r="AC407" s="307">
        <v>406.0</v>
      </c>
      <c r="AD407" s="79"/>
      <c r="AF407" s="307">
        <v>406.0</v>
      </c>
      <c r="AH407" s="687" t="s">
        <v>2767</v>
      </c>
      <c r="AI407" s="307">
        <v>406.0</v>
      </c>
      <c r="AL407" s="307">
        <v>406.0</v>
      </c>
      <c r="AN407" s="687" t="s">
        <v>2777</v>
      </c>
      <c r="AO407" s="307">
        <v>406.0</v>
      </c>
      <c r="AR407" s="307">
        <v>406.0</v>
      </c>
      <c r="AU407" s="307">
        <v>406.0</v>
      </c>
      <c r="AW407" s="687" t="s">
        <v>2314</v>
      </c>
      <c r="AX407" s="307">
        <v>406.0</v>
      </c>
      <c r="AZ407" s="687" t="s">
        <v>2465</v>
      </c>
      <c r="BA407" s="307">
        <v>406.0</v>
      </c>
      <c r="BC407" s="691" t="s">
        <v>2824</v>
      </c>
      <c r="BD407" s="307">
        <v>406.0</v>
      </c>
      <c r="BF407" s="687" t="s">
        <v>2815</v>
      </c>
      <c r="BG407" s="145">
        <v>406.0</v>
      </c>
      <c r="BI407" s="688" t="s">
        <v>2505</v>
      </c>
      <c r="BJ407" s="145">
        <v>406.0</v>
      </c>
      <c r="BL407" s="692" t="s">
        <v>2829</v>
      </c>
      <c r="BM407" s="216">
        <v>406.0</v>
      </c>
    </row>
    <row r="408">
      <c r="A408" s="41"/>
      <c r="B408" s="307">
        <v>407.0</v>
      </c>
      <c r="C408" s="41"/>
      <c r="D408" s="41"/>
      <c r="E408" s="307">
        <v>407.0</v>
      </c>
      <c r="F408" s="41"/>
      <c r="G408" s="41"/>
      <c r="H408" s="307">
        <v>407.0</v>
      </c>
      <c r="I408" s="41"/>
      <c r="J408" s="41"/>
      <c r="K408" s="307">
        <v>407.0</v>
      </c>
      <c r="L408" s="41"/>
      <c r="M408" s="41"/>
      <c r="N408" s="307">
        <v>407.0</v>
      </c>
      <c r="O408" s="41"/>
      <c r="P408" s="41"/>
      <c r="Q408" s="307">
        <v>407.0</v>
      </c>
      <c r="R408" s="41"/>
      <c r="S408" s="41"/>
      <c r="T408" s="307">
        <v>407.0</v>
      </c>
      <c r="U408" s="41"/>
      <c r="V408" s="41"/>
      <c r="W408" s="307">
        <v>407.0</v>
      </c>
      <c r="X408" s="41"/>
      <c r="Y408" s="716"/>
      <c r="Z408" s="307">
        <v>407.0</v>
      </c>
      <c r="AA408" s="41"/>
      <c r="AB408" s="41" t="s">
        <v>2447</v>
      </c>
      <c r="AC408" s="307">
        <v>407.0</v>
      </c>
      <c r="AD408" s="79"/>
      <c r="AF408" s="307">
        <v>407.0</v>
      </c>
      <c r="AH408" s="687" t="s">
        <v>2508</v>
      </c>
      <c r="AI408" s="307">
        <v>407.0</v>
      </c>
      <c r="AL408" s="307">
        <v>407.0</v>
      </c>
      <c r="AN408" s="687" t="s">
        <v>2757</v>
      </c>
      <c r="AO408" s="307">
        <v>407.0</v>
      </c>
      <c r="AR408" s="307">
        <v>407.0</v>
      </c>
      <c r="AU408" s="307">
        <v>407.0</v>
      </c>
      <c r="AW408" s="687" t="s">
        <v>2338</v>
      </c>
      <c r="AX408" s="307">
        <v>407.0</v>
      </c>
      <c r="AZ408" s="687" t="s">
        <v>2314</v>
      </c>
      <c r="BA408" s="307">
        <v>407.0</v>
      </c>
      <c r="BC408" s="691" t="s">
        <v>2816</v>
      </c>
      <c r="BD408" s="307">
        <v>407.0</v>
      </c>
      <c r="BF408" s="687" t="s">
        <v>2824</v>
      </c>
      <c r="BG408" s="145">
        <v>407.0</v>
      </c>
      <c r="BI408" s="688" t="s">
        <v>2442</v>
      </c>
      <c r="BJ408" s="145">
        <v>407.0</v>
      </c>
      <c r="BL408" s="692" t="s">
        <v>1141</v>
      </c>
      <c r="BM408" s="216">
        <v>407.0</v>
      </c>
    </row>
    <row r="409">
      <c r="A409" s="41"/>
      <c r="B409" s="307">
        <v>408.0</v>
      </c>
      <c r="C409" s="41"/>
      <c r="D409" s="41"/>
      <c r="E409" s="307">
        <v>408.0</v>
      </c>
      <c r="F409" s="41"/>
      <c r="G409" s="41"/>
      <c r="H409" s="307">
        <v>408.0</v>
      </c>
      <c r="I409" s="41"/>
      <c r="J409" s="41"/>
      <c r="K409" s="307">
        <v>408.0</v>
      </c>
      <c r="L409" s="41"/>
      <c r="M409" s="41"/>
      <c r="N409" s="307">
        <v>408.0</v>
      </c>
      <c r="O409" s="41"/>
      <c r="P409" s="41"/>
      <c r="Q409" s="307">
        <v>408.0</v>
      </c>
      <c r="R409" s="41"/>
      <c r="S409" s="41"/>
      <c r="T409" s="307">
        <v>408.0</v>
      </c>
      <c r="U409" s="41"/>
      <c r="V409" s="41"/>
      <c r="W409" s="307">
        <v>408.0</v>
      </c>
      <c r="X409" s="41"/>
      <c r="Y409" s="716"/>
      <c r="Z409" s="307">
        <v>408.0</v>
      </c>
      <c r="AA409" s="41"/>
      <c r="AB409" s="41" t="s">
        <v>2700</v>
      </c>
      <c r="AC409" s="307">
        <v>408.0</v>
      </c>
      <c r="AD409" s="79"/>
      <c r="AF409" s="307">
        <v>408.0</v>
      </c>
      <c r="AH409" s="687" t="s">
        <v>272</v>
      </c>
      <c r="AI409" s="307">
        <v>408.0</v>
      </c>
      <c r="AL409" s="307">
        <v>408.0</v>
      </c>
      <c r="AN409" s="687" t="s">
        <v>2823</v>
      </c>
      <c r="AO409" s="307">
        <v>408.0</v>
      </c>
      <c r="AR409" s="307">
        <v>408.0</v>
      </c>
      <c r="AU409" s="307">
        <v>408.0</v>
      </c>
      <c r="AW409" s="687" t="s">
        <v>2830</v>
      </c>
      <c r="AX409" s="307">
        <v>408.0</v>
      </c>
      <c r="AZ409" s="687" t="s">
        <v>2338</v>
      </c>
      <c r="BA409" s="307">
        <v>408.0</v>
      </c>
      <c r="BC409" s="691" t="s">
        <v>2784</v>
      </c>
      <c r="BD409" s="307">
        <v>408.0</v>
      </c>
      <c r="BF409" s="687" t="s">
        <v>2816</v>
      </c>
      <c r="BG409" s="145">
        <v>408.0</v>
      </c>
      <c r="BI409" s="688" t="s">
        <v>2825</v>
      </c>
      <c r="BJ409" s="145">
        <v>408.0</v>
      </c>
      <c r="BL409" s="692" t="s">
        <v>2315</v>
      </c>
      <c r="BM409" s="216">
        <v>408.0</v>
      </c>
    </row>
    <row r="410">
      <c r="A410" s="41"/>
      <c r="B410" s="307">
        <v>409.0</v>
      </c>
      <c r="C410" s="41"/>
      <c r="D410" s="41"/>
      <c r="E410" s="307">
        <v>409.0</v>
      </c>
      <c r="F410" s="41"/>
      <c r="G410" s="41"/>
      <c r="H410" s="307">
        <v>409.0</v>
      </c>
      <c r="I410" s="41"/>
      <c r="J410" s="41"/>
      <c r="K410" s="307">
        <v>409.0</v>
      </c>
      <c r="L410" s="41"/>
      <c r="M410" s="41"/>
      <c r="N410" s="307">
        <v>409.0</v>
      </c>
      <c r="O410" s="41"/>
      <c r="P410" s="41"/>
      <c r="Q410" s="307">
        <v>409.0</v>
      </c>
      <c r="R410" s="41"/>
      <c r="S410" s="41"/>
      <c r="T410" s="307">
        <v>409.0</v>
      </c>
      <c r="U410" s="41"/>
      <c r="V410" s="41"/>
      <c r="W410" s="307">
        <v>409.0</v>
      </c>
      <c r="X410" s="41"/>
      <c r="Y410" s="716"/>
      <c r="Z410" s="307">
        <v>409.0</v>
      </c>
      <c r="AA410" s="41"/>
      <c r="AB410" s="41" t="s">
        <v>2792</v>
      </c>
      <c r="AC410" s="307">
        <v>409.0</v>
      </c>
      <c r="AD410" s="79"/>
      <c r="AF410" s="307">
        <v>409.0</v>
      </c>
      <c r="AH410" s="687" t="s">
        <v>257</v>
      </c>
      <c r="AI410" s="307">
        <v>409.0</v>
      </c>
      <c r="AL410" s="307">
        <v>409.0</v>
      </c>
      <c r="AN410" s="687" t="s">
        <v>2808</v>
      </c>
      <c r="AO410" s="307">
        <v>409.0</v>
      </c>
      <c r="AR410" s="307">
        <v>409.0</v>
      </c>
      <c r="AU410" s="307">
        <v>409.0</v>
      </c>
      <c r="AW410" s="687" t="s">
        <v>2678</v>
      </c>
      <c r="AX410" s="307">
        <v>409.0</v>
      </c>
      <c r="AZ410" s="687" t="s">
        <v>2830</v>
      </c>
      <c r="BA410" s="307">
        <v>409.0</v>
      </c>
      <c r="BC410" s="691" t="s">
        <v>2505</v>
      </c>
      <c r="BD410" s="307">
        <v>409.0</v>
      </c>
      <c r="BF410" s="687" t="s">
        <v>2784</v>
      </c>
      <c r="BG410" s="145">
        <v>409.0</v>
      </c>
      <c r="BI410" s="688" t="s">
        <v>2820</v>
      </c>
      <c r="BJ410" s="145">
        <v>409.0</v>
      </c>
      <c r="BL410" s="692" t="s">
        <v>2732</v>
      </c>
      <c r="BM410" s="216">
        <v>409.0</v>
      </c>
    </row>
    <row r="411">
      <c r="A411" s="41"/>
      <c r="B411" s="307">
        <v>410.0</v>
      </c>
      <c r="C411" s="41"/>
      <c r="D411" s="41"/>
      <c r="E411" s="307">
        <v>410.0</v>
      </c>
      <c r="F411" s="41"/>
      <c r="G411" s="41"/>
      <c r="H411" s="307">
        <v>410.0</v>
      </c>
      <c r="I411" s="41"/>
      <c r="J411" s="41"/>
      <c r="K411" s="307">
        <v>410.0</v>
      </c>
      <c r="L411" s="41"/>
      <c r="M411" s="41"/>
      <c r="N411" s="307">
        <v>410.0</v>
      </c>
      <c r="O411" s="41"/>
      <c r="P411" s="41"/>
      <c r="Q411" s="307">
        <v>410.0</v>
      </c>
      <c r="R411" s="41"/>
      <c r="S411" s="41"/>
      <c r="T411" s="307">
        <v>410.0</v>
      </c>
      <c r="U411" s="41"/>
      <c r="V411" s="41"/>
      <c r="W411" s="307">
        <v>410.0</v>
      </c>
      <c r="X411" s="41"/>
      <c r="Y411" s="716"/>
      <c r="Z411" s="307">
        <v>410.0</v>
      </c>
      <c r="AA411" s="41"/>
      <c r="AB411" s="41" t="s">
        <v>2472</v>
      </c>
      <c r="AC411" s="307">
        <v>410.0</v>
      </c>
      <c r="AD411" s="79"/>
      <c r="AF411" s="307">
        <v>410.0</v>
      </c>
      <c r="AH411" s="687" t="s">
        <v>2755</v>
      </c>
      <c r="AI411" s="307">
        <v>410.0</v>
      </c>
      <c r="AL411" s="307">
        <v>410.0</v>
      </c>
      <c r="AN411" s="687" t="s">
        <v>2760</v>
      </c>
      <c r="AO411" s="307">
        <v>410.0</v>
      </c>
      <c r="AR411" s="307">
        <v>410.0</v>
      </c>
      <c r="AU411" s="307">
        <v>410.0</v>
      </c>
      <c r="AW411" s="687" t="s">
        <v>2811</v>
      </c>
      <c r="AX411" s="307">
        <v>410.0</v>
      </c>
      <c r="AZ411" s="687" t="s">
        <v>2678</v>
      </c>
      <c r="BA411" s="307">
        <v>410.0</v>
      </c>
      <c r="BC411" s="691" t="s">
        <v>2825</v>
      </c>
      <c r="BD411" s="307">
        <v>410.0</v>
      </c>
      <c r="BF411" s="687" t="s">
        <v>2667</v>
      </c>
      <c r="BG411" s="145">
        <v>410.0</v>
      </c>
      <c r="BI411" s="688" t="s">
        <v>2821</v>
      </c>
      <c r="BJ411" s="145">
        <v>410.0</v>
      </c>
      <c r="BL411" s="692" t="s">
        <v>2704</v>
      </c>
      <c r="BM411" s="216">
        <v>410.0</v>
      </c>
    </row>
    <row r="412">
      <c r="A412" s="41"/>
      <c r="B412" s="307">
        <v>411.0</v>
      </c>
      <c r="C412" s="41"/>
      <c r="D412" s="41"/>
      <c r="E412" s="307">
        <v>411.0</v>
      </c>
      <c r="F412" s="41"/>
      <c r="G412" s="41"/>
      <c r="H412" s="307">
        <v>411.0</v>
      </c>
      <c r="I412" s="41"/>
      <c r="J412" s="41"/>
      <c r="K412" s="307">
        <v>411.0</v>
      </c>
      <c r="L412" s="41"/>
      <c r="M412" s="41"/>
      <c r="N412" s="307">
        <v>411.0</v>
      </c>
      <c r="O412" s="41"/>
      <c r="P412" s="41"/>
      <c r="Q412" s="307">
        <v>411.0</v>
      </c>
      <c r="R412" s="41"/>
      <c r="S412" s="41"/>
      <c r="T412" s="307">
        <v>411.0</v>
      </c>
      <c r="U412" s="41"/>
      <c r="V412" s="41"/>
      <c r="W412" s="307">
        <v>411.0</v>
      </c>
      <c r="X412" s="41"/>
      <c r="Y412" s="716"/>
      <c r="Z412" s="307">
        <v>411.0</v>
      </c>
      <c r="AA412" s="41"/>
      <c r="AB412" s="41" t="s">
        <v>2429</v>
      </c>
      <c r="AC412" s="307">
        <v>411.0</v>
      </c>
      <c r="AD412" s="79"/>
      <c r="AF412" s="307">
        <v>411.0</v>
      </c>
      <c r="AI412" s="307">
        <v>411.0</v>
      </c>
      <c r="AL412" s="307">
        <v>411.0</v>
      </c>
      <c r="AN412" s="687" t="s">
        <v>2401</v>
      </c>
      <c r="AO412" s="307">
        <v>411.0</v>
      </c>
      <c r="AR412" s="307">
        <v>411.0</v>
      </c>
      <c r="AU412" s="307">
        <v>411.0</v>
      </c>
      <c r="AW412" s="687" t="s">
        <v>2672</v>
      </c>
      <c r="AX412" s="307">
        <v>411.0</v>
      </c>
      <c r="AZ412" s="687" t="s">
        <v>2811</v>
      </c>
      <c r="BA412" s="307">
        <v>411.0</v>
      </c>
      <c r="BC412" s="691" t="s">
        <v>2820</v>
      </c>
      <c r="BD412" s="307">
        <v>411.0</v>
      </c>
      <c r="BF412" s="687" t="s">
        <v>2505</v>
      </c>
      <c r="BG412" s="145">
        <v>411.0</v>
      </c>
      <c r="BI412" s="688" t="s">
        <v>2823</v>
      </c>
      <c r="BJ412" s="145">
        <v>411.0</v>
      </c>
      <c r="BL412" s="692" t="s">
        <v>2783</v>
      </c>
      <c r="BM412" s="216">
        <v>411.0</v>
      </c>
    </row>
    <row r="413">
      <c r="A413" s="41"/>
      <c r="B413" s="307">
        <v>412.0</v>
      </c>
      <c r="C413" s="41"/>
      <c r="D413" s="41"/>
      <c r="E413" s="307">
        <v>412.0</v>
      </c>
      <c r="F413" s="41"/>
      <c r="G413" s="41"/>
      <c r="H413" s="307">
        <v>412.0</v>
      </c>
      <c r="I413" s="41"/>
      <c r="J413" s="41"/>
      <c r="K413" s="307">
        <v>412.0</v>
      </c>
      <c r="L413" s="41"/>
      <c r="M413" s="41"/>
      <c r="N413" s="307">
        <v>412.0</v>
      </c>
      <c r="O413" s="41"/>
      <c r="P413" s="41"/>
      <c r="Q413" s="307">
        <v>412.0</v>
      </c>
      <c r="R413" s="41"/>
      <c r="S413" s="41"/>
      <c r="T413" s="307">
        <v>412.0</v>
      </c>
      <c r="U413" s="41"/>
      <c r="V413" s="41"/>
      <c r="W413" s="307">
        <v>412.0</v>
      </c>
      <c r="X413" s="41"/>
      <c r="Y413" s="716"/>
      <c r="Z413" s="307">
        <v>412.0</v>
      </c>
      <c r="AA413" s="41"/>
      <c r="AB413" s="41" t="s">
        <v>2809</v>
      </c>
      <c r="AC413" s="307">
        <v>412.0</v>
      </c>
      <c r="AD413" s="79"/>
      <c r="AF413" s="307">
        <v>412.0</v>
      </c>
      <c r="AI413" s="307">
        <v>412.0</v>
      </c>
      <c r="AL413" s="307">
        <v>412.0</v>
      </c>
      <c r="AO413" s="307">
        <v>412.0</v>
      </c>
      <c r="AR413" s="307">
        <v>412.0</v>
      </c>
      <c r="AU413" s="307">
        <v>412.0</v>
      </c>
      <c r="AW413" s="687" t="s">
        <v>2826</v>
      </c>
      <c r="AX413" s="307">
        <v>412.0</v>
      </c>
      <c r="AZ413" s="687" t="s">
        <v>2672</v>
      </c>
      <c r="BA413" s="307">
        <v>412.0</v>
      </c>
      <c r="BC413" s="691" t="s">
        <v>2821</v>
      </c>
      <c r="BD413" s="307">
        <v>412.0</v>
      </c>
      <c r="BF413" s="687" t="s">
        <v>2825</v>
      </c>
      <c r="BG413" s="145">
        <v>412.0</v>
      </c>
      <c r="BI413" s="688" t="s">
        <v>2828</v>
      </c>
      <c r="BJ413" s="145">
        <v>412.0</v>
      </c>
      <c r="BL413" s="692" t="s">
        <v>2456</v>
      </c>
      <c r="BM413" s="216">
        <v>412.0</v>
      </c>
    </row>
    <row r="414">
      <c r="A414" s="41"/>
      <c r="B414" s="307">
        <v>413.0</v>
      </c>
      <c r="C414" s="41"/>
      <c r="D414" s="41"/>
      <c r="E414" s="307">
        <v>413.0</v>
      </c>
      <c r="F414" s="41"/>
      <c r="G414" s="41"/>
      <c r="H414" s="307">
        <v>413.0</v>
      </c>
      <c r="I414" s="41"/>
      <c r="J414" s="41"/>
      <c r="K414" s="307">
        <v>413.0</v>
      </c>
      <c r="L414" s="41"/>
      <c r="M414" s="41"/>
      <c r="N414" s="307">
        <v>413.0</v>
      </c>
      <c r="O414" s="41"/>
      <c r="P414" s="41"/>
      <c r="Q414" s="307">
        <v>413.0</v>
      </c>
      <c r="R414" s="41"/>
      <c r="S414" s="41"/>
      <c r="T414" s="307">
        <v>413.0</v>
      </c>
      <c r="U414" s="41"/>
      <c r="V414" s="41"/>
      <c r="W414" s="307">
        <v>413.0</v>
      </c>
      <c r="X414" s="41"/>
      <c r="Y414" s="716"/>
      <c r="Z414" s="307">
        <v>413.0</v>
      </c>
      <c r="AA414" s="41"/>
      <c r="AB414" s="41" t="s">
        <v>946</v>
      </c>
      <c r="AC414" s="307">
        <v>413.0</v>
      </c>
      <c r="AD414" s="79"/>
      <c r="AF414" s="307">
        <v>413.0</v>
      </c>
      <c r="AI414" s="307">
        <v>413.0</v>
      </c>
      <c r="AL414" s="307">
        <v>413.0</v>
      </c>
      <c r="AO414" s="307">
        <v>413.0</v>
      </c>
      <c r="AR414" s="307">
        <v>413.0</v>
      </c>
      <c r="AU414" s="307">
        <v>413.0</v>
      </c>
      <c r="AW414" s="687" t="s">
        <v>2815</v>
      </c>
      <c r="AX414" s="307">
        <v>413.0</v>
      </c>
      <c r="AZ414" s="687" t="s">
        <v>2826</v>
      </c>
      <c r="BA414" s="307">
        <v>413.0</v>
      </c>
      <c r="BC414" s="691" t="s">
        <v>2823</v>
      </c>
      <c r="BD414" s="307">
        <v>413.0</v>
      </c>
      <c r="BF414" s="687" t="s">
        <v>2820</v>
      </c>
      <c r="BG414" s="145">
        <v>413.0</v>
      </c>
      <c r="BI414" s="688" t="s">
        <v>2315</v>
      </c>
      <c r="BJ414" s="145">
        <v>413.0</v>
      </c>
      <c r="BL414" s="692" t="s">
        <v>2800</v>
      </c>
      <c r="BM414" s="216">
        <v>413.0</v>
      </c>
    </row>
    <row r="415">
      <c r="A415" s="41"/>
      <c r="B415" s="307">
        <v>414.0</v>
      </c>
      <c r="C415" s="41"/>
      <c r="D415" s="41"/>
      <c r="E415" s="307">
        <v>414.0</v>
      </c>
      <c r="F415" s="41"/>
      <c r="G415" s="41"/>
      <c r="H415" s="307">
        <v>414.0</v>
      </c>
      <c r="I415" s="41"/>
      <c r="J415" s="41"/>
      <c r="K415" s="307">
        <v>414.0</v>
      </c>
      <c r="L415" s="41"/>
      <c r="M415" s="41"/>
      <c r="N415" s="307">
        <v>414.0</v>
      </c>
      <c r="O415" s="41"/>
      <c r="P415" s="41"/>
      <c r="Q415" s="307">
        <v>414.0</v>
      </c>
      <c r="R415" s="41"/>
      <c r="S415" s="41"/>
      <c r="T415" s="307">
        <v>414.0</v>
      </c>
      <c r="U415" s="41"/>
      <c r="V415" s="41"/>
      <c r="W415" s="307">
        <v>414.0</v>
      </c>
      <c r="X415" s="41"/>
      <c r="Y415" s="716"/>
      <c r="Z415" s="307">
        <v>414.0</v>
      </c>
      <c r="AA415" s="41"/>
      <c r="AB415" s="41" t="s">
        <v>238</v>
      </c>
      <c r="AC415" s="307">
        <v>414.0</v>
      </c>
      <c r="AD415" s="79"/>
      <c r="AF415" s="307">
        <v>414.0</v>
      </c>
      <c r="AI415" s="307">
        <v>414.0</v>
      </c>
      <c r="AL415" s="307">
        <v>414.0</v>
      </c>
      <c r="AO415" s="307">
        <v>414.0</v>
      </c>
      <c r="AR415" s="307">
        <v>414.0</v>
      </c>
      <c r="AU415" s="307">
        <v>414.0</v>
      </c>
      <c r="AX415" s="307">
        <v>414.0</v>
      </c>
      <c r="AZ415" s="687" t="s">
        <v>2815</v>
      </c>
      <c r="BA415" s="307">
        <v>414.0</v>
      </c>
      <c r="BC415" s="691" t="s">
        <v>2828</v>
      </c>
      <c r="BD415" s="307">
        <v>414.0</v>
      </c>
      <c r="BF415" s="687" t="s">
        <v>2821</v>
      </c>
      <c r="BG415" s="145">
        <v>414.0</v>
      </c>
      <c r="BI415" s="688" t="s">
        <v>2732</v>
      </c>
      <c r="BJ415" s="145">
        <v>414.0</v>
      </c>
      <c r="BL415" s="692" t="s">
        <v>2831</v>
      </c>
      <c r="BM415" s="216">
        <v>414.0</v>
      </c>
    </row>
    <row r="416">
      <c r="A416" s="41"/>
      <c r="B416" s="307">
        <v>415.0</v>
      </c>
      <c r="C416" s="41"/>
      <c r="D416" s="41"/>
      <c r="E416" s="307">
        <v>415.0</v>
      </c>
      <c r="F416" s="41"/>
      <c r="G416" s="41"/>
      <c r="H416" s="307">
        <v>415.0</v>
      </c>
      <c r="I416" s="41"/>
      <c r="J416" s="41"/>
      <c r="K416" s="307">
        <v>415.0</v>
      </c>
      <c r="L416" s="41"/>
      <c r="M416" s="41"/>
      <c r="N416" s="307">
        <v>415.0</v>
      </c>
      <c r="O416" s="41"/>
      <c r="P416" s="41"/>
      <c r="Q416" s="307">
        <v>415.0</v>
      </c>
      <c r="R416" s="41"/>
      <c r="S416" s="41"/>
      <c r="T416" s="307">
        <v>415.0</v>
      </c>
      <c r="U416" s="41"/>
      <c r="V416" s="41"/>
      <c r="W416" s="307">
        <v>415.0</v>
      </c>
      <c r="X416" s="41"/>
      <c r="Y416" s="716"/>
      <c r="Z416" s="307">
        <v>415.0</v>
      </c>
      <c r="AA416" s="41"/>
      <c r="AB416" s="41" t="s">
        <v>2683</v>
      </c>
      <c r="AC416" s="307">
        <v>415.0</v>
      </c>
      <c r="AD416" s="79"/>
      <c r="AF416" s="307">
        <v>415.0</v>
      </c>
      <c r="AI416" s="307">
        <v>415.0</v>
      </c>
      <c r="AL416" s="307">
        <v>415.0</v>
      </c>
      <c r="AO416" s="307">
        <v>415.0</v>
      </c>
      <c r="AR416" s="307">
        <v>415.0</v>
      </c>
      <c r="AU416" s="307">
        <v>415.0</v>
      </c>
      <c r="AX416" s="307">
        <v>415.0</v>
      </c>
      <c r="AZ416" s="687" t="s">
        <v>2816</v>
      </c>
      <c r="BA416" s="307">
        <v>415.0</v>
      </c>
      <c r="BC416" s="691" t="s">
        <v>2315</v>
      </c>
      <c r="BD416" s="307">
        <v>415.0</v>
      </c>
      <c r="BF416" s="687" t="s">
        <v>2823</v>
      </c>
      <c r="BG416" s="145">
        <v>415.0</v>
      </c>
      <c r="BI416" s="688" t="s">
        <v>2783</v>
      </c>
      <c r="BJ416" s="145">
        <v>415.0</v>
      </c>
      <c r="BL416" s="692" t="s">
        <v>2716</v>
      </c>
      <c r="BM416" s="216">
        <v>415.0</v>
      </c>
    </row>
    <row r="417">
      <c r="A417" s="41"/>
      <c r="B417" s="307">
        <v>416.0</v>
      </c>
      <c r="C417" s="41"/>
      <c r="D417" s="41"/>
      <c r="E417" s="307">
        <v>416.0</v>
      </c>
      <c r="F417" s="41"/>
      <c r="G417" s="41"/>
      <c r="H417" s="307">
        <v>416.0</v>
      </c>
      <c r="I417" s="41"/>
      <c r="J417" s="41"/>
      <c r="K417" s="307">
        <v>416.0</v>
      </c>
      <c r="L417" s="41"/>
      <c r="M417" s="41"/>
      <c r="N417" s="307">
        <v>416.0</v>
      </c>
      <c r="O417" s="41"/>
      <c r="P417" s="41"/>
      <c r="Q417" s="307">
        <v>416.0</v>
      </c>
      <c r="R417" s="41"/>
      <c r="S417" s="41"/>
      <c r="T417" s="307">
        <v>416.0</v>
      </c>
      <c r="U417" s="41"/>
      <c r="V417" s="41"/>
      <c r="W417" s="307">
        <v>416.0</v>
      </c>
      <c r="X417" s="41"/>
      <c r="Y417" s="716"/>
      <c r="Z417" s="307">
        <v>416.0</v>
      </c>
      <c r="AA417" s="41"/>
      <c r="AB417" s="41" t="s">
        <v>2450</v>
      </c>
      <c r="AC417" s="307">
        <v>416.0</v>
      </c>
      <c r="AD417" s="79"/>
      <c r="AF417" s="307">
        <v>416.0</v>
      </c>
      <c r="AI417" s="307">
        <v>416.0</v>
      </c>
      <c r="AL417" s="307">
        <v>416.0</v>
      </c>
      <c r="AO417" s="307">
        <v>416.0</v>
      </c>
      <c r="AR417" s="307">
        <v>416.0</v>
      </c>
      <c r="AU417" s="307">
        <v>416.0</v>
      </c>
      <c r="AX417" s="307">
        <v>416.0</v>
      </c>
      <c r="AZ417" s="687" t="s">
        <v>2784</v>
      </c>
      <c r="BA417" s="307">
        <v>416.0</v>
      </c>
      <c r="BC417" s="691" t="s">
        <v>2783</v>
      </c>
      <c r="BD417" s="307">
        <v>416.0</v>
      </c>
      <c r="BF417" s="687" t="s">
        <v>2828</v>
      </c>
      <c r="BG417" s="145">
        <v>416.0</v>
      </c>
      <c r="BI417" s="688" t="s">
        <v>2456</v>
      </c>
      <c r="BJ417" s="145">
        <v>416.0</v>
      </c>
      <c r="BL417" s="692" t="s">
        <v>2778</v>
      </c>
      <c r="BM417" s="216">
        <v>416.0</v>
      </c>
    </row>
    <row r="418">
      <c r="A418" s="41"/>
      <c r="B418" s="307">
        <v>417.0</v>
      </c>
      <c r="C418" s="41"/>
      <c r="D418" s="41"/>
      <c r="E418" s="307">
        <v>417.0</v>
      </c>
      <c r="F418" s="41"/>
      <c r="G418" s="41"/>
      <c r="H418" s="307">
        <v>417.0</v>
      </c>
      <c r="I418" s="41"/>
      <c r="J418" s="41"/>
      <c r="K418" s="307">
        <v>417.0</v>
      </c>
      <c r="L418" s="41"/>
      <c r="M418" s="41"/>
      <c r="N418" s="307">
        <v>417.0</v>
      </c>
      <c r="O418" s="41"/>
      <c r="P418" s="41"/>
      <c r="Q418" s="307">
        <v>417.0</v>
      </c>
      <c r="R418" s="41"/>
      <c r="S418" s="41"/>
      <c r="T418" s="307">
        <v>417.0</v>
      </c>
      <c r="U418" s="41"/>
      <c r="V418" s="41"/>
      <c r="W418" s="307">
        <v>417.0</v>
      </c>
      <c r="X418" s="41"/>
      <c r="Y418" s="716"/>
      <c r="Z418" s="307">
        <v>417.0</v>
      </c>
      <c r="AA418" s="41"/>
      <c r="AB418" s="41" t="s">
        <v>2702</v>
      </c>
      <c r="AC418" s="307">
        <v>417.0</v>
      </c>
      <c r="AD418" s="79"/>
      <c r="AF418" s="307">
        <v>417.0</v>
      </c>
      <c r="AI418" s="307">
        <v>417.0</v>
      </c>
      <c r="AL418" s="307">
        <v>417.0</v>
      </c>
      <c r="AO418" s="307">
        <v>417.0</v>
      </c>
      <c r="AR418" s="307">
        <v>417.0</v>
      </c>
      <c r="AU418" s="307">
        <v>417.0</v>
      </c>
      <c r="AX418" s="307">
        <v>417.0</v>
      </c>
      <c r="AZ418" s="687" t="s">
        <v>2821</v>
      </c>
      <c r="BA418" s="307">
        <v>417.0</v>
      </c>
      <c r="BC418" s="691" t="s">
        <v>2456</v>
      </c>
      <c r="BD418" s="307">
        <v>417.0</v>
      </c>
      <c r="BF418" s="687" t="s">
        <v>2315</v>
      </c>
      <c r="BG418" s="145">
        <v>417.0</v>
      </c>
      <c r="BI418" s="688" t="s">
        <v>2800</v>
      </c>
      <c r="BJ418" s="145">
        <v>417.0</v>
      </c>
      <c r="BL418" s="692" t="s">
        <v>2832</v>
      </c>
      <c r="BM418" s="216">
        <v>417.0</v>
      </c>
    </row>
    <row r="419">
      <c r="A419" s="41"/>
      <c r="B419" s="307">
        <v>418.0</v>
      </c>
      <c r="C419" s="41"/>
      <c r="D419" s="41"/>
      <c r="E419" s="307">
        <v>418.0</v>
      </c>
      <c r="F419" s="41"/>
      <c r="G419" s="41"/>
      <c r="H419" s="307">
        <v>418.0</v>
      </c>
      <c r="I419" s="41"/>
      <c r="J419" s="41"/>
      <c r="K419" s="307">
        <v>418.0</v>
      </c>
      <c r="L419" s="41"/>
      <c r="M419" s="41"/>
      <c r="N419" s="307">
        <v>418.0</v>
      </c>
      <c r="O419" s="41"/>
      <c r="P419" s="41"/>
      <c r="Q419" s="307">
        <v>418.0</v>
      </c>
      <c r="R419" s="41"/>
      <c r="S419" s="41"/>
      <c r="T419" s="307">
        <v>418.0</v>
      </c>
      <c r="U419" s="41"/>
      <c r="V419" s="41"/>
      <c r="W419" s="307">
        <v>418.0</v>
      </c>
      <c r="X419" s="41"/>
      <c r="Y419" s="716"/>
      <c r="Z419" s="307">
        <v>418.0</v>
      </c>
      <c r="AA419" s="41"/>
      <c r="AB419" s="41" t="s">
        <v>2732</v>
      </c>
      <c r="AC419" s="307">
        <v>418.0</v>
      </c>
      <c r="AD419" s="79"/>
      <c r="AF419" s="307">
        <v>418.0</v>
      </c>
      <c r="AI419" s="307">
        <v>418.0</v>
      </c>
      <c r="AL419" s="307">
        <v>418.0</v>
      </c>
      <c r="AO419" s="307">
        <v>418.0</v>
      </c>
      <c r="AR419" s="307">
        <v>418.0</v>
      </c>
      <c r="AU419" s="307">
        <v>418.0</v>
      </c>
      <c r="AX419" s="307">
        <v>418.0</v>
      </c>
      <c r="AZ419" s="687" t="s">
        <v>2823</v>
      </c>
      <c r="BA419" s="307">
        <v>418.0</v>
      </c>
      <c r="BC419" s="691" t="s">
        <v>2800</v>
      </c>
      <c r="BD419" s="307">
        <v>418.0</v>
      </c>
      <c r="BF419" s="687" t="s">
        <v>2732</v>
      </c>
      <c r="BG419" s="145">
        <v>418.0</v>
      </c>
      <c r="BI419" s="688" t="s">
        <v>2716</v>
      </c>
      <c r="BJ419" s="145">
        <v>418.0</v>
      </c>
      <c r="BL419" s="692" t="s">
        <v>2833</v>
      </c>
      <c r="BM419" s="216">
        <v>418.0</v>
      </c>
    </row>
    <row r="420">
      <c r="A420" s="41"/>
      <c r="B420" s="307">
        <v>419.0</v>
      </c>
      <c r="C420" s="41"/>
      <c r="D420" s="41"/>
      <c r="E420" s="307">
        <v>419.0</v>
      </c>
      <c r="F420" s="41"/>
      <c r="G420" s="41"/>
      <c r="H420" s="307">
        <v>419.0</v>
      </c>
      <c r="I420" s="41"/>
      <c r="J420" s="41"/>
      <c r="K420" s="307">
        <v>419.0</v>
      </c>
      <c r="L420" s="41"/>
      <c r="M420" s="41"/>
      <c r="N420" s="307">
        <v>419.0</v>
      </c>
      <c r="O420" s="41"/>
      <c r="P420" s="41"/>
      <c r="Q420" s="307">
        <v>419.0</v>
      </c>
      <c r="R420" s="41"/>
      <c r="S420" s="41"/>
      <c r="T420" s="307">
        <v>419.0</v>
      </c>
      <c r="U420" s="41"/>
      <c r="V420" s="41"/>
      <c r="W420" s="307">
        <v>419.0</v>
      </c>
      <c r="X420" s="41"/>
      <c r="Y420" s="716"/>
      <c r="Z420" s="307">
        <v>419.0</v>
      </c>
      <c r="AA420" s="41"/>
      <c r="AB420" s="41" t="s">
        <v>2818</v>
      </c>
      <c r="AC420" s="307">
        <v>419.0</v>
      </c>
      <c r="AD420" s="79"/>
      <c r="AF420" s="307">
        <v>419.0</v>
      </c>
      <c r="AI420" s="307">
        <v>419.0</v>
      </c>
      <c r="AL420" s="307">
        <v>419.0</v>
      </c>
      <c r="AO420" s="307">
        <v>419.0</v>
      </c>
      <c r="AR420" s="307">
        <v>419.0</v>
      </c>
      <c r="AU420" s="307">
        <v>419.0</v>
      </c>
      <c r="AX420" s="307">
        <v>419.0</v>
      </c>
      <c r="AZ420" s="687" t="s">
        <v>2828</v>
      </c>
      <c r="BA420" s="307">
        <v>419.0</v>
      </c>
      <c r="BC420" s="691" t="s">
        <v>2716</v>
      </c>
      <c r="BD420" s="307">
        <v>419.0</v>
      </c>
      <c r="BF420" s="687" t="s">
        <v>2783</v>
      </c>
      <c r="BG420" s="145">
        <v>419.0</v>
      </c>
      <c r="BI420" s="688" t="s">
        <v>2832</v>
      </c>
      <c r="BJ420" s="145">
        <v>419.0</v>
      </c>
      <c r="BL420" s="692" t="s">
        <v>1115</v>
      </c>
      <c r="BM420" s="216">
        <v>419.0</v>
      </c>
    </row>
    <row r="421">
      <c r="A421" s="41"/>
      <c r="B421" s="307">
        <v>420.0</v>
      </c>
      <c r="C421" s="41"/>
      <c r="D421" s="41"/>
      <c r="E421" s="307">
        <v>420.0</v>
      </c>
      <c r="F421" s="41"/>
      <c r="G421" s="41"/>
      <c r="H421" s="307">
        <v>420.0</v>
      </c>
      <c r="I421" s="41"/>
      <c r="J421" s="41"/>
      <c r="K421" s="307">
        <v>420.0</v>
      </c>
      <c r="L421" s="41"/>
      <c r="M421" s="41"/>
      <c r="N421" s="307">
        <v>420.0</v>
      </c>
      <c r="O421" s="41"/>
      <c r="P421" s="41"/>
      <c r="Q421" s="307">
        <v>420.0</v>
      </c>
      <c r="R421" s="41"/>
      <c r="S421" s="41"/>
      <c r="T421" s="307">
        <v>420.0</v>
      </c>
      <c r="U421" s="41"/>
      <c r="V421" s="41"/>
      <c r="W421" s="307">
        <v>420.0</v>
      </c>
      <c r="X421" s="41"/>
      <c r="Y421" s="716"/>
      <c r="Z421" s="307">
        <v>420.0</v>
      </c>
      <c r="AA421" s="41"/>
      <c r="AB421" s="41" t="s">
        <v>2731</v>
      </c>
      <c r="AC421" s="307">
        <v>420.0</v>
      </c>
      <c r="AD421" s="79"/>
      <c r="AF421" s="307">
        <v>420.0</v>
      </c>
      <c r="AI421" s="307">
        <v>420.0</v>
      </c>
      <c r="AL421" s="307">
        <v>420.0</v>
      </c>
      <c r="AO421" s="307">
        <v>420.0</v>
      </c>
      <c r="AR421" s="307">
        <v>420.0</v>
      </c>
      <c r="AU421" s="307">
        <v>420.0</v>
      </c>
      <c r="AX421" s="307">
        <v>420.0</v>
      </c>
      <c r="AZ421" s="687" t="s">
        <v>2315</v>
      </c>
      <c r="BA421" s="307">
        <v>420.0</v>
      </c>
      <c r="BC421" s="691" t="s">
        <v>2832</v>
      </c>
      <c r="BD421" s="307">
        <v>420.0</v>
      </c>
      <c r="BF421" s="687" t="s">
        <v>2456</v>
      </c>
      <c r="BG421" s="145">
        <v>420.0</v>
      </c>
      <c r="BI421" s="688" t="s">
        <v>2833</v>
      </c>
      <c r="BJ421" s="145">
        <v>420.0</v>
      </c>
      <c r="BL421" s="692" t="s">
        <v>2780</v>
      </c>
      <c r="BM421" s="216">
        <v>420.0</v>
      </c>
    </row>
    <row r="422">
      <c r="A422" s="41"/>
      <c r="B422" s="307">
        <v>421.0</v>
      </c>
      <c r="C422" s="41"/>
      <c r="D422" s="41"/>
      <c r="E422" s="307">
        <v>421.0</v>
      </c>
      <c r="F422" s="41"/>
      <c r="G422" s="41"/>
      <c r="H422" s="307">
        <v>421.0</v>
      </c>
      <c r="I422" s="41"/>
      <c r="J422" s="41"/>
      <c r="K422" s="307">
        <v>421.0</v>
      </c>
      <c r="L422" s="41"/>
      <c r="M422" s="41"/>
      <c r="N422" s="307">
        <v>421.0</v>
      </c>
      <c r="O422" s="41"/>
      <c r="P422" s="41"/>
      <c r="Q422" s="307">
        <v>421.0</v>
      </c>
      <c r="R422" s="41"/>
      <c r="S422" s="41"/>
      <c r="T422" s="307">
        <v>421.0</v>
      </c>
      <c r="U422" s="41"/>
      <c r="V422" s="41"/>
      <c r="W422" s="307">
        <v>421.0</v>
      </c>
      <c r="X422" s="41"/>
      <c r="Y422" s="716"/>
      <c r="Z422" s="307">
        <v>421.0</v>
      </c>
      <c r="AA422" s="41"/>
      <c r="AB422" s="41" t="s">
        <v>2737</v>
      </c>
      <c r="AC422" s="307">
        <v>421.0</v>
      </c>
      <c r="AD422" s="79"/>
      <c r="AF422" s="307">
        <v>421.0</v>
      </c>
      <c r="AI422" s="307">
        <v>421.0</v>
      </c>
      <c r="AL422" s="307">
        <v>421.0</v>
      </c>
      <c r="AO422" s="307">
        <v>421.0</v>
      </c>
      <c r="AR422" s="307">
        <v>421.0</v>
      </c>
      <c r="AU422" s="307">
        <v>421.0</v>
      </c>
      <c r="AX422" s="307">
        <v>421.0</v>
      </c>
      <c r="AZ422" s="687" t="s">
        <v>2783</v>
      </c>
      <c r="BA422" s="307">
        <v>421.0</v>
      </c>
      <c r="BC422" s="691" t="s">
        <v>2833</v>
      </c>
      <c r="BD422" s="307">
        <v>421.0</v>
      </c>
      <c r="BF422" s="687" t="s">
        <v>2800</v>
      </c>
      <c r="BG422" s="145">
        <v>421.0</v>
      </c>
      <c r="BI422" s="688" t="s">
        <v>1115</v>
      </c>
      <c r="BJ422" s="145">
        <v>421.0</v>
      </c>
      <c r="BL422" s="692" t="s">
        <v>2333</v>
      </c>
      <c r="BM422" s="216">
        <v>421.0</v>
      </c>
    </row>
    <row r="423">
      <c r="A423" s="41"/>
      <c r="B423" s="307">
        <v>422.0</v>
      </c>
      <c r="C423" s="41"/>
      <c r="D423" s="41"/>
      <c r="E423" s="307">
        <v>422.0</v>
      </c>
      <c r="F423" s="41"/>
      <c r="G423" s="41"/>
      <c r="H423" s="307">
        <v>422.0</v>
      </c>
      <c r="I423" s="41"/>
      <c r="J423" s="41"/>
      <c r="K423" s="307">
        <v>422.0</v>
      </c>
      <c r="L423" s="41"/>
      <c r="M423" s="41"/>
      <c r="N423" s="307">
        <v>422.0</v>
      </c>
      <c r="O423" s="41"/>
      <c r="P423" s="41"/>
      <c r="Q423" s="307">
        <v>422.0</v>
      </c>
      <c r="R423" s="41"/>
      <c r="S423" s="41"/>
      <c r="T423" s="307">
        <v>422.0</v>
      </c>
      <c r="U423" s="41"/>
      <c r="V423" s="41"/>
      <c r="W423" s="307">
        <v>422.0</v>
      </c>
      <c r="X423" s="41"/>
      <c r="Y423" s="716"/>
      <c r="Z423" s="307">
        <v>422.0</v>
      </c>
      <c r="AA423" s="41"/>
      <c r="AB423" s="41" t="s">
        <v>2804</v>
      </c>
      <c r="AC423" s="307">
        <v>422.0</v>
      </c>
      <c r="AD423" s="79"/>
      <c r="AF423" s="307">
        <v>422.0</v>
      </c>
      <c r="AI423" s="307">
        <v>422.0</v>
      </c>
      <c r="AL423" s="307">
        <v>422.0</v>
      </c>
      <c r="AO423" s="307">
        <v>422.0</v>
      </c>
      <c r="AR423" s="307">
        <v>422.0</v>
      </c>
      <c r="AU423" s="307">
        <v>422.0</v>
      </c>
      <c r="AX423" s="307">
        <v>422.0</v>
      </c>
      <c r="AZ423" s="687" t="s">
        <v>2456</v>
      </c>
      <c r="BA423" s="307">
        <v>422.0</v>
      </c>
      <c r="BC423" s="691" t="s">
        <v>1115</v>
      </c>
      <c r="BD423" s="307">
        <v>422.0</v>
      </c>
      <c r="BF423" s="687" t="s">
        <v>2716</v>
      </c>
      <c r="BG423" s="145">
        <v>422.0</v>
      </c>
      <c r="BI423" s="688" t="s">
        <v>2780</v>
      </c>
      <c r="BJ423" s="145">
        <v>422.0</v>
      </c>
      <c r="BL423" s="692" t="s">
        <v>2676</v>
      </c>
      <c r="BM423" s="216">
        <v>422.0</v>
      </c>
    </row>
    <row r="424">
      <c r="A424" s="41"/>
      <c r="B424" s="307">
        <v>423.0</v>
      </c>
      <c r="C424" s="41"/>
      <c r="D424" s="41"/>
      <c r="E424" s="307">
        <v>423.0</v>
      </c>
      <c r="F424" s="41"/>
      <c r="G424" s="41"/>
      <c r="H424" s="307">
        <v>423.0</v>
      </c>
      <c r="I424" s="41"/>
      <c r="J424" s="41"/>
      <c r="K424" s="307">
        <v>423.0</v>
      </c>
      <c r="L424" s="41"/>
      <c r="M424" s="41"/>
      <c r="N424" s="307">
        <v>423.0</v>
      </c>
      <c r="O424" s="41"/>
      <c r="P424" s="41"/>
      <c r="Q424" s="307">
        <v>423.0</v>
      </c>
      <c r="R424" s="41"/>
      <c r="S424" s="41"/>
      <c r="T424" s="307">
        <v>423.0</v>
      </c>
      <c r="U424" s="41"/>
      <c r="V424" s="41"/>
      <c r="W424" s="307">
        <v>423.0</v>
      </c>
      <c r="X424" s="41"/>
      <c r="Y424" s="716"/>
      <c r="Z424" s="307">
        <v>423.0</v>
      </c>
      <c r="AA424" s="41"/>
      <c r="AB424" s="41" t="s">
        <v>2747</v>
      </c>
      <c r="AC424" s="307">
        <v>423.0</v>
      </c>
      <c r="AD424" s="79"/>
      <c r="AF424" s="307">
        <v>423.0</v>
      </c>
      <c r="AI424" s="307">
        <v>423.0</v>
      </c>
      <c r="AL424" s="307">
        <v>423.0</v>
      </c>
      <c r="AO424" s="307">
        <v>423.0</v>
      </c>
      <c r="AR424" s="307">
        <v>423.0</v>
      </c>
      <c r="AU424" s="307">
        <v>423.0</v>
      </c>
      <c r="AX424" s="307">
        <v>423.0</v>
      </c>
      <c r="AZ424" s="687" t="s">
        <v>2800</v>
      </c>
      <c r="BA424" s="307">
        <v>423.0</v>
      </c>
      <c r="BC424" s="691" t="s">
        <v>2780</v>
      </c>
      <c r="BD424" s="307">
        <v>423.0</v>
      </c>
      <c r="BF424" s="687" t="s">
        <v>2832</v>
      </c>
      <c r="BG424" s="145">
        <v>423.0</v>
      </c>
      <c r="BI424" s="688" t="s">
        <v>2333</v>
      </c>
      <c r="BJ424" s="145">
        <v>423.0</v>
      </c>
      <c r="BL424" s="692" t="s">
        <v>2438</v>
      </c>
      <c r="BM424" s="216">
        <v>423.0</v>
      </c>
    </row>
    <row r="425">
      <c r="A425" s="41"/>
      <c r="B425" s="307">
        <v>424.0</v>
      </c>
      <c r="C425" s="41"/>
      <c r="D425" s="41"/>
      <c r="E425" s="307">
        <v>424.0</v>
      </c>
      <c r="F425" s="41"/>
      <c r="G425" s="41"/>
      <c r="H425" s="307">
        <v>424.0</v>
      </c>
      <c r="I425" s="41"/>
      <c r="J425" s="41"/>
      <c r="K425" s="307">
        <v>424.0</v>
      </c>
      <c r="L425" s="41"/>
      <c r="M425" s="41"/>
      <c r="N425" s="307">
        <v>424.0</v>
      </c>
      <c r="O425" s="41"/>
      <c r="P425" s="41"/>
      <c r="Q425" s="307">
        <v>424.0</v>
      </c>
      <c r="R425" s="41"/>
      <c r="S425" s="41"/>
      <c r="T425" s="307">
        <v>424.0</v>
      </c>
      <c r="U425" s="41"/>
      <c r="V425" s="41"/>
      <c r="W425" s="307">
        <v>424.0</v>
      </c>
      <c r="X425" s="41"/>
      <c r="Y425" s="716"/>
      <c r="Z425" s="307">
        <v>424.0</v>
      </c>
      <c r="AA425" s="41"/>
      <c r="AB425" s="41" t="s">
        <v>1137</v>
      </c>
      <c r="AC425" s="307">
        <v>424.0</v>
      </c>
      <c r="AD425" s="79"/>
      <c r="AF425" s="307">
        <v>424.0</v>
      </c>
      <c r="AI425" s="307">
        <v>424.0</v>
      </c>
      <c r="AL425" s="307">
        <v>424.0</v>
      </c>
      <c r="AO425" s="307">
        <v>424.0</v>
      </c>
      <c r="AR425" s="307">
        <v>424.0</v>
      </c>
      <c r="AU425" s="307">
        <v>424.0</v>
      </c>
      <c r="AX425" s="307">
        <v>424.0</v>
      </c>
      <c r="AZ425" s="687" t="s">
        <v>2716</v>
      </c>
      <c r="BA425" s="307">
        <v>424.0</v>
      </c>
      <c r="BC425" s="691" t="s">
        <v>2333</v>
      </c>
      <c r="BD425" s="307">
        <v>424.0</v>
      </c>
      <c r="BF425" s="687" t="s">
        <v>2833</v>
      </c>
      <c r="BG425" s="145">
        <v>424.0</v>
      </c>
      <c r="BI425" s="688" t="s">
        <v>2676</v>
      </c>
      <c r="BJ425" s="145">
        <v>424.0</v>
      </c>
      <c r="BL425" s="692" t="s">
        <v>2320</v>
      </c>
      <c r="BM425" s="216">
        <v>424.0</v>
      </c>
    </row>
    <row r="426">
      <c r="A426" s="41"/>
      <c r="B426" s="307">
        <v>425.0</v>
      </c>
      <c r="C426" s="41"/>
      <c r="D426" s="41"/>
      <c r="E426" s="307">
        <v>425.0</v>
      </c>
      <c r="F426" s="41"/>
      <c r="G426" s="41"/>
      <c r="H426" s="307">
        <v>425.0</v>
      </c>
      <c r="I426" s="41"/>
      <c r="J426" s="41"/>
      <c r="K426" s="307">
        <v>425.0</v>
      </c>
      <c r="L426" s="41"/>
      <c r="M426" s="41"/>
      <c r="N426" s="307">
        <v>425.0</v>
      </c>
      <c r="O426" s="41"/>
      <c r="P426" s="41"/>
      <c r="Q426" s="307">
        <v>425.0</v>
      </c>
      <c r="R426" s="41"/>
      <c r="S426" s="41"/>
      <c r="T426" s="307">
        <v>425.0</v>
      </c>
      <c r="U426" s="41"/>
      <c r="V426" s="41"/>
      <c r="W426" s="307">
        <v>425.0</v>
      </c>
      <c r="X426" s="41"/>
      <c r="Y426" s="716"/>
      <c r="Z426" s="307">
        <v>425.0</v>
      </c>
      <c r="AA426" s="41"/>
      <c r="AB426" s="41" t="s">
        <v>2799</v>
      </c>
      <c r="AC426" s="307">
        <v>425.0</v>
      </c>
      <c r="AD426" s="79"/>
      <c r="AF426" s="307">
        <v>425.0</v>
      </c>
      <c r="AI426" s="307">
        <v>425.0</v>
      </c>
      <c r="AL426" s="307">
        <v>425.0</v>
      </c>
      <c r="AO426" s="307">
        <v>425.0</v>
      </c>
      <c r="AR426" s="307">
        <v>425.0</v>
      </c>
      <c r="AU426" s="307">
        <v>425.0</v>
      </c>
      <c r="AX426" s="307">
        <v>425.0</v>
      </c>
      <c r="AZ426" s="687" t="s">
        <v>2438</v>
      </c>
      <c r="BA426" s="307">
        <v>425.0</v>
      </c>
      <c r="BC426" s="691" t="s">
        <v>2438</v>
      </c>
      <c r="BD426" s="307">
        <v>425.0</v>
      </c>
      <c r="BF426" s="687" t="s">
        <v>1115</v>
      </c>
      <c r="BG426" s="145">
        <v>425.0</v>
      </c>
      <c r="BI426" s="688" t="s">
        <v>2438</v>
      </c>
      <c r="BJ426" s="145">
        <v>425.0</v>
      </c>
      <c r="BL426" s="692" t="s">
        <v>2834</v>
      </c>
      <c r="BM426" s="216">
        <v>425.0</v>
      </c>
    </row>
    <row r="427">
      <c r="A427" s="41"/>
      <c r="B427" s="307">
        <v>426.0</v>
      </c>
      <c r="C427" s="41"/>
      <c r="D427" s="41"/>
      <c r="E427" s="307">
        <v>426.0</v>
      </c>
      <c r="F427" s="41"/>
      <c r="G427" s="41"/>
      <c r="H427" s="307">
        <v>426.0</v>
      </c>
      <c r="I427" s="41"/>
      <c r="J427" s="41"/>
      <c r="K427" s="307">
        <v>426.0</v>
      </c>
      <c r="L427" s="41"/>
      <c r="M427" s="41"/>
      <c r="N427" s="307">
        <v>426.0</v>
      </c>
      <c r="O427" s="41"/>
      <c r="P427" s="41"/>
      <c r="Q427" s="307">
        <v>426.0</v>
      </c>
      <c r="R427" s="41"/>
      <c r="S427" s="41"/>
      <c r="T427" s="307">
        <v>426.0</v>
      </c>
      <c r="U427" s="41"/>
      <c r="V427" s="41"/>
      <c r="W427" s="307">
        <v>426.0</v>
      </c>
      <c r="X427" s="41"/>
      <c r="Y427" s="716"/>
      <c r="Z427" s="307">
        <v>426.0</v>
      </c>
      <c r="AA427" s="41"/>
      <c r="AB427" s="41" t="s">
        <v>1247</v>
      </c>
      <c r="AC427" s="307">
        <v>426.0</v>
      </c>
      <c r="AD427" s="79"/>
      <c r="AF427" s="307">
        <v>426.0</v>
      </c>
      <c r="AI427" s="307">
        <v>426.0</v>
      </c>
      <c r="AL427" s="307">
        <v>426.0</v>
      </c>
      <c r="AO427" s="307">
        <v>426.0</v>
      </c>
      <c r="AR427" s="307">
        <v>426.0</v>
      </c>
      <c r="AU427" s="307">
        <v>426.0</v>
      </c>
      <c r="AX427" s="307">
        <v>426.0</v>
      </c>
      <c r="AZ427" s="687" t="s">
        <v>2320</v>
      </c>
      <c r="BA427" s="307">
        <v>426.0</v>
      </c>
      <c r="BC427" s="691" t="s">
        <v>2320</v>
      </c>
      <c r="BD427" s="307">
        <v>426.0</v>
      </c>
      <c r="BF427" s="687" t="s">
        <v>2780</v>
      </c>
      <c r="BG427" s="145">
        <v>426.0</v>
      </c>
      <c r="BI427" s="688" t="s">
        <v>2320</v>
      </c>
      <c r="BJ427" s="145">
        <v>426.0</v>
      </c>
      <c r="BL427" s="692" t="s">
        <v>2835</v>
      </c>
      <c r="BM427" s="216">
        <v>426.0</v>
      </c>
    </row>
    <row r="428">
      <c r="A428" s="41"/>
      <c r="B428" s="307">
        <v>427.0</v>
      </c>
      <c r="C428" s="41"/>
      <c r="D428" s="41"/>
      <c r="E428" s="307">
        <v>427.0</v>
      </c>
      <c r="F428" s="41"/>
      <c r="G428" s="41"/>
      <c r="H428" s="307">
        <v>427.0</v>
      </c>
      <c r="I428" s="41"/>
      <c r="J428" s="41"/>
      <c r="K428" s="307">
        <v>427.0</v>
      </c>
      <c r="L428" s="41"/>
      <c r="M428" s="41"/>
      <c r="N428" s="307">
        <v>427.0</v>
      </c>
      <c r="O428" s="41"/>
      <c r="P428" s="41"/>
      <c r="Q428" s="307">
        <v>427.0</v>
      </c>
      <c r="R428" s="41"/>
      <c r="S428" s="41"/>
      <c r="T428" s="307">
        <v>427.0</v>
      </c>
      <c r="U428" s="41"/>
      <c r="V428" s="41"/>
      <c r="W428" s="307">
        <v>427.0</v>
      </c>
      <c r="X428" s="41"/>
      <c r="Y428" s="716"/>
      <c r="Z428" s="307">
        <v>427.0</v>
      </c>
      <c r="AA428" s="41"/>
      <c r="AB428" s="41" t="s">
        <v>264</v>
      </c>
      <c r="AC428" s="307">
        <v>427.0</v>
      </c>
      <c r="AD428" s="79"/>
      <c r="AF428" s="307">
        <v>427.0</v>
      </c>
      <c r="AI428" s="307">
        <v>427.0</v>
      </c>
      <c r="AL428" s="307">
        <v>427.0</v>
      </c>
      <c r="AO428" s="307">
        <v>427.0</v>
      </c>
      <c r="AR428" s="307">
        <v>427.0</v>
      </c>
      <c r="AU428" s="307">
        <v>427.0</v>
      </c>
      <c r="AX428" s="307">
        <v>427.0</v>
      </c>
      <c r="AZ428" s="687" t="s">
        <v>2835</v>
      </c>
      <c r="BA428" s="307">
        <v>427.0</v>
      </c>
      <c r="BC428" s="691" t="s">
        <v>2835</v>
      </c>
      <c r="BD428" s="307">
        <v>427.0</v>
      </c>
      <c r="BF428" s="687" t="s">
        <v>2333</v>
      </c>
      <c r="BG428" s="145">
        <v>427.0</v>
      </c>
      <c r="BI428" s="688" t="s">
        <v>2834</v>
      </c>
      <c r="BJ428" s="145">
        <v>427.0</v>
      </c>
      <c r="BL428" s="692" t="s">
        <v>914</v>
      </c>
      <c r="BM428" s="216">
        <v>427.0</v>
      </c>
    </row>
    <row r="429">
      <c r="A429" s="41"/>
      <c r="C429" s="41"/>
      <c r="D429" s="41"/>
      <c r="F429" s="41"/>
      <c r="G429" s="41"/>
      <c r="I429" s="41"/>
      <c r="J429" s="41"/>
      <c r="L429" s="41"/>
      <c r="M429" s="41"/>
      <c r="O429" s="41"/>
      <c r="P429" s="41"/>
      <c r="R429" s="41"/>
      <c r="S429" s="41"/>
      <c r="U429" s="41"/>
      <c r="V429" s="41"/>
      <c r="X429" s="41"/>
      <c r="Y429" s="716"/>
      <c r="AA429" s="41"/>
      <c r="AB429" s="41" t="s">
        <v>2812</v>
      </c>
      <c r="AD429" s="79"/>
      <c r="AZ429" s="687" t="s">
        <v>914</v>
      </c>
      <c r="BF429" s="687" t="s">
        <v>2438</v>
      </c>
      <c r="BG429" s="145">
        <v>428.0</v>
      </c>
      <c r="BI429" s="688" t="s">
        <v>2835</v>
      </c>
      <c r="BJ429" s="145">
        <v>428.0</v>
      </c>
      <c r="BL429" s="692" t="s">
        <v>2836</v>
      </c>
      <c r="BM429" s="216">
        <v>428.0</v>
      </c>
    </row>
    <row r="430">
      <c r="A430" s="41"/>
      <c r="C430" s="41"/>
      <c r="D430" s="41"/>
      <c r="F430" s="41"/>
      <c r="G430" s="41"/>
      <c r="I430" s="41"/>
      <c r="J430" s="41"/>
      <c r="L430" s="41"/>
      <c r="M430" s="41"/>
      <c r="O430" s="41"/>
      <c r="P430" s="41"/>
      <c r="R430" s="41"/>
      <c r="S430" s="41"/>
      <c r="U430" s="41"/>
      <c r="V430" s="41"/>
      <c r="X430" s="41"/>
      <c r="Y430" s="716"/>
      <c r="AA430" s="41"/>
      <c r="AB430" s="41" t="s">
        <v>2413</v>
      </c>
      <c r="AD430" s="79"/>
      <c r="AZ430" s="687" t="s">
        <v>2837</v>
      </c>
      <c r="BF430" s="687" t="s">
        <v>2320</v>
      </c>
      <c r="BG430" s="145">
        <v>429.0</v>
      </c>
      <c r="BI430" s="688" t="s">
        <v>914</v>
      </c>
      <c r="BJ430" s="145">
        <v>429.0</v>
      </c>
      <c r="BL430" s="692" t="s">
        <v>2403</v>
      </c>
      <c r="BM430" s="216">
        <v>429.0</v>
      </c>
    </row>
    <row r="431">
      <c r="A431" s="41"/>
      <c r="C431" s="41"/>
      <c r="D431" s="41"/>
      <c r="F431" s="41"/>
      <c r="G431" s="41"/>
      <c r="I431" s="41"/>
      <c r="J431" s="41"/>
      <c r="L431" s="41"/>
      <c r="M431" s="41"/>
      <c r="O431" s="41"/>
      <c r="P431" s="41"/>
      <c r="R431" s="41"/>
      <c r="S431" s="41"/>
      <c r="U431" s="41"/>
      <c r="V431" s="41"/>
      <c r="X431" s="41"/>
      <c r="Y431" s="716"/>
      <c r="AA431" s="41"/>
      <c r="AB431" s="41" t="s">
        <v>2772</v>
      </c>
      <c r="AD431" s="79"/>
      <c r="AZ431" s="687" t="s">
        <v>2836</v>
      </c>
      <c r="BF431" s="687" t="s">
        <v>2835</v>
      </c>
      <c r="BG431" s="145">
        <v>430.0</v>
      </c>
      <c r="BI431" s="688" t="s">
        <v>2836</v>
      </c>
      <c r="BJ431" s="145">
        <v>430.0</v>
      </c>
      <c r="BL431" s="692" t="s">
        <v>2837</v>
      </c>
      <c r="BM431" s="216">
        <v>430.0</v>
      </c>
    </row>
    <row r="432">
      <c r="A432" s="41"/>
      <c r="C432" s="41"/>
      <c r="D432" s="41"/>
      <c r="F432" s="41"/>
      <c r="G432" s="41"/>
      <c r="I432" s="41"/>
      <c r="J432" s="41"/>
      <c r="L432" s="41"/>
      <c r="M432" s="41"/>
      <c r="O432" s="41"/>
      <c r="P432" s="41"/>
      <c r="R432" s="41"/>
      <c r="S432" s="41"/>
      <c r="U432" s="41"/>
      <c r="V432" s="41"/>
      <c r="X432" s="41"/>
      <c r="Y432" s="716"/>
      <c r="AA432" s="41"/>
      <c r="AB432" s="41" t="s">
        <v>2807</v>
      </c>
      <c r="AD432" s="79"/>
      <c r="AZ432" s="687" t="s">
        <v>2838</v>
      </c>
      <c r="BF432" s="687" t="s">
        <v>914</v>
      </c>
      <c r="BG432" s="145">
        <v>431.0</v>
      </c>
      <c r="BI432" s="688" t="s">
        <v>2403</v>
      </c>
      <c r="BJ432" s="145">
        <v>431.0</v>
      </c>
      <c r="BL432" s="692" t="s">
        <v>2838</v>
      </c>
      <c r="BM432" s="216">
        <v>431.0</v>
      </c>
    </row>
    <row r="433">
      <c r="A433" s="41"/>
      <c r="C433" s="41"/>
      <c r="D433" s="41"/>
      <c r="F433" s="41"/>
      <c r="G433" s="41"/>
      <c r="I433" s="41"/>
      <c r="J433" s="41"/>
      <c r="L433" s="41"/>
      <c r="M433" s="41"/>
      <c r="O433" s="41"/>
      <c r="P433" s="41"/>
      <c r="R433" s="41"/>
      <c r="S433" s="41"/>
      <c r="U433" s="41"/>
      <c r="V433" s="41"/>
      <c r="X433" s="41"/>
      <c r="Y433" s="716"/>
      <c r="AA433" s="41"/>
      <c r="AB433" s="41" t="s">
        <v>2839</v>
      </c>
      <c r="AD433" s="79"/>
      <c r="AZ433" s="687" t="s">
        <v>2840</v>
      </c>
      <c r="BF433" s="687" t="s">
        <v>2837</v>
      </c>
      <c r="BG433" s="145">
        <v>432.0</v>
      </c>
      <c r="BI433" s="688" t="s">
        <v>2838</v>
      </c>
      <c r="BJ433" s="145">
        <v>432.0</v>
      </c>
      <c r="BL433" s="692" t="s">
        <v>2840</v>
      </c>
      <c r="BM433" s="216">
        <v>432.0</v>
      </c>
    </row>
    <row r="434">
      <c r="A434" s="41"/>
      <c r="C434" s="41"/>
      <c r="D434" s="41"/>
      <c r="F434" s="41"/>
      <c r="G434" s="41"/>
      <c r="I434" s="41"/>
      <c r="J434" s="41"/>
      <c r="L434" s="41"/>
      <c r="M434" s="41"/>
      <c r="O434" s="41"/>
      <c r="P434" s="41"/>
      <c r="R434" s="41"/>
      <c r="S434" s="41"/>
      <c r="U434" s="41"/>
      <c r="V434" s="41"/>
      <c r="X434" s="41"/>
      <c r="Y434" s="716"/>
      <c r="AA434" s="41"/>
      <c r="AB434" s="41" t="s">
        <v>2316</v>
      </c>
      <c r="AD434" s="79"/>
      <c r="AZ434" s="687" t="s">
        <v>2841</v>
      </c>
      <c r="BF434" s="687" t="s">
        <v>2836</v>
      </c>
      <c r="BG434" s="145">
        <v>433.0</v>
      </c>
      <c r="BI434" s="688" t="s">
        <v>2840</v>
      </c>
      <c r="BJ434" s="145">
        <v>433.0</v>
      </c>
      <c r="BL434" s="692" t="s">
        <v>2418</v>
      </c>
      <c r="BM434" s="216">
        <v>433.0</v>
      </c>
    </row>
    <row r="435">
      <c r="A435" s="41"/>
      <c r="C435" s="41"/>
      <c r="D435" s="41"/>
      <c r="F435" s="41"/>
      <c r="G435" s="41"/>
      <c r="I435" s="41"/>
      <c r="J435" s="41"/>
      <c r="L435" s="41"/>
      <c r="M435" s="41"/>
      <c r="O435" s="41"/>
      <c r="P435" s="41"/>
      <c r="R435" s="41"/>
      <c r="S435" s="41"/>
      <c r="U435" s="41"/>
      <c r="V435" s="41"/>
      <c r="X435" s="41"/>
      <c r="Y435" s="716"/>
      <c r="AA435" s="41"/>
      <c r="AB435" s="41" t="s">
        <v>2842</v>
      </c>
      <c r="AD435" s="79"/>
      <c r="AZ435" s="687" t="s">
        <v>2843</v>
      </c>
      <c r="BF435" s="687" t="s">
        <v>2838</v>
      </c>
      <c r="BG435" s="145">
        <v>434.0</v>
      </c>
      <c r="BI435" s="688" t="s">
        <v>2418</v>
      </c>
      <c r="BJ435" s="145">
        <v>434.0</v>
      </c>
      <c r="BL435" s="692" t="s">
        <v>2841</v>
      </c>
      <c r="BM435" s="216">
        <v>434.0</v>
      </c>
    </row>
    <row r="436">
      <c r="A436" s="41"/>
      <c r="C436" s="41"/>
      <c r="D436" s="41"/>
      <c r="F436" s="41"/>
      <c r="G436" s="41"/>
      <c r="I436" s="41"/>
      <c r="J436" s="41"/>
      <c r="L436" s="41"/>
      <c r="M436" s="41"/>
      <c r="O436" s="41"/>
      <c r="P436" s="41"/>
      <c r="R436" s="41"/>
      <c r="S436" s="41"/>
      <c r="U436" s="41"/>
      <c r="V436" s="41"/>
      <c r="X436" s="41"/>
      <c r="Y436" s="716"/>
      <c r="AA436" s="41"/>
      <c r="AB436" s="41" t="s">
        <v>2508</v>
      </c>
      <c r="AD436" s="79"/>
      <c r="AZ436" s="687" t="s">
        <v>2844</v>
      </c>
      <c r="BF436" s="687" t="s">
        <v>2840</v>
      </c>
      <c r="BG436" s="145">
        <v>435.0</v>
      </c>
      <c r="BI436" s="688" t="s">
        <v>2841</v>
      </c>
      <c r="BJ436" s="145">
        <v>435.0</v>
      </c>
      <c r="BL436" s="692" t="s">
        <v>2843</v>
      </c>
      <c r="BM436" s="216">
        <v>435.0</v>
      </c>
    </row>
    <row r="437">
      <c r="A437" s="41"/>
      <c r="C437" s="41"/>
      <c r="D437" s="41"/>
      <c r="F437" s="41"/>
      <c r="G437" s="41"/>
      <c r="I437" s="41"/>
      <c r="J437" s="41"/>
      <c r="L437" s="41"/>
      <c r="M437" s="41"/>
      <c r="O437" s="41"/>
      <c r="P437" s="41"/>
      <c r="R437" s="41"/>
      <c r="S437" s="41"/>
      <c r="U437" s="41"/>
      <c r="V437" s="41"/>
      <c r="X437" s="41"/>
      <c r="Y437" s="716"/>
      <c r="AA437" s="41"/>
      <c r="AB437" s="41" t="s">
        <v>2845</v>
      </c>
      <c r="AD437" s="79"/>
      <c r="AZ437" s="687" t="s">
        <v>2846</v>
      </c>
      <c r="BF437" s="687" t="s">
        <v>2841</v>
      </c>
      <c r="BG437" s="145">
        <v>436.0</v>
      </c>
      <c r="BI437" s="688" t="s">
        <v>2843</v>
      </c>
      <c r="BJ437" s="145">
        <v>436.0</v>
      </c>
      <c r="BL437" s="692" t="s">
        <v>2844</v>
      </c>
      <c r="BM437" s="216">
        <v>436.0</v>
      </c>
    </row>
    <row r="438">
      <c r="A438" s="41"/>
      <c r="C438" s="41"/>
      <c r="D438" s="41"/>
      <c r="F438" s="41"/>
      <c r="G438" s="41"/>
      <c r="I438" s="41"/>
      <c r="J438" s="41"/>
      <c r="L438" s="41"/>
      <c r="M438" s="41"/>
      <c r="O438" s="41"/>
      <c r="P438" s="41"/>
      <c r="R438" s="41"/>
      <c r="S438" s="41"/>
      <c r="U438" s="41"/>
      <c r="V438" s="41"/>
      <c r="X438" s="41"/>
      <c r="Y438" s="716"/>
      <c r="AA438" s="41"/>
      <c r="AB438" s="41" t="s">
        <v>2822</v>
      </c>
      <c r="AD438" s="79"/>
      <c r="AZ438" s="687" t="s">
        <v>2847</v>
      </c>
      <c r="BF438" s="687" t="s">
        <v>2843</v>
      </c>
      <c r="BG438" s="145">
        <v>437.0</v>
      </c>
      <c r="BI438" s="688" t="s">
        <v>2844</v>
      </c>
      <c r="BJ438" s="145">
        <v>437.0</v>
      </c>
      <c r="BL438" s="692" t="s">
        <v>2846</v>
      </c>
      <c r="BM438" s="216">
        <v>437.0</v>
      </c>
    </row>
    <row r="439">
      <c r="A439" s="41"/>
      <c r="C439" s="41"/>
      <c r="D439" s="41"/>
      <c r="F439" s="41"/>
      <c r="G439" s="41"/>
      <c r="I439" s="41"/>
      <c r="J439" s="41"/>
      <c r="L439" s="41"/>
      <c r="M439" s="41"/>
      <c r="O439" s="41"/>
      <c r="P439" s="41"/>
      <c r="R439" s="41"/>
      <c r="S439" s="41"/>
      <c r="U439" s="41"/>
      <c r="V439" s="41"/>
      <c r="X439" s="41"/>
      <c r="Y439" s="716"/>
      <c r="AA439" s="41"/>
      <c r="AB439" s="41" t="s">
        <v>2475</v>
      </c>
      <c r="AD439" s="79"/>
      <c r="AZ439" s="694" t="s">
        <v>2848</v>
      </c>
      <c r="BF439" s="687" t="s">
        <v>2844</v>
      </c>
      <c r="BG439" s="145">
        <v>438.0</v>
      </c>
      <c r="BI439" s="688" t="s">
        <v>2846</v>
      </c>
      <c r="BJ439" s="145">
        <v>438.0</v>
      </c>
      <c r="BL439" s="692" t="s">
        <v>2847</v>
      </c>
      <c r="BM439" s="216">
        <v>438.0</v>
      </c>
    </row>
    <row r="440">
      <c r="A440" s="41"/>
      <c r="C440" s="41"/>
      <c r="D440" s="41"/>
      <c r="F440" s="41"/>
      <c r="G440" s="41"/>
      <c r="I440" s="41"/>
      <c r="J440" s="41"/>
      <c r="L440" s="41"/>
      <c r="M440" s="41"/>
      <c r="O440" s="41"/>
      <c r="P440" s="41"/>
      <c r="R440" s="41"/>
      <c r="S440" s="41"/>
      <c r="U440" s="41"/>
      <c r="V440" s="41"/>
      <c r="X440" s="41"/>
      <c r="Y440" s="716"/>
      <c r="AA440" s="41"/>
      <c r="AB440" s="41" t="s">
        <v>2509</v>
      </c>
      <c r="AD440" s="79"/>
      <c r="AZ440" s="687" t="s">
        <v>2457</v>
      </c>
      <c r="BF440" s="687" t="s">
        <v>2846</v>
      </c>
      <c r="BG440" s="145">
        <v>439.0</v>
      </c>
      <c r="BI440" s="688" t="s">
        <v>2847</v>
      </c>
      <c r="BJ440" s="145">
        <v>439.0</v>
      </c>
      <c r="BL440" s="692" t="s">
        <v>2337</v>
      </c>
      <c r="BM440" s="216">
        <v>439.0</v>
      </c>
    </row>
    <row r="441">
      <c r="A441" s="41"/>
      <c r="C441" s="41"/>
      <c r="D441" s="41"/>
      <c r="F441" s="41"/>
      <c r="G441" s="41"/>
      <c r="I441" s="41"/>
      <c r="J441" s="41"/>
      <c r="L441" s="41"/>
      <c r="M441" s="41"/>
      <c r="O441" s="41"/>
      <c r="P441" s="41"/>
      <c r="R441" s="41"/>
      <c r="S441" s="41"/>
      <c r="U441" s="41"/>
      <c r="V441" s="41"/>
      <c r="X441" s="41"/>
      <c r="Y441" s="716"/>
      <c r="AA441" s="41"/>
      <c r="AB441" s="705" t="s">
        <v>2434</v>
      </c>
      <c r="AD441" s="79"/>
      <c r="AZ441" s="687" t="s">
        <v>1244</v>
      </c>
      <c r="BF441" s="687" t="s">
        <v>2847</v>
      </c>
      <c r="BG441" s="145">
        <v>440.0</v>
      </c>
      <c r="BI441" s="688" t="s">
        <v>2337</v>
      </c>
      <c r="BJ441" s="145">
        <v>440.0</v>
      </c>
      <c r="BL441" s="695" t="s">
        <v>2848</v>
      </c>
      <c r="BM441" s="216">
        <v>440.0</v>
      </c>
    </row>
    <row r="442">
      <c r="A442" s="41"/>
      <c r="C442" s="41"/>
      <c r="D442" s="41"/>
      <c r="F442" s="41"/>
      <c r="G442" s="41"/>
      <c r="I442" s="41"/>
      <c r="J442" s="41"/>
      <c r="L442" s="41"/>
      <c r="M442" s="41"/>
      <c r="O442" s="41"/>
      <c r="P442" s="41"/>
      <c r="R442" s="41"/>
      <c r="S442" s="41"/>
      <c r="U442" s="41"/>
      <c r="V442" s="41"/>
      <c r="X442" s="41"/>
      <c r="Y442" s="716"/>
      <c r="AA442" s="41"/>
      <c r="AB442" s="41" t="s">
        <v>2777</v>
      </c>
      <c r="AD442" s="79"/>
      <c r="AZ442" s="687" t="s">
        <v>2849</v>
      </c>
      <c r="BF442" s="694" t="s">
        <v>2848</v>
      </c>
      <c r="BG442" s="145">
        <v>441.0</v>
      </c>
      <c r="BI442" s="696" t="s">
        <v>2848</v>
      </c>
      <c r="BJ442" s="145">
        <v>441.0</v>
      </c>
      <c r="BL442" s="692" t="s">
        <v>2457</v>
      </c>
      <c r="BM442" s="216">
        <v>441.0</v>
      </c>
    </row>
    <row r="443">
      <c r="A443" s="41"/>
      <c r="C443" s="41"/>
      <c r="D443" s="41"/>
      <c r="F443" s="41"/>
      <c r="G443" s="41"/>
      <c r="I443" s="41"/>
      <c r="J443" s="41"/>
      <c r="L443" s="41"/>
      <c r="M443" s="41"/>
      <c r="O443" s="41"/>
      <c r="P443" s="41"/>
      <c r="R443" s="41"/>
      <c r="S443" s="41"/>
      <c r="U443" s="41"/>
      <c r="V443" s="41"/>
      <c r="X443" s="41"/>
      <c r="Y443" s="716"/>
      <c r="AA443" s="41"/>
      <c r="AB443" s="41" t="s">
        <v>272</v>
      </c>
      <c r="AD443" s="79"/>
      <c r="AZ443" s="687" t="s">
        <v>2850</v>
      </c>
      <c r="BF443" s="687" t="s">
        <v>2457</v>
      </c>
      <c r="BG443" s="145">
        <v>442.0</v>
      </c>
      <c r="BI443" s="688" t="s">
        <v>2457</v>
      </c>
      <c r="BJ443" s="145">
        <v>442.0</v>
      </c>
      <c r="BL443" s="692" t="s">
        <v>2805</v>
      </c>
      <c r="BM443" s="216">
        <v>442.0</v>
      </c>
    </row>
    <row r="444">
      <c r="A444" s="41"/>
      <c r="C444" s="41"/>
      <c r="D444" s="41"/>
      <c r="F444" s="41"/>
      <c r="G444" s="41"/>
      <c r="I444" s="41"/>
      <c r="J444" s="41"/>
      <c r="L444" s="41"/>
      <c r="M444" s="41"/>
      <c r="O444" s="41"/>
      <c r="P444" s="41"/>
      <c r="R444" s="41"/>
      <c r="S444" s="41"/>
      <c r="U444" s="41"/>
      <c r="V444" s="41"/>
      <c r="X444" s="41"/>
      <c r="Y444" s="716"/>
      <c r="AA444" s="41"/>
      <c r="AB444" s="41" t="s">
        <v>2438</v>
      </c>
      <c r="AD444" s="79"/>
      <c r="AZ444" s="687" t="s">
        <v>2792</v>
      </c>
      <c r="BF444" s="687" t="s">
        <v>1244</v>
      </c>
      <c r="BG444" s="145">
        <v>443.0</v>
      </c>
      <c r="BI444" s="688" t="s">
        <v>2805</v>
      </c>
      <c r="BJ444" s="145">
        <v>443.0</v>
      </c>
      <c r="BL444" s="692" t="s">
        <v>1244</v>
      </c>
      <c r="BM444" s="216">
        <v>443.0</v>
      </c>
    </row>
    <row r="445">
      <c r="A445" s="41"/>
      <c r="C445" s="41"/>
      <c r="D445" s="41"/>
      <c r="F445" s="41"/>
      <c r="G445" s="41"/>
      <c r="I445" s="41"/>
      <c r="J445" s="41"/>
      <c r="L445" s="41"/>
      <c r="M445" s="41"/>
      <c r="O445" s="41"/>
      <c r="P445" s="41"/>
      <c r="R445" s="41"/>
      <c r="S445" s="41"/>
      <c r="U445" s="41"/>
      <c r="V445" s="41"/>
      <c r="X445" s="41"/>
      <c r="Y445" s="716"/>
      <c r="AA445" s="41"/>
      <c r="AB445" s="41" t="s">
        <v>2780</v>
      </c>
      <c r="AD445" s="79"/>
      <c r="AZ445" s="687" t="s">
        <v>2851</v>
      </c>
      <c r="BF445" s="687" t="s">
        <v>2849</v>
      </c>
      <c r="BG445" s="145">
        <v>444.0</v>
      </c>
      <c r="BI445" s="688" t="s">
        <v>1244</v>
      </c>
      <c r="BJ445" s="145">
        <v>444.0</v>
      </c>
      <c r="BL445" s="692" t="s">
        <v>2849</v>
      </c>
      <c r="BM445" s="216">
        <v>444.0</v>
      </c>
    </row>
    <row r="446">
      <c r="A446" s="41"/>
      <c r="C446" s="41"/>
      <c r="D446" s="41"/>
      <c r="F446" s="41"/>
      <c r="G446" s="41"/>
      <c r="I446" s="41"/>
      <c r="J446" s="41"/>
      <c r="L446" s="41"/>
      <c r="M446" s="41"/>
      <c r="O446" s="41"/>
      <c r="P446" s="41"/>
      <c r="R446" s="41"/>
      <c r="S446" s="41"/>
      <c r="U446" s="41"/>
      <c r="V446" s="41"/>
      <c r="X446" s="41"/>
      <c r="Y446" s="716"/>
      <c r="AA446" s="41"/>
      <c r="AB446" s="41" t="s">
        <v>257</v>
      </c>
      <c r="AD446" s="79"/>
      <c r="AZ446" s="687" t="s">
        <v>238</v>
      </c>
      <c r="BF446" s="687" t="s">
        <v>2850</v>
      </c>
      <c r="BG446" s="145">
        <v>445.0</v>
      </c>
      <c r="BI446" s="688" t="s">
        <v>2849</v>
      </c>
      <c r="BJ446" s="145">
        <v>445.0</v>
      </c>
      <c r="BL446" s="692" t="s">
        <v>2850</v>
      </c>
      <c r="BM446" s="216">
        <v>445.0</v>
      </c>
    </row>
    <row r="447">
      <c r="A447" s="41"/>
      <c r="C447" s="41"/>
      <c r="D447" s="41"/>
      <c r="F447" s="41"/>
      <c r="G447" s="41"/>
      <c r="I447" s="41"/>
      <c r="J447" s="41"/>
      <c r="L447" s="41"/>
      <c r="M447" s="41"/>
      <c r="O447" s="41"/>
      <c r="P447" s="41"/>
      <c r="R447" s="41"/>
      <c r="S447" s="41"/>
      <c r="U447" s="41"/>
      <c r="V447" s="41"/>
      <c r="X447" s="41"/>
      <c r="Y447" s="716"/>
      <c r="AA447" s="41"/>
      <c r="AB447" s="41" t="s">
        <v>2326</v>
      </c>
      <c r="AD447" s="79"/>
      <c r="AZ447" s="687" t="s">
        <v>2781</v>
      </c>
      <c r="BF447" s="687" t="s">
        <v>2792</v>
      </c>
      <c r="BG447" s="145">
        <v>446.0</v>
      </c>
      <c r="BI447" s="688" t="s">
        <v>2850</v>
      </c>
      <c r="BJ447" s="145">
        <v>446.0</v>
      </c>
      <c r="BL447" s="692" t="s">
        <v>2792</v>
      </c>
      <c r="BM447" s="216">
        <v>446.0</v>
      </c>
    </row>
    <row r="448">
      <c r="A448" s="41"/>
      <c r="C448" s="41"/>
      <c r="D448" s="41"/>
      <c r="F448" s="41"/>
      <c r="G448" s="41"/>
      <c r="I448" s="41"/>
      <c r="J448" s="41"/>
      <c r="L448" s="41"/>
      <c r="M448" s="41"/>
      <c r="O448" s="41"/>
      <c r="P448" s="41"/>
      <c r="R448" s="41"/>
      <c r="S448" s="41"/>
      <c r="U448" s="41"/>
      <c r="V448" s="41"/>
      <c r="X448" s="41"/>
      <c r="Y448" s="716"/>
      <c r="AA448" s="41"/>
      <c r="AB448" s="41" t="s">
        <v>2815</v>
      </c>
      <c r="AD448" s="79"/>
      <c r="AZ448" s="687" t="s">
        <v>2683</v>
      </c>
      <c r="BF448" s="687" t="s">
        <v>2371</v>
      </c>
      <c r="BG448" s="145">
        <v>447.0</v>
      </c>
      <c r="BI448" s="688" t="s">
        <v>2792</v>
      </c>
      <c r="BJ448" s="145">
        <v>447.0</v>
      </c>
      <c r="BL448" s="692" t="s">
        <v>2371</v>
      </c>
      <c r="BM448" s="216">
        <v>447.0</v>
      </c>
    </row>
    <row r="449">
      <c r="A449" s="41"/>
      <c r="C449" s="41"/>
      <c r="D449" s="41"/>
      <c r="F449" s="41"/>
      <c r="G449" s="41"/>
      <c r="I449" s="41"/>
      <c r="J449" s="41"/>
      <c r="L449" s="41"/>
      <c r="M449" s="41"/>
      <c r="O449" s="41"/>
      <c r="P449" s="41"/>
      <c r="R449" s="41"/>
      <c r="S449" s="41"/>
      <c r="U449" s="41"/>
      <c r="V449" s="41"/>
      <c r="X449" s="41"/>
      <c r="Y449" s="716"/>
      <c r="AA449" s="41"/>
      <c r="AB449" s="41" t="s">
        <v>2846</v>
      </c>
      <c r="AD449" s="79"/>
      <c r="AZ449" s="687" t="s">
        <v>2443</v>
      </c>
      <c r="BF449" s="687" t="s">
        <v>2851</v>
      </c>
      <c r="BG449" s="145">
        <v>448.0</v>
      </c>
      <c r="BI449" s="688" t="s">
        <v>2371</v>
      </c>
      <c r="BJ449" s="145">
        <v>448.0</v>
      </c>
      <c r="BL449" s="692" t="s">
        <v>2851</v>
      </c>
      <c r="BM449" s="216">
        <v>448.0</v>
      </c>
    </row>
    <row r="450">
      <c r="A450" s="41"/>
      <c r="C450" s="41"/>
      <c r="D450" s="41"/>
      <c r="F450" s="41"/>
      <c r="G450" s="41"/>
      <c r="I450" s="41"/>
      <c r="J450" s="41"/>
      <c r="L450" s="41"/>
      <c r="M450" s="41"/>
      <c r="O450" s="41"/>
      <c r="P450" s="41"/>
      <c r="R450" s="41"/>
      <c r="S450" s="41"/>
      <c r="U450" s="41"/>
      <c r="V450" s="41"/>
      <c r="X450" s="41"/>
      <c r="Y450" s="716"/>
      <c r="AA450" s="41"/>
      <c r="AB450" s="41" t="s">
        <v>2852</v>
      </c>
      <c r="AD450" s="79"/>
      <c r="AZ450" s="687" t="s">
        <v>2853</v>
      </c>
      <c r="BF450" s="687" t="s">
        <v>238</v>
      </c>
      <c r="BG450" s="145">
        <v>449.0</v>
      </c>
      <c r="BI450" s="688" t="s">
        <v>2851</v>
      </c>
      <c r="BJ450" s="145">
        <v>449.0</v>
      </c>
      <c r="BL450" s="692" t="s">
        <v>2683</v>
      </c>
      <c r="BM450" s="216">
        <v>449.0</v>
      </c>
    </row>
    <row r="451">
      <c r="A451" s="41"/>
      <c r="C451" s="41"/>
      <c r="D451" s="41"/>
      <c r="F451" s="41"/>
      <c r="G451" s="41"/>
      <c r="I451" s="41"/>
      <c r="J451" s="41"/>
      <c r="L451" s="41"/>
      <c r="M451" s="41"/>
      <c r="O451" s="41"/>
      <c r="P451" s="41"/>
      <c r="R451" s="41"/>
      <c r="S451" s="41"/>
      <c r="U451" s="41"/>
      <c r="V451" s="41"/>
      <c r="X451" s="41"/>
      <c r="Y451" s="716"/>
      <c r="AA451" s="41"/>
      <c r="AB451" s="41" t="s">
        <v>2806</v>
      </c>
      <c r="AD451" s="79"/>
      <c r="AZ451" s="687" t="s">
        <v>2854</v>
      </c>
      <c r="BF451" s="687" t="s">
        <v>2781</v>
      </c>
      <c r="BG451" s="145">
        <v>450.0</v>
      </c>
      <c r="BI451" s="688" t="s">
        <v>2683</v>
      </c>
      <c r="BJ451" s="145">
        <v>450.0</v>
      </c>
      <c r="BL451" s="692" t="s">
        <v>2762</v>
      </c>
      <c r="BM451" s="216">
        <v>450.0</v>
      </c>
    </row>
    <row r="452">
      <c r="A452" s="41"/>
      <c r="C452" s="41"/>
      <c r="D452" s="41"/>
      <c r="F452" s="41"/>
      <c r="G452" s="41"/>
      <c r="I452" s="41"/>
      <c r="J452" s="41"/>
      <c r="L452" s="41"/>
      <c r="M452" s="41"/>
      <c r="O452" s="41"/>
      <c r="P452" s="41"/>
      <c r="R452" s="41"/>
      <c r="S452" s="41"/>
      <c r="U452" s="41"/>
      <c r="V452" s="41"/>
      <c r="X452" s="41"/>
      <c r="Y452" s="716"/>
      <c r="AA452" s="41"/>
      <c r="AB452" s="41" t="s">
        <v>2844</v>
      </c>
      <c r="AD452" s="79"/>
      <c r="AZ452" s="687" t="s">
        <v>2855</v>
      </c>
      <c r="BF452" s="687" t="s">
        <v>2683</v>
      </c>
      <c r="BG452" s="145">
        <v>451.0</v>
      </c>
      <c r="BI452" s="688" t="s">
        <v>2856</v>
      </c>
      <c r="BJ452" s="145">
        <v>451.0</v>
      </c>
      <c r="BL452" s="692" t="s">
        <v>2293</v>
      </c>
      <c r="BM452" s="216">
        <v>451.0</v>
      </c>
    </row>
    <row r="453">
      <c r="A453" s="41"/>
      <c r="C453" s="41"/>
      <c r="D453" s="41"/>
      <c r="F453" s="41"/>
      <c r="G453" s="41"/>
      <c r="I453" s="41"/>
      <c r="J453" s="41"/>
      <c r="L453" s="41"/>
      <c r="M453" s="41"/>
      <c r="O453" s="41"/>
      <c r="P453" s="41"/>
      <c r="R453" s="41"/>
      <c r="S453" s="41"/>
      <c r="U453" s="41"/>
      <c r="V453" s="41"/>
      <c r="X453" s="41"/>
      <c r="Y453" s="716"/>
      <c r="AA453" s="41"/>
      <c r="AB453" s="41" t="s">
        <v>2344</v>
      </c>
      <c r="AD453" s="79"/>
      <c r="AZ453" s="687" t="s">
        <v>2412</v>
      </c>
      <c r="BF453" s="687" t="s">
        <v>2443</v>
      </c>
      <c r="BG453" s="145">
        <v>452.0</v>
      </c>
      <c r="BI453" s="688" t="s">
        <v>2443</v>
      </c>
      <c r="BJ453" s="145">
        <v>452.0</v>
      </c>
      <c r="BL453" s="692" t="s">
        <v>2856</v>
      </c>
      <c r="BM453" s="216">
        <v>452.0</v>
      </c>
    </row>
    <row r="454">
      <c r="A454" s="41"/>
      <c r="C454" s="41"/>
      <c r="D454" s="41"/>
      <c r="F454" s="41"/>
      <c r="G454" s="41"/>
      <c r="I454" s="41"/>
      <c r="J454" s="41"/>
      <c r="L454" s="41"/>
      <c r="M454" s="41"/>
      <c r="O454" s="41"/>
      <c r="P454" s="41"/>
      <c r="R454" s="41"/>
      <c r="S454" s="41"/>
      <c r="U454" s="41"/>
      <c r="V454" s="41"/>
      <c r="X454" s="41"/>
      <c r="Y454" s="716"/>
      <c r="AA454" s="41"/>
      <c r="AB454" s="41" t="s">
        <v>2857</v>
      </c>
      <c r="AD454" s="79"/>
      <c r="AZ454" s="687" t="s">
        <v>2858</v>
      </c>
      <c r="BF454" s="687" t="s">
        <v>2853</v>
      </c>
      <c r="BG454" s="145">
        <v>453.0</v>
      </c>
      <c r="BI454" s="688" t="s">
        <v>2853</v>
      </c>
      <c r="BJ454" s="145">
        <v>453.0</v>
      </c>
      <c r="BL454" s="692" t="s">
        <v>2443</v>
      </c>
      <c r="BM454" s="216">
        <v>453.0</v>
      </c>
    </row>
    <row r="455">
      <c r="A455" s="41"/>
      <c r="C455" s="41"/>
      <c r="D455" s="41"/>
      <c r="F455" s="41"/>
      <c r="G455" s="41"/>
      <c r="I455" s="41"/>
      <c r="J455" s="41"/>
      <c r="L455" s="41"/>
      <c r="M455" s="41"/>
      <c r="O455" s="41"/>
      <c r="P455" s="41"/>
      <c r="R455" s="41"/>
      <c r="S455" s="41"/>
      <c r="U455" s="41"/>
      <c r="V455" s="41"/>
      <c r="X455" s="41"/>
      <c r="Y455" s="716"/>
      <c r="AA455" s="41"/>
      <c r="AB455" s="41" t="s">
        <v>2763</v>
      </c>
      <c r="AD455" s="79"/>
      <c r="AZ455" s="687" t="s">
        <v>2694</v>
      </c>
      <c r="BF455" s="687" t="s">
        <v>2854</v>
      </c>
      <c r="BG455" s="145">
        <v>454.0</v>
      </c>
      <c r="BI455" s="688" t="s">
        <v>2854</v>
      </c>
      <c r="BJ455" s="145">
        <v>454.0</v>
      </c>
      <c r="BL455" s="692" t="s">
        <v>2853</v>
      </c>
      <c r="BM455" s="216">
        <v>454.0</v>
      </c>
    </row>
    <row r="456">
      <c r="A456" s="41"/>
      <c r="C456" s="41"/>
      <c r="D456" s="41"/>
      <c r="F456" s="41"/>
      <c r="G456" s="41"/>
      <c r="I456" s="41"/>
      <c r="J456" s="41"/>
      <c r="L456" s="41"/>
      <c r="M456" s="41"/>
      <c r="O456" s="41"/>
      <c r="P456" s="41"/>
      <c r="R456" s="41"/>
      <c r="S456" s="41"/>
      <c r="U456" s="41"/>
      <c r="V456" s="41"/>
      <c r="X456" s="41"/>
      <c r="Y456" s="716"/>
      <c r="AA456" s="41"/>
      <c r="AB456" s="41" t="s">
        <v>1246</v>
      </c>
      <c r="AD456" s="79"/>
      <c r="AZ456" s="687" t="s">
        <v>2403</v>
      </c>
      <c r="BF456" s="687" t="s">
        <v>2855</v>
      </c>
      <c r="BG456" s="145">
        <v>455.0</v>
      </c>
      <c r="BI456" s="688" t="s">
        <v>2855</v>
      </c>
      <c r="BJ456" s="145">
        <v>455.0</v>
      </c>
      <c r="BL456" s="692" t="s">
        <v>2854</v>
      </c>
      <c r="BM456" s="216">
        <v>455.0</v>
      </c>
    </row>
    <row r="457">
      <c r="A457" s="41"/>
      <c r="C457" s="41"/>
      <c r="D457" s="41"/>
      <c r="F457" s="41"/>
      <c r="G457" s="41"/>
      <c r="I457" s="41"/>
      <c r="J457" s="41"/>
      <c r="L457" s="41"/>
      <c r="M457" s="41"/>
      <c r="O457" s="41"/>
      <c r="P457" s="41"/>
      <c r="R457" s="41"/>
      <c r="S457" s="41"/>
      <c r="U457" s="41"/>
      <c r="V457" s="41"/>
      <c r="X457" s="41"/>
      <c r="Y457" s="716"/>
      <c r="AA457" s="41"/>
      <c r="AB457" s="41" t="s">
        <v>225</v>
      </c>
      <c r="AD457" s="79"/>
      <c r="AZ457" s="687" t="s">
        <v>2734</v>
      </c>
      <c r="BF457" s="687" t="s">
        <v>2412</v>
      </c>
      <c r="BG457" s="145">
        <v>456.0</v>
      </c>
      <c r="BI457" s="688" t="s">
        <v>2412</v>
      </c>
      <c r="BJ457" s="145">
        <v>456.0</v>
      </c>
      <c r="BL457" s="692" t="s">
        <v>2859</v>
      </c>
      <c r="BM457" s="216">
        <v>456.0</v>
      </c>
    </row>
    <row r="458">
      <c r="A458" s="41"/>
      <c r="C458" s="41"/>
      <c r="D458" s="41"/>
      <c r="F458" s="41"/>
      <c r="G458" s="41"/>
      <c r="I458" s="41"/>
      <c r="J458" s="41"/>
      <c r="L458" s="41"/>
      <c r="M458" s="41"/>
      <c r="O458" s="41"/>
      <c r="P458" s="41"/>
      <c r="R458" s="41"/>
      <c r="S458" s="41"/>
      <c r="U458" s="41"/>
      <c r="V458" s="41"/>
      <c r="X458" s="41"/>
      <c r="Y458" s="716"/>
      <c r="AA458" s="41"/>
      <c r="AB458" s="41" t="s">
        <v>2708</v>
      </c>
      <c r="AD458" s="79"/>
      <c r="AZ458" s="687" t="s">
        <v>2860</v>
      </c>
      <c r="BF458" s="687" t="s">
        <v>2858</v>
      </c>
      <c r="BG458" s="145">
        <v>457.0</v>
      </c>
      <c r="BI458" s="688" t="s">
        <v>2858</v>
      </c>
      <c r="BJ458" s="145">
        <v>457.0</v>
      </c>
      <c r="BL458" s="692" t="s">
        <v>2855</v>
      </c>
      <c r="BM458" s="216">
        <v>457.0</v>
      </c>
    </row>
    <row r="459">
      <c r="A459" s="41"/>
      <c r="C459" s="41"/>
      <c r="D459" s="41"/>
      <c r="F459" s="41"/>
      <c r="G459" s="41"/>
      <c r="I459" s="41"/>
      <c r="J459" s="41"/>
      <c r="L459" s="41"/>
      <c r="M459" s="41"/>
      <c r="O459" s="41"/>
      <c r="P459" s="41"/>
      <c r="R459" s="41"/>
      <c r="S459" s="41"/>
      <c r="U459" s="41"/>
      <c r="V459" s="41"/>
      <c r="X459" s="41"/>
      <c r="Y459" s="716"/>
      <c r="AA459" s="41"/>
      <c r="AB459" s="41" t="s">
        <v>2735</v>
      </c>
      <c r="AD459" s="79"/>
      <c r="AZ459" s="687" t="s">
        <v>2760</v>
      </c>
      <c r="BF459" s="687" t="s">
        <v>2861</v>
      </c>
      <c r="BG459" s="145">
        <v>458.0</v>
      </c>
      <c r="BI459" s="688" t="s">
        <v>2861</v>
      </c>
      <c r="BJ459" s="145">
        <v>458.0</v>
      </c>
      <c r="BL459" s="692" t="s">
        <v>2412</v>
      </c>
      <c r="BM459" s="216">
        <v>458.0</v>
      </c>
    </row>
    <row r="460">
      <c r="A460" s="41"/>
      <c r="C460" s="41"/>
      <c r="D460" s="41"/>
      <c r="F460" s="41"/>
      <c r="G460" s="41"/>
      <c r="I460" s="41"/>
      <c r="J460" s="41"/>
      <c r="L460" s="41"/>
      <c r="M460" s="41"/>
      <c r="O460" s="41"/>
      <c r="P460" s="41"/>
      <c r="R460" s="41"/>
      <c r="S460" s="41"/>
      <c r="U460" s="41"/>
      <c r="V460" s="41"/>
      <c r="X460" s="41"/>
      <c r="Y460" s="716"/>
      <c r="AA460" s="41"/>
      <c r="AB460" s="41" t="s">
        <v>2729</v>
      </c>
      <c r="AD460" s="79"/>
      <c r="AZ460" s="687" t="s">
        <v>2806</v>
      </c>
      <c r="BF460" s="687" t="s">
        <v>2694</v>
      </c>
      <c r="BG460" s="145">
        <v>459.0</v>
      </c>
      <c r="BI460" s="688" t="s">
        <v>2694</v>
      </c>
      <c r="BJ460" s="145">
        <v>459.0</v>
      </c>
      <c r="BL460" s="692" t="s">
        <v>2858</v>
      </c>
      <c r="BM460" s="216">
        <v>459.0</v>
      </c>
    </row>
    <row r="461">
      <c r="A461" s="41"/>
      <c r="C461" s="41"/>
      <c r="D461" s="41"/>
      <c r="F461" s="41"/>
      <c r="G461" s="41"/>
      <c r="I461" s="41"/>
      <c r="J461" s="41"/>
      <c r="L461" s="41"/>
      <c r="M461" s="41"/>
      <c r="O461" s="41"/>
      <c r="P461" s="41"/>
      <c r="R461" s="41"/>
      <c r="S461" s="41"/>
      <c r="U461" s="41"/>
      <c r="V461" s="41"/>
      <c r="X461" s="41"/>
      <c r="Y461" s="716"/>
      <c r="AA461" s="41"/>
      <c r="AB461" s="41" t="s">
        <v>2862</v>
      </c>
      <c r="AD461" s="79"/>
      <c r="AZ461" s="687" t="s">
        <v>2512</v>
      </c>
      <c r="BF461" s="687" t="s">
        <v>2403</v>
      </c>
      <c r="BG461" s="145">
        <v>460.0</v>
      </c>
      <c r="BI461" s="688" t="s">
        <v>2734</v>
      </c>
      <c r="BJ461" s="145">
        <v>460.0</v>
      </c>
      <c r="BL461" s="692" t="s">
        <v>2694</v>
      </c>
      <c r="BM461" s="216">
        <v>460.0</v>
      </c>
    </row>
    <row r="462">
      <c r="A462" s="41"/>
      <c r="C462" s="41"/>
      <c r="D462" s="41"/>
      <c r="F462" s="41"/>
      <c r="G462" s="41"/>
      <c r="I462" s="41"/>
      <c r="J462" s="41"/>
      <c r="L462" s="41"/>
      <c r="M462" s="41"/>
      <c r="O462" s="41"/>
      <c r="P462" s="41"/>
      <c r="R462" s="41"/>
      <c r="S462" s="41"/>
      <c r="U462" s="41"/>
      <c r="V462" s="41"/>
      <c r="X462" s="41"/>
      <c r="Y462" s="716"/>
      <c r="AA462" s="41"/>
      <c r="AB462" s="41" t="s">
        <v>2816</v>
      </c>
      <c r="AD462" s="79"/>
      <c r="AZ462" s="687" t="s">
        <v>2863</v>
      </c>
      <c r="BF462" s="687" t="s">
        <v>2734</v>
      </c>
      <c r="BG462" s="145">
        <v>461.0</v>
      </c>
      <c r="BI462" s="688" t="s">
        <v>2760</v>
      </c>
      <c r="BJ462" s="145">
        <v>461.0</v>
      </c>
      <c r="BL462" s="692" t="s">
        <v>2734</v>
      </c>
      <c r="BM462" s="216">
        <v>461.0</v>
      </c>
    </row>
    <row r="463">
      <c r="A463" s="41"/>
      <c r="C463" s="41"/>
      <c r="D463" s="41"/>
      <c r="F463" s="41"/>
      <c r="G463" s="41"/>
      <c r="I463" s="41"/>
      <c r="J463" s="41"/>
      <c r="L463" s="41"/>
      <c r="M463" s="41"/>
      <c r="O463" s="41"/>
      <c r="P463" s="41"/>
      <c r="R463" s="41"/>
      <c r="S463" s="41"/>
      <c r="U463" s="41"/>
      <c r="V463" s="41"/>
      <c r="X463" s="41"/>
      <c r="Y463" s="716"/>
      <c r="AA463" s="41"/>
      <c r="AB463" s="41" t="s">
        <v>2312</v>
      </c>
      <c r="AD463" s="79"/>
      <c r="AZ463" s="687" t="s">
        <v>2864</v>
      </c>
      <c r="BF463" s="687" t="s">
        <v>2860</v>
      </c>
      <c r="BG463" s="145">
        <v>462.0</v>
      </c>
      <c r="BI463" s="688" t="s">
        <v>2806</v>
      </c>
      <c r="BJ463" s="145">
        <v>462.0</v>
      </c>
      <c r="BL463" s="692" t="s">
        <v>2760</v>
      </c>
      <c r="BM463" s="216">
        <v>462.0</v>
      </c>
    </row>
    <row r="464">
      <c r="A464" s="41"/>
      <c r="C464" s="41"/>
      <c r="D464" s="41"/>
      <c r="F464" s="41"/>
      <c r="G464" s="41"/>
      <c r="I464" s="41"/>
      <c r="J464" s="41"/>
      <c r="L464" s="41"/>
      <c r="M464" s="41"/>
      <c r="O464" s="41"/>
      <c r="P464" s="41"/>
      <c r="R464" s="41"/>
      <c r="S464" s="41"/>
      <c r="U464" s="41"/>
      <c r="V464" s="41"/>
      <c r="X464" s="41"/>
      <c r="Y464" s="716"/>
      <c r="AA464" s="41"/>
      <c r="AB464" s="41" t="s">
        <v>2739</v>
      </c>
      <c r="AD464" s="79"/>
      <c r="AZ464" s="687" t="s">
        <v>2497</v>
      </c>
      <c r="BF464" s="687" t="s">
        <v>2760</v>
      </c>
      <c r="BG464" s="145">
        <v>463.0</v>
      </c>
      <c r="BI464" s="688" t="s">
        <v>2512</v>
      </c>
      <c r="BJ464" s="145">
        <v>463.0</v>
      </c>
      <c r="BL464" s="692" t="s">
        <v>2806</v>
      </c>
      <c r="BM464" s="216">
        <v>463.0</v>
      </c>
    </row>
    <row r="465">
      <c r="A465" s="41"/>
      <c r="C465" s="41"/>
      <c r="D465" s="41"/>
      <c r="F465" s="41"/>
      <c r="G465" s="41"/>
      <c r="I465" s="41"/>
      <c r="J465" s="41"/>
      <c r="L465" s="41"/>
      <c r="M465" s="41"/>
      <c r="O465" s="41"/>
      <c r="P465" s="41"/>
      <c r="R465" s="41"/>
      <c r="S465" s="41"/>
      <c r="U465" s="41"/>
      <c r="V465" s="41"/>
      <c r="X465" s="41"/>
      <c r="Y465" s="716"/>
      <c r="AA465" s="41"/>
      <c r="AB465" s="41" t="s">
        <v>2473</v>
      </c>
      <c r="AD465" s="79"/>
      <c r="AZ465" s="687" t="s">
        <v>2865</v>
      </c>
      <c r="BF465" s="687" t="s">
        <v>2806</v>
      </c>
      <c r="BG465" s="145">
        <v>464.0</v>
      </c>
      <c r="BI465" s="688" t="s">
        <v>2863</v>
      </c>
      <c r="BJ465" s="145">
        <v>464.0</v>
      </c>
      <c r="BL465" s="692" t="s">
        <v>2512</v>
      </c>
      <c r="BM465" s="216">
        <v>464.0</v>
      </c>
    </row>
    <row r="466">
      <c r="A466" s="41"/>
      <c r="C466" s="41"/>
      <c r="D466" s="41"/>
      <c r="F466" s="41"/>
      <c r="G466" s="41"/>
      <c r="I466" s="41"/>
      <c r="J466" s="41"/>
      <c r="L466" s="41"/>
      <c r="M466" s="41"/>
      <c r="O466" s="41"/>
      <c r="P466" s="41"/>
      <c r="R466" s="41"/>
      <c r="S466" s="41"/>
      <c r="U466" s="41"/>
      <c r="V466" s="41"/>
      <c r="X466" s="41"/>
      <c r="Y466" s="716"/>
      <c r="AA466" s="41"/>
      <c r="AB466" s="41" t="s">
        <v>2866</v>
      </c>
      <c r="AD466" s="79"/>
      <c r="AZ466" s="687" t="s">
        <v>2867</v>
      </c>
      <c r="BF466" s="687" t="s">
        <v>2512</v>
      </c>
      <c r="BG466" s="145">
        <v>465.0</v>
      </c>
      <c r="BI466" s="688" t="s">
        <v>2864</v>
      </c>
      <c r="BJ466" s="145">
        <v>465.0</v>
      </c>
      <c r="BL466" s="692" t="s">
        <v>2863</v>
      </c>
      <c r="BM466" s="216">
        <v>465.0</v>
      </c>
    </row>
    <row r="467">
      <c r="A467" s="41"/>
      <c r="C467" s="41"/>
      <c r="D467" s="41"/>
      <c r="F467" s="41"/>
      <c r="G467" s="41"/>
      <c r="I467" s="41"/>
      <c r="J467" s="41"/>
      <c r="L467" s="41"/>
      <c r="M467" s="41"/>
      <c r="O467" s="41"/>
      <c r="P467" s="41"/>
      <c r="R467" s="41"/>
      <c r="S467" s="41"/>
      <c r="U467" s="41"/>
      <c r="V467" s="41"/>
      <c r="X467" s="41"/>
      <c r="Y467" s="716"/>
      <c r="AA467" s="41"/>
      <c r="AB467" s="41" t="s">
        <v>2858</v>
      </c>
      <c r="AD467" s="79"/>
      <c r="AZ467" s="687" t="s">
        <v>2868</v>
      </c>
      <c r="BF467" s="687" t="s">
        <v>2863</v>
      </c>
      <c r="BG467" s="145">
        <v>466.0</v>
      </c>
      <c r="BI467" s="688" t="s">
        <v>2869</v>
      </c>
      <c r="BJ467" s="145">
        <v>466.0</v>
      </c>
      <c r="BL467" s="692" t="s">
        <v>2864</v>
      </c>
      <c r="BM467" s="216">
        <v>466.0</v>
      </c>
    </row>
    <row r="468">
      <c r="A468" s="41"/>
      <c r="C468" s="41"/>
      <c r="D468" s="41"/>
      <c r="F468" s="41"/>
      <c r="G468" s="41"/>
      <c r="I468" s="41"/>
      <c r="J468" s="41"/>
      <c r="L468" s="41"/>
      <c r="M468" s="41"/>
      <c r="O468" s="41"/>
      <c r="P468" s="41"/>
      <c r="R468" s="41"/>
      <c r="S468" s="41"/>
      <c r="U468" s="41"/>
      <c r="V468" s="41"/>
      <c r="X468" s="41"/>
      <c r="Y468" s="716"/>
      <c r="AA468" s="41"/>
      <c r="AB468" s="41" t="s">
        <v>2870</v>
      </c>
      <c r="AD468" s="79"/>
      <c r="AZ468" s="687" t="s">
        <v>264</v>
      </c>
      <c r="BF468" s="687" t="s">
        <v>2864</v>
      </c>
      <c r="BG468" s="145">
        <v>467.0</v>
      </c>
      <c r="BI468" s="688" t="s">
        <v>2871</v>
      </c>
      <c r="BJ468" s="145">
        <v>467.0</v>
      </c>
      <c r="BL468" s="692" t="s">
        <v>2869</v>
      </c>
      <c r="BM468" s="216">
        <v>467.0</v>
      </c>
    </row>
    <row r="469">
      <c r="A469" s="41"/>
      <c r="C469" s="41"/>
      <c r="D469" s="41"/>
      <c r="F469" s="41"/>
      <c r="G469" s="41"/>
      <c r="I469" s="41"/>
      <c r="J469" s="41"/>
      <c r="L469" s="41"/>
      <c r="M469" s="41"/>
      <c r="O469" s="41"/>
      <c r="P469" s="41"/>
      <c r="R469" s="41"/>
      <c r="S469" s="41"/>
      <c r="U469" s="41"/>
      <c r="V469" s="41"/>
      <c r="X469" s="41"/>
      <c r="Y469" s="716"/>
      <c r="AA469" s="41"/>
      <c r="AB469" s="41" t="s">
        <v>2505</v>
      </c>
      <c r="AD469" s="79"/>
      <c r="AZ469" s="687" t="s">
        <v>2872</v>
      </c>
      <c r="BF469" s="687" t="s">
        <v>2871</v>
      </c>
      <c r="BG469" s="145">
        <v>468.0</v>
      </c>
      <c r="BI469" s="688" t="s">
        <v>2497</v>
      </c>
      <c r="BJ469" s="145">
        <v>468.0</v>
      </c>
      <c r="BL469" s="692" t="s">
        <v>2871</v>
      </c>
      <c r="BM469" s="216">
        <v>468.0</v>
      </c>
    </row>
    <row r="470">
      <c r="A470" s="41"/>
      <c r="C470" s="41"/>
      <c r="D470" s="41"/>
      <c r="F470" s="41"/>
      <c r="G470" s="41"/>
      <c r="I470" s="41"/>
      <c r="J470" s="41"/>
      <c r="L470" s="41"/>
      <c r="M470" s="41"/>
      <c r="O470" s="41"/>
      <c r="P470" s="41"/>
      <c r="R470" s="41"/>
      <c r="S470" s="41"/>
      <c r="U470" s="41"/>
      <c r="V470" s="41"/>
      <c r="X470" s="41"/>
      <c r="Y470" s="716"/>
      <c r="AA470" s="41"/>
      <c r="AB470" s="41" t="s">
        <v>2800</v>
      </c>
      <c r="AD470" s="79"/>
      <c r="AZ470" s="687" t="s">
        <v>2873</v>
      </c>
      <c r="BF470" s="687" t="s">
        <v>2497</v>
      </c>
      <c r="BG470" s="145">
        <v>469.0</v>
      </c>
      <c r="BI470" s="688" t="s">
        <v>2865</v>
      </c>
      <c r="BJ470" s="145">
        <v>469.0</v>
      </c>
      <c r="BL470" s="692" t="s">
        <v>2497</v>
      </c>
      <c r="BM470" s="216">
        <v>469.0</v>
      </c>
    </row>
    <row r="471">
      <c r="A471" s="41"/>
      <c r="C471" s="41"/>
      <c r="D471" s="41"/>
      <c r="F471" s="41"/>
      <c r="G471" s="41"/>
      <c r="I471" s="41"/>
      <c r="J471" s="41"/>
      <c r="L471" s="41"/>
      <c r="M471" s="41"/>
      <c r="O471" s="41"/>
      <c r="P471" s="41"/>
      <c r="R471" s="41"/>
      <c r="S471" s="41"/>
      <c r="U471" s="41"/>
      <c r="V471" s="41"/>
      <c r="X471" s="41"/>
      <c r="Y471" s="716"/>
      <c r="AA471" s="41"/>
      <c r="AB471" s="41" t="s">
        <v>2634</v>
      </c>
      <c r="AD471" s="79"/>
      <c r="AZ471" s="687" t="s">
        <v>2874</v>
      </c>
      <c r="BF471" s="687" t="s">
        <v>2865</v>
      </c>
      <c r="BG471" s="145">
        <v>470.0</v>
      </c>
      <c r="BI471" s="688" t="s">
        <v>2867</v>
      </c>
      <c r="BJ471" s="145">
        <v>470.0</v>
      </c>
      <c r="BL471" s="692" t="s">
        <v>2865</v>
      </c>
      <c r="BM471" s="216">
        <v>470.0</v>
      </c>
    </row>
    <row r="472">
      <c r="A472" s="41"/>
      <c r="C472" s="41"/>
      <c r="D472" s="41"/>
      <c r="F472" s="41"/>
      <c r="G472" s="41"/>
      <c r="I472" s="41"/>
      <c r="J472" s="41"/>
      <c r="L472" s="41"/>
      <c r="M472" s="41"/>
      <c r="O472" s="41"/>
      <c r="P472" s="41"/>
      <c r="R472" s="41"/>
      <c r="S472" s="41"/>
      <c r="U472" s="41"/>
      <c r="V472" s="41"/>
      <c r="X472" s="41"/>
      <c r="Y472" s="716"/>
      <c r="AA472" s="41"/>
      <c r="AB472" s="41" t="s">
        <v>2775</v>
      </c>
      <c r="AD472" s="79"/>
      <c r="AZ472" s="687" t="s">
        <v>2875</v>
      </c>
      <c r="BF472" s="687" t="s">
        <v>2867</v>
      </c>
      <c r="BG472" s="145">
        <v>471.0</v>
      </c>
      <c r="BI472" s="688" t="s">
        <v>2868</v>
      </c>
      <c r="BJ472" s="145">
        <v>471.0</v>
      </c>
      <c r="BL472" s="692" t="s">
        <v>2867</v>
      </c>
      <c r="BM472" s="216">
        <v>471.0</v>
      </c>
    </row>
    <row r="473">
      <c r="A473" s="41"/>
      <c r="C473" s="41"/>
      <c r="D473" s="41"/>
      <c r="F473" s="41"/>
      <c r="G473" s="41"/>
      <c r="I473" s="41"/>
      <c r="J473" s="41"/>
      <c r="L473" s="41"/>
      <c r="M473" s="41"/>
      <c r="O473" s="41"/>
      <c r="P473" s="41"/>
      <c r="R473" s="41"/>
      <c r="S473" s="41"/>
      <c r="U473" s="41"/>
      <c r="V473" s="41"/>
      <c r="X473" s="41"/>
      <c r="Y473" s="716"/>
      <c r="AA473" s="41"/>
      <c r="AB473" s="41" t="s">
        <v>2783</v>
      </c>
      <c r="AD473" s="79"/>
      <c r="AZ473" s="687" t="s">
        <v>2876</v>
      </c>
      <c r="BF473" s="687" t="s">
        <v>2868</v>
      </c>
      <c r="BG473" s="145">
        <v>472.0</v>
      </c>
      <c r="BI473" s="688" t="s">
        <v>2877</v>
      </c>
      <c r="BJ473" s="145">
        <v>472.0</v>
      </c>
      <c r="BL473" s="692" t="s">
        <v>2868</v>
      </c>
      <c r="BM473" s="216">
        <v>472.0</v>
      </c>
    </row>
    <row r="474">
      <c r="A474" s="41"/>
      <c r="C474" s="41"/>
      <c r="D474" s="41"/>
      <c r="F474" s="41"/>
      <c r="G474" s="41"/>
      <c r="I474" s="41"/>
      <c r="J474" s="41"/>
      <c r="L474" s="41"/>
      <c r="M474" s="41"/>
      <c r="O474" s="41"/>
      <c r="P474" s="41"/>
      <c r="R474" s="41"/>
      <c r="S474" s="41"/>
      <c r="U474" s="41"/>
      <c r="V474" s="41"/>
      <c r="X474" s="41"/>
      <c r="Y474" s="716"/>
      <c r="AA474" s="41"/>
      <c r="AB474" s="41" t="s">
        <v>2694</v>
      </c>
      <c r="AD474" s="79"/>
      <c r="AZ474" s="687" t="s">
        <v>2878</v>
      </c>
      <c r="BF474" s="687" t="s">
        <v>2877</v>
      </c>
      <c r="BG474" s="145">
        <v>473.0</v>
      </c>
      <c r="BI474" s="688" t="s">
        <v>2879</v>
      </c>
      <c r="BJ474" s="145">
        <v>473.0</v>
      </c>
      <c r="BL474" s="692" t="s">
        <v>2880</v>
      </c>
      <c r="BM474" s="216">
        <v>473.0</v>
      </c>
    </row>
    <row r="475">
      <c r="A475" s="41"/>
      <c r="C475" s="41"/>
      <c r="D475" s="41"/>
      <c r="F475" s="41"/>
      <c r="G475" s="41"/>
      <c r="I475" s="41"/>
      <c r="J475" s="41"/>
      <c r="L475" s="41"/>
      <c r="M475" s="41"/>
      <c r="O475" s="41"/>
      <c r="P475" s="41"/>
      <c r="R475" s="41"/>
      <c r="S475" s="41"/>
      <c r="U475" s="41"/>
      <c r="V475" s="41"/>
      <c r="X475" s="41"/>
      <c r="Y475" s="716"/>
      <c r="AA475" s="41"/>
      <c r="AB475" s="41" t="s">
        <v>2881</v>
      </c>
      <c r="AD475" s="79"/>
      <c r="AZ475" s="687" t="s">
        <v>2882</v>
      </c>
      <c r="BF475" s="687" t="s">
        <v>2879</v>
      </c>
      <c r="BG475" s="145">
        <v>474.0</v>
      </c>
      <c r="BI475" s="688" t="s">
        <v>264</v>
      </c>
      <c r="BJ475" s="145">
        <v>474.0</v>
      </c>
      <c r="BL475" s="692" t="s">
        <v>2877</v>
      </c>
      <c r="BM475" s="216">
        <v>474.0</v>
      </c>
    </row>
    <row r="476">
      <c r="A476" s="41"/>
      <c r="C476" s="41"/>
      <c r="D476" s="41"/>
      <c r="F476" s="41"/>
      <c r="G476" s="41"/>
      <c r="I476" s="41"/>
      <c r="J476" s="41"/>
      <c r="L476" s="41"/>
      <c r="M476" s="41"/>
      <c r="O476" s="41"/>
      <c r="P476" s="41"/>
      <c r="R476" s="41"/>
      <c r="S476" s="41"/>
      <c r="U476" s="41"/>
      <c r="V476" s="41"/>
      <c r="X476" s="41"/>
      <c r="Y476" s="716"/>
      <c r="AA476" s="41"/>
      <c r="AB476" s="41" t="s">
        <v>2883</v>
      </c>
      <c r="AD476" s="79"/>
      <c r="AZ476" s="687" t="s">
        <v>2884</v>
      </c>
      <c r="BF476" s="687" t="s">
        <v>264</v>
      </c>
      <c r="BG476" s="145">
        <v>475.0</v>
      </c>
      <c r="BI476" s="688" t="s">
        <v>2872</v>
      </c>
      <c r="BJ476" s="145">
        <v>475.0</v>
      </c>
      <c r="BL476" s="692" t="s">
        <v>2879</v>
      </c>
      <c r="BM476" s="216">
        <v>475.0</v>
      </c>
    </row>
    <row r="477">
      <c r="A477" s="41"/>
      <c r="C477" s="41"/>
      <c r="D477" s="41"/>
      <c r="F477" s="41"/>
      <c r="G477" s="41"/>
      <c r="I477" s="41"/>
      <c r="J477" s="41"/>
      <c r="L477" s="41"/>
      <c r="M477" s="41"/>
      <c r="O477" s="41"/>
      <c r="P477" s="41"/>
      <c r="R477" s="41"/>
      <c r="S477" s="41"/>
      <c r="U477" s="41"/>
      <c r="V477" s="41"/>
      <c r="X477" s="41"/>
      <c r="Y477" s="716"/>
      <c r="AA477" s="41"/>
      <c r="AB477" s="705" t="s">
        <v>2790</v>
      </c>
      <c r="AD477" s="79"/>
      <c r="AZ477" s="687" t="s">
        <v>2885</v>
      </c>
      <c r="BF477" s="687" t="s">
        <v>2872</v>
      </c>
      <c r="BG477" s="145">
        <v>476.0</v>
      </c>
      <c r="BI477" s="688" t="s">
        <v>2873</v>
      </c>
      <c r="BJ477" s="145">
        <v>476.0</v>
      </c>
      <c r="BL477" s="692" t="s">
        <v>264</v>
      </c>
      <c r="BM477" s="216">
        <v>476.0</v>
      </c>
    </row>
    <row r="478">
      <c r="A478" s="41"/>
      <c r="C478" s="41"/>
      <c r="D478" s="41"/>
      <c r="F478" s="41"/>
      <c r="G478" s="41"/>
      <c r="I478" s="41"/>
      <c r="J478" s="41"/>
      <c r="L478" s="41"/>
      <c r="M478" s="41"/>
      <c r="O478" s="41"/>
      <c r="P478" s="41"/>
      <c r="R478" s="41"/>
      <c r="S478" s="41"/>
      <c r="U478" s="41"/>
      <c r="V478" s="41"/>
      <c r="X478" s="41"/>
      <c r="Y478" s="716"/>
      <c r="AA478" s="41"/>
      <c r="AB478" s="41" t="s">
        <v>2443</v>
      </c>
      <c r="AD478" s="79"/>
      <c r="AZ478" s="687" t="s">
        <v>2839</v>
      </c>
      <c r="BF478" s="687" t="s">
        <v>2873</v>
      </c>
      <c r="BG478" s="145">
        <v>477.0</v>
      </c>
      <c r="BI478" s="688" t="s">
        <v>2874</v>
      </c>
      <c r="BJ478" s="145">
        <v>477.0</v>
      </c>
      <c r="BL478" s="692" t="s">
        <v>2872</v>
      </c>
      <c r="BM478" s="216">
        <v>477.0</v>
      </c>
    </row>
    <row r="479">
      <c r="A479" s="41"/>
      <c r="C479" s="41"/>
      <c r="D479" s="41"/>
      <c r="F479" s="41"/>
      <c r="G479" s="41"/>
      <c r="I479" s="41"/>
      <c r="J479" s="41"/>
      <c r="L479" s="41"/>
      <c r="M479" s="41"/>
      <c r="O479" s="41"/>
      <c r="P479" s="41"/>
      <c r="R479" s="41"/>
      <c r="S479" s="41"/>
      <c r="U479" s="41"/>
      <c r="V479" s="41"/>
      <c r="X479" s="41"/>
      <c r="Y479" s="716"/>
      <c r="AA479" s="41"/>
      <c r="AB479" s="41" t="s">
        <v>2481</v>
      </c>
      <c r="AD479" s="79"/>
      <c r="AZ479" s="687" t="s">
        <v>2886</v>
      </c>
      <c r="BF479" s="687" t="s">
        <v>2874</v>
      </c>
      <c r="BG479" s="145">
        <v>478.0</v>
      </c>
      <c r="BI479" s="688" t="s">
        <v>2875</v>
      </c>
      <c r="BJ479" s="145">
        <v>478.0</v>
      </c>
      <c r="BL479" s="692" t="s">
        <v>2873</v>
      </c>
      <c r="BM479" s="216">
        <v>478.0</v>
      </c>
    </row>
    <row r="480">
      <c r="A480" s="41"/>
      <c r="C480" s="41"/>
      <c r="D480" s="41"/>
      <c r="F480" s="41"/>
      <c r="G480" s="41"/>
      <c r="I480" s="41"/>
      <c r="J480" s="41"/>
      <c r="L480" s="41"/>
      <c r="M480" s="41"/>
      <c r="O480" s="41"/>
      <c r="P480" s="41"/>
      <c r="R480" s="41"/>
      <c r="S480" s="41"/>
      <c r="U480" s="41"/>
      <c r="V480" s="41"/>
      <c r="X480" s="41"/>
      <c r="Y480" s="716"/>
      <c r="AA480" s="41"/>
      <c r="AB480" s="41" t="s">
        <v>2887</v>
      </c>
      <c r="AD480" s="79"/>
      <c r="AZ480" s="694" t="s">
        <v>2888</v>
      </c>
      <c r="BF480" s="687" t="s">
        <v>2875</v>
      </c>
      <c r="BG480" s="145">
        <v>479.0</v>
      </c>
      <c r="BI480" s="688" t="s">
        <v>2876</v>
      </c>
      <c r="BJ480" s="145">
        <v>479.0</v>
      </c>
      <c r="BL480" s="692" t="s">
        <v>2874</v>
      </c>
      <c r="BM480" s="216">
        <v>479.0</v>
      </c>
    </row>
    <row r="481">
      <c r="A481" s="41"/>
      <c r="C481" s="41"/>
      <c r="D481" s="41"/>
      <c r="F481" s="41"/>
      <c r="G481" s="41"/>
      <c r="I481" s="41"/>
      <c r="J481" s="41"/>
      <c r="L481" s="41"/>
      <c r="M481" s="41"/>
      <c r="O481" s="41"/>
      <c r="P481" s="41"/>
      <c r="R481" s="41"/>
      <c r="S481" s="41"/>
      <c r="U481" s="41"/>
      <c r="V481" s="41"/>
      <c r="X481" s="41"/>
      <c r="Y481" s="716"/>
      <c r="AA481" s="41"/>
      <c r="AB481" s="41" t="s">
        <v>2889</v>
      </c>
      <c r="AD481" s="79"/>
      <c r="AZ481" s="687" t="s">
        <v>2890</v>
      </c>
      <c r="BF481" s="687" t="s">
        <v>2876</v>
      </c>
      <c r="BG481" s="145">
        <v>480.0</v>
      </c>
      <c r="BI481" s="688" t="s">
        <v>2891</v>
      </c>
      <c r="BJ481" s="145">
        <v>480.0</v>
      </c>
      <c r="BL481" s="692" t="s">
        <v>2875</v>
      </c>
      <c r="BM481" s="216">
        <v>480.0</v>
      </c>
    </row>
    <row r="482">
      <c r="A482" s="41"/>
      <c r="C482" s="41"/>
      <c r="D482" s="41"/>
      <c r="F482" s="41"/>
      <c r="G482" s="41"/>
      <c r="I482" s="41"/>
      <c r="J482" s="41"/>
      <c r="L482" s="41"/>
      <c r="M482" s="41"/>
      <c r="O482" s="41"/>
      <c r="P482" s="41"/>
      <c r="R482" s="41"/>
      <c r="S482" s="41"/>
      <c r="U482" s="41"/>
      <c r="V482" s="41"/>
      <c r="X482" s="41"/>
      <c r="Y482" s="716"/>
      <c r="AA482" s="41"/>
      <c r="AB482" s="41" t="s">
        <v>2885</v>
      </c>
      <c r="AD482" s="79"/>
      <c r="AZ482" s="687" t="s">
        <v>2892</v>
      </c>
      <c r="BF482" s="687" t="s">
        <v>2893</v>
      </c>
      <c r="BG482" s="145">
        <v>481.0</v>
      </c>
      <c r="BI482" s="688" t="s">
        <v>2894</v>
      </c>
      <c r="BJ482" s="145">
        <v>481.0</v>
      </c>
      <c r="BL482" s="692" t="s">
        <v>2895</v>
      </c>
      <c r="BM482" s="216">
        <v>481.0</v>
      </c>
    </row>
    <row r="483">
      <c r="A483" s="41"/>
      <c r="C483" s="41"/>
      <c r="D483" s="41"/>
      <c r="F483" s="41"/>
      <c r="G483" s="41"/>
      <c r="I483" s="41"/>
      <c r="J483" s="41"/>
      <c r="L483" s="41"/>
      <c r="M483" s="41"/>
      <c r="O483" s="41"/>
      <c r="P483" s="41"/>
      <c r="R483" s="41"/>
      <c r="S483" s="41"/>
      <c r="U483" s="41"/>
      <c r="V483" s="41"/>
      <c r="X483" s="41"/>
      <c r="Y483" s="716"/>
      <c r="AA483" s="41"/>
      <c r="AB483" s="41" t="s">
        <v>2896</v>
      </c>
      <c r="AD483" s="79"/>
      <c r="AZ483" s="687" t="s">
        <v>2897</v>
      </c>
      <c r="BF483" s="687" t="s">
        <v>2878</v>
      </c>
      <c r="BG483" s="145">
        <v>482.0</v>
      </c>
      <c r="BI483" s="688" t="s">
        <v>2893</v>
      </c>
      <c r="BJ483" s="145">
        <v>482.0</v>
      </c>
      <c r="BL483" s="692" t="s">
        <v>2876</v>
      </c>
      <c r="BM483" s="216">
        <v>482.0</v>
      </c>
    </row>
    <row r="484">
      <c r="A484" s="41"/>
      <c r="C484" s="41"/>
      <c r="D484" s="41"/>
      <c r="F484" s="41"/>
      <c r="G484" s="41"/>
      <c r="I484" s="41"/>
      <c r="J484" s="41"/>
      <c r="L484" s="41"/>
      <c r="M484" s="41"/>
      <c r="O484" s="41"/>
      <c r="P484" s="41"/>
      <c r="R484" s="41"/>
      <c r="S484" s="41"/>
      <c r="U484" s="41"/>
      <c r="V484" s="41"/>
      <c r="X484" s="41"/>
      <c r="Y484" s="716"/>
      <c r="AA484" s="41"/>
      <c r="AB484" s="41" t="s">
        <v>2898</v>
      </c>
      <c r="AD484" s="79"/>
      <c r="AZ484" s="687" t="s">
        <v>2899</v>
      </c>
      <c r="BF484" s="687" t="s">
        <v>2882</v>
      </c>
      <c r="BG484" s="145">
        <v>483.0</v>
      </c>
      <c r="BI484" s="688" t="s">
        <v>2878</v>
      </c>
      <c r="BJ484" s="145">
        <v>483.0</v>
      </c>
      <c r="BL484" s="692" t="s">
        <v>2891</v>
      </c>
      <c r="BM484" s="216">
        <v>483.0</v>
      </c>
    </row>
    <row r="485">
      <c r="A485" s="41"/>
      <c r="C485" s="41"/>
      <c r="D485" s="41"/>
      <c r="F485" s="41"/>
      <c r="G485" s="41"/>
      <c r="I485" s="41"/>
      <c r="J485" s="41"/>
      <c r="L485" s="41"/>
      <c r="M485" s="41"/>
      <c r="O485" s="41"/>
      <c r="P485" s="41"/>
      <c r="R485" s="41"/>
      <c r="S485" s="41"/>
      <c r="U485" s="41"/>
      <c r="V485" s="41"/>
      <c r="X485" s="41"/>
      <c r="Y485" s="716"/>
      <c r="AA485" s="41"/>
      <c r="AB485" s="41" t="s">
        <v>2753</v>
      </c>
      <c r="AD485" s="79"/>
      <c r="AZ485" s="687" t="s">
        <v>2900</v>
      </c>
      <c r="BF485" s="687" t="s">
        <v>2884</v>
      </c>
      <c r="BG485" s="145">
        <v>484.0</v>
      </c>
      <c r="BI485" s="688" t="s">
        <v>2882</v>
      </c>
      <c r="BJ485" s="145">
        <v>484.0</v>
      </c>
      <c r="BL485" s="692" t="s">
        <v>2894</v>
      </c>
      <c r="BM485" s="216">
        <v>484.0</v>
      </c>
    </row>
    <row r="486">
      <c r="A486" s="41"/>
      <c r="C486" s="41"/>
      <c r="D486" s="41"/>
      <c r="F486" s="41"/>
      <c r="G486" s="41"/>
      <c r="I486" s="41"/>
      <c r="J486" s="41"/>
      <c r="L486" s="41"/>
      <c r="M486" s="41"/>
      <c r="O486" s="41"/>
      <c r="P486" s="41"/>
      <c r="R486" s="41"/>
      <c r="S486" s="41"/>
      <c r="U486" s="41"/>
      <c r="V486" s="41"/>
      <c r="X486" s="41"/>
      <c r="Y486" s="716"/>
      <c r="AA486" s="41"/>
      <c r="AB486" s="41" t="s">
        <v>2836</v>
      </c>
      <c r="AD486" s="79"/>
      <c r="AZ486" s="687" t="s">
        <v>2901</v>
      </c>
      <c r="BF486" s="687" t="s">
        <v>2885</v>
      </c>
      <c r="BG486" s="145">
        <v>485.0</v>
      </c>
      <c r="BI486" s="688" t="s">
        <v>2884</v>
      </c>
      <c r="BJ486" s="145">
        <v>485.0</v>
      </c>
      <c r="BL486" s="692" t="s">
        <v>2845</v>
      </c>
      <c r="BM486" s="216">
        <v>485.0</v>
      </c>
    </row>
    <row r="487">
      <c r="A487" s="41"/>
      <c r="C487" s="41"/>
      <c r="D487" s="41"/>
      <c r="F487" s="41"/>
      <c r="G487" s="41"/>
      <c r="I487" s="41"/>
      <c r="J487" s="41"/>
      <c r="L487" s="41"/>
      <c r="M487" s="41"/>
      <c r="O487" s="41"/>
      <c r="P487" s="41"/>
      <c r="R487" s="41"/>
      <c r="S487" s="41"/>
      <c r="U487" s="41"/>
      <c r="V487" s="41"/>
      <c r="X487" s="41"/>
      <c r="Y487" s="716"/>
      <c r="AA487" s="41"/>
      <c r="AB487" s="41" t="s">
        <v>949</v>
      </c>
      <c r="AD487" s="79"/>
      <c r="AZ487" s="687" t="s">
        <v>2475</v>
      </c>
      <c r="BF487" s="687" t="s">
        <v>2839</v>
      </c>
      <c r="BG487" s="145">
        <v>486.0</v>
      </c>
      <c r="BI487" s="688" t="s">
        <v>2793</v>
      </c>
      <c r="BJ487" s="145">
        <v>486.0</v>
      </c>
      <c r="BL487" s="692" t="s">
        <v>2893</v>
      </c>
      <c r="BM487" s="216">
        <v>486.0</v>
      </c>
    </row>
    <row r="488">
      <c r="A488" s="41"/>
      <c r="C488" s="41"/>
      <c r="D488" s="41"/>
      <c r="F488" s="41"/>
      <c r="G488" s="41"/>
      <c r="I488" s="41"/>
      <c r="J488" s="41"/>
      <c r="L488" s="41"/>
      <c r="M488" s="41"/>
      <c r="O488" s="41"/>
      <c r="P488" s="41"/>
      <c r="R488" s="41"/>
      <c r="S488" s="41"/>
      <c r="U488" s="41"/>
      <c r="V488" s="41"/>
      <c r="X488" s="41"/>
      <c r="Y488" s="716"/>
      <c r="AA488" s="41"/>
      <c r="AB488" s="41" t="s">
        <v>2902</v>
      </c>
      <c r="AD488" s="79"/>
      <c r="AZ488" s="687" t="s">
        <v>2903</v>
      </c>
      <c r="BF488" s="687" t="s">
        <v>2886</v>
      </c>
      <c r="BG488" s="145">
        <v>487.0</v>
      </c>
      <c r="BI488" s="688" t="s">
        <v>2885</v>
      </c>
      <c r="BJ488" s="145">
        <v>487.0</v>
      </c>
      <c r="BL488" s="692" t="s">
        <v>2878</v>
      </c>
      <c r="BM488" s="216">
        <v>487.0</v>
      </c>
    </row>
    <row r="489">
      <c r="A489" s="41"/>
      <c r="C489" s="41"/>
      <c r="D489" s="41"/>
      <c r="F489" s="41"/>
      <c r="G489" s="41"/>
      <c r="I489" s="41"/>
      <c r="J489" s="41"/>
      <c r="L489" s="41"/>
      <c r="M489" s="41"/>
      <c r="O489" s="41"/>
      <c r="P489" s="41"/>
      <c r="R489" s="41"/>
      <c r="S489" s="41"/>
      <c r="U489" s="41"/>
      <c r="V489" s="41"/>
      <c r="X489" s="41"/>
      <c r="Y489" s="716"/>
      <c r="AA489" s="41"/>
      <c r="AB489" s="41" t="s">
        <v>2904</v>
      </c>
      <c r="AD489" s="79"/>
      <c r="AZ489" s="687" t="s">
        <v>2905</v>
      </c>
      <c r="BF489" s="687" t="s">
        <v>2906</v>
      </c>
      <c r="BG489" s="145">
        <v>488.0</v>
      </c>
      <c r="BI489" s="688" t="s">
        <v>2839</v>
      </c>
      <c r="BJ489" s="145">
        <v>488.0</v>
      </c>
      <c r="BL489" s="692" t="s">
        <v>2882</v>
      </c>
      <c r="BM489" s="216">
        <v>488.0</v>
      </c>
    </row>
    <row r="490">
      <c r="A490" s="41"/>
      <c r="C490" s="41"/>
      <c r="D490" s="41"/>
      <c r="F490" s="41"/>
      <c r="G490" s="41"/>
      <c r="I490" s="41"/>
      <c r="J490" s="41"/>
      <c r="L490" s="41"/>
      <c r="M490" s="41"/>
      <c r="O490" s="41"/>
      <c r="P490" s="41"/>
      <c r="R490" s="41"/>
      <c r="S490" s="41"/>
      <c r="U490" s="41"/>
      <c r="V490" s="41"/>
      <c r="X490" s="41"/>
      <c r="Y490" s="716"/>
      <c r="AA490" s="41"/>
      <c r="AB490" s="41" t="s">
        <v>2907</v>
      </c>
      <c r="AD490" s="79"/>
      <c r="AZ490" s="687" t="s">
        <v>2908</v>
      </c>
      <c r="BF490" s="694" t="s">
        <v>2888</v>
      </c>
      <c r="BG490" s="145">
        <v>489.0</v>
      </c>
      <c r="BI490" s="688" t="s">
        <v>2886</v>
      </c>
      <c r="BJ490" s="145">
        <v>489.0</v>
      </c>
      <c r="BL490" s="692" t="s">
        <v>2884</v>
      </c>
      <c r="BM490" s="216">
        <v>489.0</v>
      </c>
    </row>
    <row r="491">
      <c r="A491" s="41"/>
      <c r="C491" s="41"/>
      <c r="D491" s="41"/>
      <c r="F491" s="41"/>
      <c r="G491" s="41"/>
      <c r="I491" s="41"/>
      <c r="J491" s="41"/>
      <c r="L491" s="41"/>
      <c r="M491" s="41"/>
      <c r="O491" s="41"/>
      <c r="P491" s="41"/>
      <c r="R491" s="41"/>
      <c r="S491" s="41"/>
      <c r="U491" s="41"/>
      <c r="V491" s="41"/>
      <c r="X491" s="41"/>
      <c r="Y491" s="716"/>
      <c r="AA491" s="41"/>
      <c r="AB491" s="41" t="s">
        <v>2416</v>
      </c>
      <c r="AD491" s="79"/>
      <c r="AZ491" s="687" t="s">
        <v>2909</v>
      </c>
      <c r="BF491" s="687" t="s">
        <v>2910</v>
      </c>
      <c r="BG491" s="145">
        <v>490.0</v>
      </c>
      <c r="BI491" s="696" t="s">
        <v>2888</v>
      </c>
      <c r="BJ491" s="145">
        <v>490.0</v>
      </c>
      <c r="BL491" s="692" t="s">
        <v>2906</v>
      </c>
      <c r="BM491" s="216">
        <v>490.0</v>
      </c>
    </row>
    <row r="492">
      <c r="A492" s="41"/>
      <c r="C492" s="41"/>
      <c r="D492" s="41"/>
      <c r="F492" s="41"/>
      <c r="G492" s="41"/>
      <c r="I492" s="41"/>
      <c r="J492" s="41"/>
      <c r="L492" s="41"/>
      <c r="M492" s="41"/>
      <c r="O492" s="41"/>
      <c r="P492" s="41"/>
      <c r="R492" s="41"/>
      <c r="S492" s="41"/>
      <c r="U492" s="41"/>
      <c r="V492" s="41"/>
      <c r="X492" s="41"/>
      <c r="Y492" s="716"/>
      <c r="AA492" s="41"/>
      <c r="AB492" s="41" t="s">
        <v>2855</v>
      </c>
      <c r="AD492" s="79"/>
      <c r="AZ492" s="687" t="s">
        <v>2911</v>
      </c>
      <c r="BF492" s="687" t="s">
        <v>2890</v>
      </c>
      <c r="BG492" s="145">
        <v>491.0</v>
      </c>
      <c r="BI492" s="688" t="s">
        <v>2910</v>
      </c>
      <c r="BJ492" s="145">
        <v>491.0</v>
      </c>
      <c r="BL492" s="692" t="s">
        <v>2793</v>
      </c>
      <c r="BM492" s="216">
        <v>491.0</v>
      </c>
    </row>
    <row r="493">
      <c r="A493" s="41"/>
      <c r="C493" s="41"/>
      <c r="D493" s="41"/>
      <c r="F493" s="41"/>
      <c r="G493" s="41"/>
      <c r="I493" s="41"/>
      <c r="J493" s="41"/>
      <c r="L493" s="41"/>
      <c r="M493" s="41"/>
      <c r="O493" s="41"/>
      <c r="P493" s="41"/>
      <c r="R493" s="41"/>
      <c r="S493" s="41"/>
      <c r="U493" s="41"/>
      <c r="V493" s="41"/>
      <c r="X493" s="41"/>
      <c r="Y493" s="716"/>
      <c r="AA493" s="41"/>
      <c r="AB493" s="41" t="s">
        <v>2817</v>
      </c>
      <c r="AD493" s="79"/>
      <c r="AZ493" s="687" t="s">
        <v>2902</v>
      </c>
      <c r="BF493" s="687" t="s">
        <v>2892</v>
      </c>
      <c r="BG493" s="145">
        <v>492.0</v>
      </c>
      <c r="BI493" s="688" t="s">
        <v>2912</v>
      </c>
      <c r="BJ493" s="145">
        <v>492.0</v>
      </c>
      <c r="BL493" s="692" t="s">
        <v>2885</v>
      </c>
      <c r="BM493" s="216">
        <v>492.0</v>
      </c>
    </row>
    <row r="494">
      <c r="A494" s="41"/>
      <c r="C494" s="41"/>
      <c r="D494" s="41"/>
      <c r="F494" s="41"/>
      <c r="G494" s="41"/>
      <c r="I494" s="41"/>
      <c r="J494" s="41"/>
      <c r="L494" s="41"/>
      <c r="M494" s="41"/>
      <c r="O494" s="41"/>
      <c r="P494" s="41"/>
      <c r="R494" s="41"/>
      <c r="S494" s="41"/>
      <c r="U494" s="41"/>
      <c r="V494" s="41"/>
      <c r="X494" s="41"/>
      <c r="Y494" s="716"/>
      <c r="AA494" s="41"/>
      <c r="AB494" s="41" t="s">
        <v>2905</v>
      </c>
      <c r="AD494" s="79"/>
      <c r="AZ494" s="687" t="s">
        <v>2771</v>
      </c>
      <c r="BF494" s="687" t="s">
        <v>2897</v>
      </c>
      <c r="BG494" s="145">
        <v>493.0</v>
      </c>
      <c r="BI494" s="688" t="s">
        <v>2913</v>
      </c>
      <c r="BJ494" s="145">
        <v>493.0</v>
      </c>
      <c r="BL494" s="692" t="s">
        <v>2839</v>
      </c>
      <c r="BM494" s="216">
        <v>493.0</v>
      </c>
    </row>
    <row r="495">
      <c r="A495" s="41"/>
      <c r="C495" s="41"/>
      <c r="D495" s="41"/>
      <c r="F495" s="41"/>
      <c r="G495" s="41"/>
      <c r="I495" s="41"/>
      <c r="J495" s="41"/>
      <c r="L495" s="41"/>
      <c r="M495" s="41"/>
      <c r="O495" s="41"/>
      <c r="P495" s="41"/>
      <c r="R495" s="41"/>
      <c r="S495" s="41"/>
      <c r="U495" s="41"/>
      <c r="V495" s="41"/>
      <c r="X495" s="41"/>
      <c r="Y495" s="716"/>
      <c r="AA495" s="41"/>
      <c r="AB495" s="41" t="s">
        <v>2861</v>
      </c>
      <c r="AD495" s="79"/>
      <c r="AZ495" s="694" t="s">
        <v>2914</v>
      </c>
      <c r="BF495" s="687" t="s">
        <v>2899</v>
      </c>
      <c r="BG495" s="145">
        <v>494.0</v>
      </c>
      <c r="BI495" s="688" t="s">
        <v>2890</v>
      </c>
      <c r="BJ495" s="145">
        <v>494.0</v>
      </c>
      <c r="BL495" s="692" t="s">
        <v>2886</v>
      </c>
      <c r="BM495" s="216">
        <v>494.0</v>
      </c>
    </row>
    <row r="496">
      <c r="A496" s="41"/>
      <c r="C496" s="41"/>
      <c r="D496" s="41"/>
      <c r="F496" s="41"/>
      <c r="G496" s="41"/>
      <c r="I496" s="41"/>
      <c r="J496" s="41"/>
      <c r="L496" s="41"/>
      <c r="M496" s="41"/>
      <c r="O496" s="41"/>
      <c r="P496" s="41"/>
      <c r="R496" s="41"/>
      <c r="S496" s="41"/>
      <c r="U496" s="41"/>
      <c r="V496" s="41"/>
      <c r="X496" s="41"/>
      <c r="Y496" s="716"/>
      <c r="AA496" s="41"/>
      <c r="AB496" s="41" t="s">
        <v>2915</v>
      </c>
      <c r="AD496" s="79"/>
      <c r="AZ496" s="687" t="s">
        <v>2916</v>
      </c>
      <c r="BF496" s="687" t="s">
        <v>2900</v>
      </c>
      <c r="BG496" s="145">
        <v>495.0</v>
      </c>
      <c r="BI496" s="688" t="s">
        <v>2892</v>
      </c>
      <c r="BJ496" s="145">
        <v>495.0</v>
      </c>
      <c r="BL496" s="692" t="s">
        <v>2910</v>
      </c>
      <c r="BM496" s="216">
        <v>495.0</v>
      </c>
    </row>
    <row r="497">
      <c r="A497" s="41"/>
      <c r="C497" s="41"/>
      <c r="D497" s="41"/>
      <c r="F497" s="41"/>
      <c r="G497" s="41"/>
      <c r="I497" s="41"/>
      <c r="J497" s="41"/>
      <c r="L497" s="41"/>
      <c r="M497" s="41"/>
      <c r="O497" s="41"/>
      <c r="P497" s="41"/>
      <c r="R497" s="41"/>
      <c r="S497" s="41"/>
      <c r="U497" s="41"/>
      <c r="V497" s="41"/>
      <c r="X497" s="41"/>
      <c r="Y497" s="716"/>
      <c r="AA497" s="41"/>
      <c r="AB497" s="41" t="s">
        <v>2917</v>
      </c>
      <c r="AD497" s="79"/>
      <c r="AZ497" s="687" t="s">
        <v>2707</v>
      </c>
      <c r="BF497" s="687" t="s">
        <v>2901</v>
      </c>
      <c r="BG497" s="145">
        <v>496.0</v>
      </c>
      <c r="BI497" s="688" t="s">
        <v>2899</v>
      </c>
      <c r="BJ497" s="145">
        <v>496.0</v>
      </c>
      <c r="BL497" s="692" t="s">
        <v>2912</v>
      </c>
      <c r="BM497" s="216">
        <v>496.0</v>
      </c>
    </row>
    <row r="498">
      <c r="A498" s="41"/>
      <c r="C498" s="41"/>
      <c r="D498" s="41"/>
      <c r="F498" s="41"/>
      <c r="G498" s="41"/>
      <c r="I498" s="41"/>
      <c r="J498" s="41"/>
      <c r="L498" s="41"/>
      <c r="M498" s="41"/>
      <c r="O498" s="41"/>
      <c r="P498" s="41"/>
      <c r="R498" s="41"/>
      <c r="S498" s="41"/>
      <c r="U498" s="41"/>
      <c r="V498" s="41"/>
      <c r="X498" s="41"/>
      <c r="Y498" s="716"/>
      <c r="AA498" s="41"/>
      <c r="AB498" s="41" t="s">
        <v>2909</v>
      </c>
      <c r="AD498" s="79"/>
      <c r="AZ498" s="687" t="s">
        <v>2918</v>
      </c>
      <c r="BF498" s="687" t="s">
        <v>2919</v>
      </c>
      <c r="BG498" s="145">
        <v>497.0</v>
      </c>
      <c r="BI498" s="688" t="s">
        <v>2920</v>
      </c>
      <c r="BJ498" s="145">
        <v>497.0</v>
      </c>
      <c r="BL498" s="692" t="s">
        <v>2913</v>
      </c>
      <c r="BM498" s="216">
        <v>497.0</v>
      </c>
    </row>
    <row r="499">
      <c r="A499" s="41"/>
      <c r="C499" s="41"/>
      <c r="D499" s="41"/>
      <c r="F499" s="41"/>
      <c r="G499" s="41"/>
      <c r="I499" s="41"/>
      <c r="J499" s="41"/>
      <c r="L499" s="41"/>
      <c r="M499" s="41"/>
      <c r="O499" s="41"/>
      <c r="P499" s="41"/>
      <c r="R499" s="41"/>
      <c r="S499" s="41"/>
      <c r="U499" s="41"/>
      <c r="V499" s="41"/>
      <c r="X499" s="41"/>
      <c r="Y499" s="716"/>
      <c r="AA499" s="41"/>
      <c r="AB499" s="41" t="s">
        <v>2678</v>
      </c>
      <c r="AD499" s="79"/>
      <c r="AZ499" s="687" t="s">
        <v>2869</v>
      </c>
      <c r="BF499" s="687" t="s">
        <v>2475</v>
      </c>
      <c r="BG499" s="145">
        <v>498.0</v>
      </c>
      <c r="BI499" s="688" t="s">
        <v>2900</v>
      </c>
      <c r="BJ499" s="145">
        <v>498.0</v>
      </c>
      <c r="BL499" s="692" t="s">
        <v>2890</v>
      </c>
      <c r="BM499" s="216">
        <v>498.0</v>
      </c>
    </row>
    <row r="500">
      <c r="A500" s="41"/>
      <c r="C500" s="41"/>
      <c r="D500" s="41"/>
      <c r="F500" s="41"/>
      <c r="G500" s="41"/>
      <c r="I500" s="41"/>
      <c r="J500" s="41"/>
      <c r="L500" s="41"/>
      <c r="M500" s="41"/>
      <c r="O500" s="41"/>
      <c r="P500" s="41"/>
      <c r="R500" s="41"/>
      <c r="S500" s="41"/>
      <c r="U500" s="41"/>
      <c r="V500" s="41"/>
      <c r="X500" s="41"/>
      <c r="Y500" s="716"/>
      <c r="AA500" s="41"/>
      <c r="AB500" s="41" t="s">
        <v>2860</v>
      </c>
      <c r="AD500" s="79"/>
      <c r="AZ500" s="687" t="s">
        <v>2921</v>
      </c>
      <c r="BF500" s="687" t="s">
        <v>2903</v>
      </c>
      <c r="BG500" s="145">
        <v>499.0</v>
      </c>
      <c r="BI500" s="688" t="s">
        <v>2922</v>
      </c>
      <c r="BJ500" s="145">
        <v>499.0</v>
      </c>
      <c r="BL500" s="692" t="s">
        <v>2892</v>
      </c>
      <c r="BM500" s="216">
        <v>499.0</v>
      </c>
    </row>
    <row r="501">
      <c r="A501" s="41"/>
      <c r="C501" s="41"/>
      <c r="D501" s="41"/>
      <c r="F501" s="41"/>
      <c r="G501" s="41"/>
      <c r="I501" s="41"/>
      <c r="J501" s="41"/>
      <c r="L501" s="41"/>
      <c r="M501" s="41"/>
      <c r="O501" s="41"/>
      <c r="P501" s="41"/>
      <c r="R501" s="41"/>
      <c r="S501" s="41"/>
      <c r="U501" s="41"/>
      <c r="V501" s="41"/>
      <c r="X501" s="41"/>
      <c r="Y501" s="716"/>
      <c r="AA501" s="41"/>
      <c r="AB501" s="41" t="s">
        <v>2923</v>
      </c>
      <c r="AD501" s="79"/>
      <c r="AZ501" s="687" t="s">
        <v>2924</v>
      </c>
      <c r="BF501" s="687" t="s">
        <v>2902</v>
      </c>
      <c r="BG501" s="145">
        <v>500.0</v>
      </c>
      <c r="BI501" s="688" t="s">
        <v>2901</v>
      </c>
      <c r="BJ501" s="145">
        <v>500.0</v>
      </c>
      <c r="BL501" s="692" t="s">
        <v>2925</v>
      </c>
      <c r="BM501" s="216">
        <v>500.0</v>
      </c>
    </row>
    <row r="502">
      <c r="A502" s="41"/>
      <c r="C502" s="41"/>
      <c r="D502" s="41"/>
      <c r="F502" s="41"/>
      <c r="G502" s="41"/>
      <c r="I502" s="41"/>
      <c r="J502" s="41"/>
      <c r="L502" s="41"/>
      <c r="M502" s="41"/>
      <c r="O502" s="41"/>
      <c r="P502" s="41"/>
      <c r="R502" s="41"/>
      <c r="S502" s="41"/>
      <c r="U502" s="41"/>
      <c r="V502" s="41"/>
      <c r="X502" s="41"/>
      <c r="Y502" s="716"/>
      <c r="AA502" s="41"/>
      <c r="AB502" s="717"/>
      <c r="AD502" s="79"/>
      <c r="AZ502" s="687" t="s">
        <v>2889</v>
      </c>
      <c r="BF502" s="687" t="s">
        <v>2918</v>
      </c>
      <c r="BG502" s="145">
        <v>501.0</v>
      </c>
      <c r="BI502" s="688" t="s">
        <v>2926</v>
      </c>
      <c r="BJ502" s="145">
        <v>501.0</v>
      </c>
      <c r="BL502" s="692" t="s">
        <v>2920</v>
      </c>
      <c r="BM502" s="216">
        <v>501.0</v>
      </c>
    </row>
    <row r="503">
      <c r="A503" s="41"/>
      <c r="C503" s="41"/>
      <c r="D503" s="41"/>
      <c r="F503" s="41"/>
      <c r="G503" s="41"/>
      <c r="I503" s="41"/>
      <c r="J503" s="41"/>
      <c r="L503" s="41"/>
      <c r="M503" s="41"/>
      <c r="O503" s="41"/>
      <c r="P503" s="41"/>
      <c r="R503" s="41"/>
      <c r="S503" s="41"/>
      <c r="U503" s="41"/>
      <c r="V503" s="41"/>
      <c r="X503" s="41"/>
      <c r="Y503" s="716"/>
      <c r="AA503" s="41"/>
      <c r="AB503" s="717"/>
      <c r="AD503" s="79"/>
      <c r="AZ503" s="687" t="s">
        <v>2927</v>
      </c>
      <c r="BF503" s="687" t="s">
        <v>2869</v>
      </c>
      <c r="BI503" s="688" t="s">
        <v>2866</v>
      </c>
      <c r="BJ503" s="718"/>
      <c r="BL503" s="687" t="s">
        <v>2928</v>
      </c>
      <c r="BM503" s="86"/>
    </row>
    <row r="504">
      <c r="A504" s="41"/>
      <c r="C504" s="41"/>
      <c r="D504" s="41"/>
      <c r="F504" s="41"/>
      <c r="G504" s="41"/>
      <c r="I504" s="41"/>
      <c r="J504" s="41"/>
      <c r="L504" s="41"/>
      <c r="M504" s="41"/>
      <c r="O504" s="41"/>
      <c r="P504" s="41"/>
      <c r="R504" s="41"/>
      <c r="S504" s="41"/>
      <c r="U504" s="41"/>
      <c r="V504" s="41"/>
      <c r="X504" s="41"/>
      <c r="Y504" s="716"/>
      <c r="AA504" s="41"/>
      <c r="AB504" s="717"/>
      <c r="AD504" s="79"/>
      <c r="AZ504" s="687" t="s">
        <v>2929</v>
      </c>
      <c r="BF504" s="687" t="s">
        <v>2845</v>
      </c>
      <c r="BI504" s="688" t="s">
        <v>2930</v>
      </c>
      <c r="BJ504" s="718"/>
      <c r="BL504" s="687" t="s">
        <v>2900</v>
      </c>
      <c r="BM504" s="86"/>
    </row>
    <row r="505">
      <c r="A505" s="41"/>
      <c r="C505" s="41"/>
      <c r="D505" s="41"/>
      <c r="F505" s="41"/>
      <c r="G505" s="41"/>
      <c r="I505" s="41"/>
      <c r="J505" s="41"/>
      <c r="L505" s="41"/>
      <c r="M505" s="41"/>
      <c r="O505" s="41"/>
      <c r="P505" s="41"/>
      <c r="R505" s="41"/>
      <c r="S505" s="41"/>
      <c r="U505" s="41"/>
      <c r="V505" s="41"/>
      <c r="X505" s="41"/>
      <c r="Y505" s="716"/>
      <c r="AA505" s="41"/>
      <c r="AB505" s="717"/>
      <c r="AD505" s="79"/>
      <c r="AZ505" s="687" t="s">
        <v>2931</v>
      </c>
      <c r="BF505" s="687" t="s">
        <v>2921</v>
      </c>
      <c r="BI505" s="688" t="s">
        <v>2932</v>
      </c>
      <c r="BJ505" s="718"/>
      <c r="BL505" s="687" t="s">
        <v>2781</v>
      </c>
      <c r="BM505" s="86"/>
    </row>
    <row r="506">
      <c r="A506" s="41"/>
      <c r="C506" s="41"/>
      <c r="D506" s="41"/>
      <c r="F506" s="41"/>
      <c r="G506" s="41"/>
      <c r="I506" s="41"/>
      <c r="J506" s="41"/>
      <c r="L506" s="41"/>
      <c r="M506" s="41"/>
      <c r="O506" s="41"/>
      <c r="P506" s="41"/>
      <c r="R506" s="41"/>
      <c r="S506" s="41"/>
      <c r="U506" s="41"/>
      <c r="V506" s="41"/>
      <c r="X506" s="41"/>
      <c r="Y506" s="716"/>
      <c r="AA506" s="41"/>
      <c r="AB506" s="717"/>
      <c r="AD506" s="79"/>
      <c r="AZ506" s="687" t="s">
        <v>2933</v>
      </c>
      <c r="BF506" s="687" t="s">
        <v>2924</v>
      </c>
      <c r="BI506" s="688" t="s">
        <v>2339</v>
      </c>
      <c r="BJ506" s="718"/>
      <c r="BL506" s="687" t="s">
        <v>2922</v>
      </c>
      <c r="BM506" s="86"/>
    </row>
    <row r="507">
      <c r="A507" s="41"/>
      <c r="C507" s="41"/>
      <c r="D507" s="41"/>
      <c r="F507" s="41"/>
      <c r="G507" s="41"/>
      <c r="I507" s="41"/>
      <c r="J507" s="41"/>
      <c r="L507" s="41"/>
      <c r="M507" s="41"/>
      <c r="O507" s="41"/>
      <c r="P507" s="41"/>
      <c r="R507" s="41"/>
      <c r="S507" s="41"/>
      <c r="U507" s="41"/>
      <c r="V507" s="41"/>
      <c r="X507" s="41"/>
      <c r="Y507" s="716"/>
      <c r="AA507" s="41"/>
      <c r="AB507" s="717"/>
      <c r="AD507" s="79"/>
      <c r="AZ507" s="687" t="s">
        <v>2926</v>
      </c>
      <c r="BF507" s="687" t="s">
        <v>2720</v>
      </c>
      <c r="BI507" s="688" t="s">
        <v>2934</v>
      </c>
      <c r="BJ507" s="718"/>
      <c r="BL507" s="687" t="s">
        <v>2901</v>
      </c>
      <c r="BM507" s="86"/>
    </row>
    <row r="508">
      <c r="A508" s="41"/>
      <c r="C508" s="41"/>
      <c r="D508" s="41"/>
      <c r="F508" s="41"/>
      <c r="G508" s="41"/>
      <c r="I508" s="41"/>
      <c r="J508" s="41"/>
      <c r="L508" s="41"/>
      <c r="M508" s="41"/>
      <c r="O508" s="41"/>
      <c r="P508" s="41"/>
      <c r="R508" s="41"/>
      <c r="S508" s="41"/>
      <c r="U508" s="41"/>
      <c r="V508" s="41"/>
      <c r="X508" s="41"/>
      <c r="Y508" s="716"/>
      <c r="AA508" s="41"/>
      <c r="AB508" s="717"/>
      <c r="AD508" s="79"/>
      <c r="AZ508" s="687" t="s">
        <v>2866</v>
      </c>
      <c r="BF508" s="687" t="s">
        <v>2889</v>
      </c>
      <c r="BI508" s="688" t="s">
        <v>2935</v>
      </c>
      <c r="BJ508" s="718"/>
      <c r="BL508" s="687" t="s">
        <v>2926</v>
      </c>
      <c r="BM508" s="86"/>
    </row>
    <row r="509">
      <c r="A509" s="41"/>
      <c r="C509" s="41"/>
      <c r="D509" s="41"/>
      <c r="F509" s="41"/>
      <c r="G509" s="41"/>
      <c r="I509" s="41"/>
      <c r="J509" s="41"/>
      <c r="L509" s="41"/>
      <c r="M509" s="41"/>
      <c r="O509" s="41"/>
      <c r="P509" s="41"/>
      <c r="R509" s="41"/>
      <c r="S509" s="41"/>
      <c r="U509" s="41"/>
      <c r="V509" s="41"/>
      <c r="X509" s="41"/>
      <c r="Y509" s="716"/>
      <c r="AA509" s="41"/>
      <c r="AB509" s="717"/>
      <c r="AD509" s="79"/>
      <c r="AZ509" s="687" t="s">
        <v>2930</v>
      </c>
      <c r="BF509" s="687" t="s">
        <v>2927</v>
      </c>
      <c r="BI509" s="688" t="s">
        <v>2830</v>
      </c>
      <c r="BJ509" s="718"/>
      <c r="BL509" s="687" t="s">
        <v>2866</v>
      </c>
      <c r="BM509" s="86"/>
    </row>
    <row r="510">
      <c r="A510" s="41"/>
      <c r="C510" s="41"/>
      <c r="D510" s="41"/>
      <c r="F510" s="41"/>
      <c r="G510" s="41"/>
      <c r="I510" s="41"/>
      <c r="J510" s="41"/>
      <c r="L510" s="41"/>
      <c r="M510" s="41"/>
      <c r="O510" s="41"/>
      <c r="P510" s="41"/>
      <c r="R510" s="41"/>
      <c r="S510" s="41"/>
      <c r="U510" s="41"/>
      <c r="V510" s="41"/>
      <c r="X510" s="41"/>
      <c r="Y510" s="716"/>
      <c r="AA510" s="41"/>
      <c r="AB510" s="717"/>
      <c r="AD510" s="79"/>
      <c r="AZ510" s="687" t="s">
        <v>2932</v>
      </c>
      <c r="BF510" s="687" t="s">
        <v>2929</v>
      </c>
      <c r="BI510" s="688" t="s">
        <v>2736</v>
      </c>
      <c r="BJ510" s="718"/>
      <c r="BL510" s="687" t="s">
        <v>2930</v>
      </c>
      <c r="BM510" s="86"/>
    </row>
    <row r="511">
      <c r="A511" s="41"/>
      <c r="C511" s="41"/>
      <c r="D511" s="41"/>
      <c r="F511" s="41"/>
      <c r="G511" s="41"/>
      <c r="I511" s="41"/>
      <c r="J511" s="41"/>
      <c r="L511" s="41"/>
      <c r="M511" s="41"/>
      <c r="O511" s="41"/>
      <c r="P511" s="41"/>
      <c r="R511" s="41"/>
      <c r="S511" s="41"/>
      <c r="U511" s="41"/>
      <c r="V511" s="41"/>
      <c r="X511" s="41"/>
      <c r="Y511" s="716"/>
      <c r="AA511" s="41"/>
      <c r="AB511" s="717"/>
      <c r="AD511" s="79"/>
      <c r="BF511" s="687" t="s">
        <v>2931</v>
      </c>
      <c r="BI511" s="688" t="s">
        <v>2936</v>
      </c>
      <c r="BJ511" s="718"/>
      <c r="BL511" s="687" t="s">
        <v>2932</v>
      </c>
      <c r="BM511" s="86"/>
    </row>
    <row r="512">
      <c r="A512" s="41"/>
      <c r="C512" s="41"/>
      <c r="D512" s="41"/>
      <c r="F512" s="41"/>
      <c r="G512" s="41"/>
      <c r="I512" s="41"/>
      <c r="J512" s="41"/>
      <c r="L512" s="41"/>
      <c r="M512" s="41"/>
      <c r="O512" s="41"/>
      <c r="P512" s="41"/>
      <c r="R512" s="41"/>
      <c r="S512" s="41"/>
      <c r="U512" s="41"/>
      <c r="V512" s="41"/>
      <c r="X512" s="41"/>
      <c r="Y512" s="716"/>
      <c r="AA512" s="41"/>
      <c r="AB512" s="717"/>
      <c r="AD512" s="79"/>
      <c r="BF512" s="687" t="s">
        <v>2937</v>
      </c>
      <c r="BI512" s="688" t="s">
        <v>2938</v>
      </c>
      <c r="BJ512" s="718"/>
      <c r="BL512" s="687" t="s">
        <v>2339</v>
      </c>
      <c r="BM512" s="86"/>
    </row>
    <row r="513">
      <c r="A513" s="41"/>
      <c r="C513" s="41"/>
      <c r="D513" s="41"/>
      <c r="F513" s="41"/>
      <c r="G513" s="41"/>
      <c r="I513" s="41"/>
      <c r="J513" s="41"/>
      <c r="L513" s="41"/>
      <c r="M513" s="41"/>
      <c r="O513" s="41"/>
      <c r="P513" s="41"/>
      <c r="R513" s="41"/>
      <c r="S513" s="41"/>
      <c r="U513" s="41"/>
      <c r="V513" s="41"/>
      <c r="X513" s="41"/>
      <c r="Y513" s="716"/>
      <c r="AA513" s="41"/>
      <c r="AB513" s="717"/>
      <c r="AD513" s="79"/>
      <c r="BF513" s="687" t="s">
        <v>2933</v>
      </c>
      <c r="BI513" s="688" t="s">
        <v>2939</v>
      </c>
      <c r="BJ513" s="718"/>
      <c r="BL513" s="687" t="s">
        <v>2935</v>
      </c>
      <c r="BM513" s="86"/>
    </row>
    <row r="514">
      <c r="A514" s="41"/>
      <c r="C514" s="41"/>
      <c r="D514" s="41"/>
      <c r="F514" s="41"/>
      <c r="G514" s="41"/>
      <c r="I514" s="41"/>
      <c r="J514" s="41"/>
      <c r="L514" s="41"/>
      <c r="M514" s="41"/>
      <c r="O514" s="41"/>
      <c r="P514" s="41"/>
      <c r="R514" s="41"/>
      <c r="S514" s="41"/>
      <c r="U514" s="41"/>
      <c r="V514" s="41"/>
      <c r="X514" s="41"/>
      <c r="Y514" s="716"/>
      <c r="AA514" s="41"/>
      <c r="AB514" s="717"/>
      <c r="AD514" s="79"/>
      <c r="BF514" s="687" t="s">
        <v>2926</v>
      </c>
      <c r="BI514" s="688" t="s">
        <v>2940</v>
      </c>
      <c r="BJ514" s="718"/>
      <c r="BL514" s="687" t="s">
        <v>2830</v>
      </c>
      <c r="BM514" s="86"/>
    </row>
    <row r="515">
      <c r="A515" s="41"/>
      <c r="C515" s="41"/>
      <c r="D515" s="41"/>
      <c r="F515" s="41"/>
      <c r="G515" s="41"/>
      <c r="I515" s="41"/>
      <c r="J515" s="41"/>
      <c r="L515" s="41"/>
      <c r="M515" s="41"/>
      <c r="O515" s="41"/>
      <c r="P515" s="41"/>
      <c r="R515" s="41"/>
      <c r="S515" s="41"/>
      <c r="U515" s="41"/>
      <c r="V515" s="41"/>
      <c r="X515" s="41"/>
      <c r="Y515" s="716"/>
      <c r="AA515" s="41"/>
      <c r="AB515" s="717"/>
      <c r="AD515" s="79"/>
      <c r="BF515" s="687" t="s">
        <v>2866</v>
      </c>
      <c r="BI515" s="688" t="s">
        <v>2941</v>
      </c>
      <c r="BJ515" s="718"/>
      <c r="BL515" s="687" t="s">
        <v>2942</v>
      </c>
      <c r="BM515" s="86"/>
    </row>
    <row r="516">
      <c r="A516" s="41"/>
      <c r="C516" s="41"/>
      <c r="D516" s="41"/>
      <c r="F516" s="41"/>
      <c r="G516" s="41"/>
      <c r="I516" s="41"/>
      <c r="J516" s="41"/>
      <c r="L516" s="41"/>
      <c r="M516" s="41"/>
      <c r="O516" s="41"/>
      <c r="P516" s="41"/>
      <c r="R516" s="41"/>
      <c r="S516" s="41"/>
      <c r="U516" s="41"/>
      <c r="V516" s="41"/>
      <c r="X516" s="41"/>
      <c r="Y516" s="716"/>
      <c r="AA516" s="41"/>
      <c r="AB516" s="717"/>
      <c r="AD516" s="79"/>
      <c r="BF516" s="687" t="s">
        <v>2930</v>
      </c>
      <c r="BI516" s="688" t="s">
        <v>2826</v>
      </c>
      <c r="BJ516" s="718"/>
      <c r="BL516" s="687" t="s">
        <v>2460</v>
      </c>
      <c r="BM516" s="86"/>
    </row>
    <row r="517">
      <c r="A517" s="41"/>
      <c r="C517" s="41"/>
      <c r="D517" s="41"/>
      <c r="F517" s="41"/>
      <c r="G517" s="41"/>
      <c r="I517" s="41"/>
      <c r="J517" s="41"/>
      <c r="L517" s="41"/>
      <c r="M517" s="41"/>
      <c r="O517" s="41"/>
      <c r="P517" s="41"/>
      <c r="R517" s="41"/>
      <c r="S517" s="41"/>
      <c r="U517" s="41"/>
      <c r="V517" s="41"/>
      <c r="X517" s="41"/>
      <c r="Y517" s="716"/>
      <c r="AA517" s="41"/>
      <c r="AB517" s="717"/>
      <c r="AD517" s="79"/>
      <c r="BF517" s="687" t="s">
        <v>2932</v>
      </c>
      <c r="BI517" s="688" t="s">
        <v>2943</v>
      </c>
      <c r="BJ517" s="718"/>
      <c r="BL517" s="687" t="s">
        <v>2736</v>
      </c>
      <c r="BM517" s="86"/>
    </row>
    <row r="518">
      <c r="A518" s="41"/>
      <c r="C518" s="41"/>
      <c r="D518" s="41"/>
      <c r="F518" s="41"/>
      <c r="G518" s="41"/>
      <c r="I518" s="41"/>
      <c r="J518" s="41"/>
      <c r="L518" s="41"/>
      <c r="M518" s="41"/>
      <c r="O518" s="41"/>
      <c r="P518" s="41"/>
      <c r="R518" s="41"/>
      <c r="S518" s="41"/>
      <c r="U518" s="41"/>
      <c r="V518" s="41"/>
      <c r="X518" s="41"/>
      <c r="Y518" s="716"/>
      <c r="AA518" s="41"/>
      <c r="AB518" s="717"/>
      <c r="AD518" s="79"/>
      <c r="BF518" s="687" t="s">
        <v>2339</v>
      </c>
      <c r="BI518" s="688" t="s">
        <v>2944</v>
      </c>
      <c r="BJ518" s="718"/>
      <c r="BL518" s="687" t="s">
        <v>2938</v>
      </c>
      <c r="BM518" s="86"/>
    </row>
    <row r="519">
      <c r="A519" s="41"/>
      <c r="C519" s="41"/>
      <c r="D519" s="41"/>
      <c r="F519" s="41"/>
      <c r="G519" s="41"/>
      <c r="I519" s="41"/>
      <c r="J519" s="41"/>
      <c r="L519" s="41"/>
      <c r="M519" s="41"/>
      <c r="O519" s="41"/>
      <c r="P519" s="41"/>
      <c r="R519" s="41"/>
      <c r="S519" s="41"/>
      <c r="U519" s="41"/>
      <c r="V519" s="41"/>
      <c r="X519" s="41"/>
      <c r="Y519" s="716"/>
      <c r="AA519" s="41"/>
      <c r="AB519" s="717"/>
      <c r="AD519" s="79"/>
      <c r="BF519" s="687" t="s">
        <v>2934</v>
      </c>
      <c r="BI519" s="688" t="s">
        <v>2897</v>
      </c>
      <c r="BJ519" s="718"/>
      <c r="BL519" s="694" t="s">
        <v>2945</v>
      </c>
      <c r="BM519" s="86"/>
    </row>
    <row r="520">
      <c r="A520" s="41"/>
      <c r="C520" s="41"/>
      <c r="D520" s="41"/>
      <c r="F520" s="41"/>
      <c r="G520" s="41"/>
      <c r="I520" s="41"/>
      <c r="J520" s="41"/>
      <c r="L520" s="41"/>
      <c r="M520" s="41"/>
      <c r="O520" s="41"/>
      <c r="P520" s="41"/>
      <c r="R520" s="41"/>
      <c r="S520" s="41"/>
      <c r="U520" s="41"/>
      <c r="V520" s="41"/>
      <c r="X520" s="41"/>
      <c r="Y520" s="716"/>
      <c r="AA520" s="41"/>
      <c r="AB520" s="717"/>
      <c r="AD520" s="79"/>
      <c r="BF520" s="687" t="s">
        <v>2935</v>
      </c>
      <c r="BI520" s="688" t="s">
        <v>2946</v>
      </c>
      <c r="BJ520" s="718"/>
      <c r="BL520" s="687" t="s">
        <v>2939</v>
      </c>
      <c r="BM520" s="86"/>
    </row>
    <row r="521">
      <c r="A521" s="41"/>
      <c r="C521" s="41"/>
      <c r="D521" s="41"/>
      <c r="F521" s="41"/>
      <c r="G521" s="41"/>
      <c r="I521" s="41"/>
      <c r="J521" s="41"/>
      <c r="L521" s="41"/>
      <c r="M521" s="41"/>
      <c r="O521" s="41"/>
      <c r="P521" s="41"/>
      <c r="R521" s="41"/>
      <c r="S521" s="41"/>
      <c r="U521" s="41"/>
      <c r="V521" s="41"/>
      <c r="X521" s="41"/>
      <c r="Y521" s="716"/>
      <c r="AA521" s="41"/>
      <c r="AB521" s="717"/>
      <c r="AD521" s="79"/>
      <c r="BF521" s="687" t="s">
        <v>2830</v>
      </c>
      <c r="BI521" s="688" t="s">
        <v>2477</v>
      </c>
      <c r="BJ521" s="718"/>
      <c r="BL521" s="687" t="s">
        <v>2940</v>
      </c>
      <c r="BM521" s="86"/>
    </row>
    <row r="522">
      <c r="A522" s="41"/>
      <c r="C522" s="41"/>
      <c r="D522" s="41"/>
      <c r="F522" s="41"/>
      <c r="G522" s="41"/>
      <c r="I522" s="41"/>
      <c r="J522" s="41"/>
      <c r="L522" s="41"/>
      <c r="M522" s="41"/>
      <c r="O522" s="41"/>
      <c r="P522" s="41"/>
      <c r="R522" s="41"/>
      <c r="S522" s="41"/>
      <c r="U522" s="41"/>
      <c r="V522" s="41"/>
      <c r="X522" s="41"/>
      <c r="Y522" s="716"/>
      <c r="AA522" s="41"/>
      <c r="AB522" s="717"/>
      <c r="AD522" s="79"/>
      <c r="BF522" s="694" t="s">
        <v>2945</v>
      </c>
      <c r="BI522" s="688" t="s">
        <v>2947</v>
      </c>
      <c r="BJ522" s="718"/>
      <c r="BL522" s="687" t="s">
        <v>2941</v>
      </c>
      <c r="BM522" s="86"/>
    </row>
    <row r="523">
      <c r="A523" s="41"/>
      <c r="C523" s="41"/>
      <c r="D523" s="41"/>
      <c r="F523" s="41"/>
      <c r="G523" s="41"/>
      <c r="I523" s="41"/>
      <c r="J523" s="41"/>
      <c r="L523" s="41"/>
      <c r="M523" s="41"/>
      <c r="O523" s="41"/>
      <c r="P523" s="41"/>
      <c r="R523" s="41"/>
      <c r="S523" s="41"/>
      <c r="U523" s="41"/>
      <c r="V523" s="41"/>
      <c r="X523" s="41"/>
      <c r="Y523" s="716"/>
      <c r="AA523" s="41"/>
      <c r="AB523" s="717"/>
      <c r="AD523" s="79"/>
      <c r="BF523" s="687" t="s">
        <v>2736</v>
      </c>
      <c r="BI523" s="688" t="s">
        <v>2915</v>
      </c>
      <c r="BJ523" s="718"/>
      <c r="BL523" s="687" t="s">
        <v>2948</v>
      </c>
      <c r="BM523" s="86"/>
    </row>
    <row r="524">
      <c r="A524" s="41"/>
      <c r="C524" s="41"/>
      <c r="D524" s="41"/>
      <c r="F524" s="41"/>
      <c r="G524" s="41"/>
      <c r="I524" s="41"/>
      <c r="J524" s="41"/>
      <c r="L524" s="41"/>
      <c r="M524" s="41"/>
      <c r="O524" s="41"/>
      <c r="P524" s="41"/>
      <c r="R524" s="41"/>
      <c r="S524" s="41"/>
      <c r="U524" s="41"/>
      <c r="V524" s="41"/>
      <c r="X524" s="41"/>
      <c r="Y524" s="716"/>
      <c r="AA524" s="41"/>
      <c r="AB524" s="717"/>
      <c r="AD524" s="79"/>
      <c r="BF524" s="687" t="s">
        <v>2936</v>
      </c>
      <c r="BI524" s="688" t="s">
        <v>2949</v>
      </c>
      <c r="BJ524" s="718"/>
      <c r="BL524" s="687" t="s">
        <v>2826</v>
      </c>
      <c r="BM524" s="86"/>
    </row>
    <row r="525">
      <c r="A525" s="41"/>
      <c r="C525" s="41"/>
      <c r="D525" s="41"/>
      <c r="F525" s="41"/>
      <c r="G525" s="41"/>
      <c r="I525" s="41"/>
      <c r="J525" s="41"/>
      <c r="L525" s="41"/>
      <c r="M525" s="41"/>
      <c r="O525" s="41"/>
      <c r="P525" s="41"/>
      <c r="R525" s="41"/>
      <c r="S525" s="41"/>
      <c r="U525" s="41"/>
      <c r="V525" s="41"/>
      <c r="X525" s="41"/>
      <c r="Y525" s="716"/>
      <c r="AA525" s="41"/>
      <c r="AB525" s="717"/>
      <c r="AD525" s="79"/>
      <c r="BF525" s="687" t="s">
        <v>2938</v>
      </c>
      <c r="BI525" s="688" t="s">
        <v>2507</v>
      </c>
      <c r="BJ525" s="718"/>
      <c r="BL525" s="687" t="s">
        <v>2943</v>
      </c>
      <c r="BM525" s="86"/>
    </row>
    <row r="526">
      <c r="A526" s="41"/>
      <c r="C526" s="41"/>
      <c r="D526" s="41"/>
      <c r="F526" s="41"/>
      <c r="G526" s="41"/>
      <c r="I526" s="41"/>
      <c r="J526" s="41"/>
      <c r="L526" s="41"/>
      <c r="M526" s="41"/>
      <c r="O526" s="41"/>
      <c r="P526" s="41"/>
      <c r="R526" s="41"/>
      <c r="S526" s="41"/>
      <c r="U526" s="41"/>
      <c r="V526" s="41"/>
      <c r="X526" s="41"/>
      <c r="Y526" s="716"/>
      <c r="AA526" s="41"/>
      <c r="AB526" s="717"/>
      <c r="AD526" s="79"/>
      <c r="BF526" s="687" t="s">
        <v>2939</v>
      </c>
      <c r="BI526" s="688" t="s">
        <v>2950</v>
      </c>
      <c r="BJ526" s="718"/>
      <c r="BL526" s="687" t="s">
        <v>2944</v>
      </c>
      <c r="BM526" s="86"/>
    </row>
    <row r="527">
      <c r="A527" s="41"/>
      <c r="C527" s="41"/>
      <c r="D527" s="41"/>
      <c r="F527" s="41"/>
      <c r="G527" s="41"/>
      <c r="I527" s="41"/>
      <c r="J527" s="41"/>
      <c r="L527" s="41"/>
      <c r="M527" s="41"/>
      <c r="O527" s="41"/>
      <c r="P527" s="41"/>
      <c r="R527" s="41"/>
      <c r="S527" s="41"/>
      <c r="U527" s="41"/>
      <c r="V527" s="41"/>
      <c r="X527" s="41"/>
      <c r="Y527" s="716"/>
      <c r="AA527" s="41"/>
      <c r="AB527" s="717"/>
      <c r="AD527" s="79"/>
      <c r="BF527" s="687" t="s">
        <v>2940</v>
      </c>
      <c r="BI527" s="688" t="s">
        <v>2951</v>
      </c>
      <c r="BJ527" s="718"/>
      <c r="BL527" s="687" t="s">
        <v>2897</v>
      </c>
      <c r="BM527" s="86"/>
    </row>
    <row r="528">
      <c r="A528" s="41"/>
      <c r="C528" s="41"/>
      <c r="D528" s="41"/>
      <c r="F528" s="41"/>
      <c r="G528" s="41"/>
      <c r="I528" s="41"/>
      <c r="J528" s="41"/>
      <c r="L528" s="41"/>
      <c r="M528" s="41"/>
      <c r="O528" s="41"/>
      <c r="P528" s="41"/>
      <c r="R528" s="41"/>
      <c r="S528" s="41"/>
      <c r="U528" s="41"/>
      <c r="V528" s="41"/>
      <c r="X528" s="41"/>
      <c r="Y528" s="716"/>
      <c r="AA528" s="41"/>
      <c r="AB528" s="717"/>
      <c r="AD528" s="79"/>
      <c r="BF528" s="687" t="s">
        <v>2894</v>
      </c>
      <c r="BI528" s="688" t="s">
        <v>2952</v>
      </c>
      <c r="BJ528" s="718"/>
      <c r="BL528" s="687" t="s">
        <v>2946</v>
      </c>
      <c r="BM528" s="86"/>
    </row>
    <row r="529">
      <c r="A529" s="41"/>
      <c r="C529" s="41"/>
      <c r="D529" s="41"/>
      <c r="F529" s="41"/>
      <c r="G529" s="41"/>
      <c r="I529" s="41"/>
      <c r="J529" s="41"/>
      <c r="L529" s="41"/>
      <c r="M529" s="41"/>
      <c r="O529" s="41"/>
      <c r="P529" s="41"/>
      <c r="R529" s="41"/>
      <c r="S529" s="41"/>
      <c r="U529" s="41"/>
      <c r="V529" s="41"/>
      <c r="X529" s="41"/>
      <c r="Y529" s="716"/>
      <c r="AA529" s="41"/>
      <c r="AB529" s="717"/>
      <c r="AD529" s="79"/>
      <c r="BF529" s="687" t="s">
        <v>2943</v>
      </c>
      <c r="BI529" s="688" t="s">
        <v>2519</v>
      </c>
      <c r="BJ529" s="718"/>
      <c r="BL529" s="687" t="s">
        <v>2477</v>
      </c>
      <c r="BM529" s="86"/>
    </row>
    <row r="530">
      <c r="A530" s="41"/>
      <c r="C530" s="41"/>
      <c r="D530" s="41"/>
      <c r="F530" s="41"/>
      <c r="G530" s="41"/>
      <c r="I530" s="41"/>
      <c r="J530" s="41"/>
      <c r="L530" s="41"/>
      <c r="M530" s="41"/>
      <c r="O530" s="41"/>
      <c r="P530" s="41"/>
      <c r="R530" s="41"/>
      <c r="S530" s="41"/>
      <c r="U530" s="41"/>
      <c r="V530" s="41"/>
      <c r="X530" s="41"/>
      <c r="Y530" s="716"/>
      <c r="AA530" s="41"/>
      <c r="AB530" s="717"/>
      <c r="AD530" s="79"/>
      <c r="BF530" s="687" t="s">
        <v>2944</v>
      </c>
      <c r="BI530" s="688" t="s">
        <v>2344</v>
      </c>
      <c r="BJ530" s="718"/>
      <c r="BL530" s="687" t="s">
        <v>2947</v>
      </c>
      <c r="BM530" s="86"/>
    </row>
    <row r="531">
      <c r="A531" s="41"/>
      <c r="C531" s="41"/>
      <c r="D531" s="41"/>
      <c r="F531" s="41"/>
      <c r="G531" s="41"/>
      <c r="I531" s="41"/>
      <c r="J531" s="41"/>
      <c r="L531" s="41"/>
      <c r="M531" s="41"/>
      <c r="O531" s="41"/>
      <c r="P531" s="41"/>
      <c r="R531" s="41"/>
      <c r="S531" s="41"/>
      <c r="U531" s="41"/>
      <c r="V531" s="41"/>
      <c r="X531" s="41"/>
      <c r="Y531" s="716"/>
      <c r="AA531" s="41"/>
      <c r="AB531" s="717"/>
      <c r="AD531" s="79"/>
      <c r="BF531" s="687" t="s">
        <v>2946</v>
      </c>
      <c r="BJ531" s="86"/>
      <c r="BL531" s="687" t="s">
        <v>2678</v>
      </c>
      <c r="BM531" s="86"/>
    </row>
    <row r="532">
      <c r="A532" s="41"/>
      <c r="C532" s="41"/>
      <c r="D532" s="41"/>
      <c r="F532" s="41"/>
      <c r="G532" s="41"/>
      <c r="I532" s="41"/>
      <c r="J532" s="41"/>
      <c r="L532" s="41"/>
      <c r="M532" s="41"/>
      <c r="O532" s="41"/>
      <c r="P532" s="41"/>
      <c r="R532" s="41"/>
      <c r="S532" s="41"/>
      <c r="U532" s="41"/>
      <c r="V532" s="41"/>
      <c r="X532" s="41"/>
      <c r="Y532" s="716"/>
      <c r="AA532" s="41"/>
      <c r="AB532" s="717"/>
      <c r="AD532" s="79"/>
      <c r="BF532" s="687" t="s">
        <v>2477</v>
      </c>
      <c r="BJ532" s="86"/>
      <c r="BL532" s="687" t="s">
        <v>2915</v>
      </c>
      <c r="BM532" s="86"/>
    </row>
    <row r="533">
      <c r="A533" s="41"/>
      <c r="C533" s="41"/>
      <c r="D533" s="41"/>
      <c r="F533" s="41"/>
      <c r="G533" s="41"/>
      <c r="I533" s="41"/>
      <c r="J533" s="41"/>
      <c r="L533" s="41"/>
      <c r="M533" s="41"/>
      <c r="O533" s="41"/>
      <c r="P533" s="41"/>
      <c r="R533" s="41"/>
      <c r="S533" s="41"/>
      <c r="U533" s="41"/>
      <c r="V533" s="41"/>
      <c r="X533" s="41"/>
      <c r="Y533" s="716"/>
      <c r="AA533" s="41"/>
      <c r="AB533" s="717"/>
      <c r="AD533" s="79"/>
      <c r="BF533" s="687" t="s">
        <v>2953</v>
      </c>
      <c r="BJ533" s="86"/>
      <c r="BL533" s="687" t="s">
        <v>2949</v>
      </c>
      <c r="BM533" s="86"/>
    </row>
    <row r="534">
      <c r="A534" s="41"/>
      <c r="C534" s="41"/>
      <c r="D534" s="41"/>
      <c r="F534" s="41"/>
      <c r="G534" s="41"/>
      <c r="I534" s="41"/>
      <c r="J534" s="41"/>
      <c r="L534" s="41"/>
      <c r="M534" s="41"/>
      <c r="O534" s="41"/>
      <c r="P534" s="41"/>
      <c r="R534" s="41"/>
      <c r="S534" s="41"/>
      <c r="U534" s="41"/>
      <c r="V534" s="41"/>
      <c r="X534" s="41"/>
      <c r="Y534" s="716"/>
      <c r="AA534" s="41"/>
      <c r="AB534" s="717"/>
      <c r="AD534" s="79"/>
      <c r="BF534" s="687" t="s">
        <v>2947</v>
      </c>
      <c r="BJ534" s="86"/>
      <c r="BL534" s="687" t="s">
        <v>2507</v>
      </c>
      <c r="BM534" s="86"/>
    </row>
    <row r="535">
      <c r="A535" s="41"/>
      <c r="C535" s="41"/>
      <c r="D535" s="41"/>
      <c r="F535" s="41"/>
      <c r="G535" s="41"/>
      <c r="I535" s="41"/>
      <c r="J535" s="41"/>
      <c r="L535" s="41"/>
      <c r="M535" s="41"/>
      <c r="O535" s="41"/>
      <c r="P535" s="41"/>
      <c r="R535" s="41"/>
      <c r="S535" s="41"/>
      <c r="U535" s="41"/>
      <c r="V535" s="41"/>
      <c r="X535" s="41"/>
      <c r="Y535" s="716"/>
      <c r="AA535" s="41"/>
      <c r="AB535" s="717"/>
      <c r="AD535" s="79"/>
      <c r="BF535" s="687" t="s">
        <v>2915</v>
      </c>
      <c r="BJ535" s="86"/>
      <c r="BL535" s="687" t="s">
        <v>2950</v>
      </c>
      <c r="BM535" s="86"/>
    </row>
    <row r="536">
      <c r="A536" s="41"/>
      <c r="C536" s="41"/>
      <c r="D536" s="41"/>
      <c r="F536" s="41"/>
      <c r="G536" s="41"/>
      <c r="I536" s="41"/>
      <c r="J536" s="41"/>
      <c r="L536" s="41"/>
      <c r="M536" s="41"/>
      <c r="O536" s="41"/>
      <c r="P536" s="41"/>
      <c r="R536" s="41"/>
      <c r="S536" s="41"/>
      <c r="U536" s="41"/>
      <c r="V536" s="41"/>
      <c r="X536" s="41"/>
      <c r="Y536" s="716"/>
      <c r="AA536" s="41"/>
      <c r="AB536" s="717"/>
      <c r="AD536" s="79"/>
      <c r="BF536" s="687" t="s">
        <v>2507</v>
      </c>
      <c r="BJ536" s="86"/>
      <c r="BL536" s="687" t="s">
        <v>2951</v>
      </c>
      <c r="BM536" s="86"/>
    </row>
    <row r="537">
      <c r="A537" s="41"/>
      <c r="C537" s="41"/>
      <c r="D537" s="41"/>
      <c r="F537" s="41"/>
      <c r="G537" s="41"/>
      <c r="I537" s="41"/>
      <c r="J537" s="41"/>
      <c r="L537" s="41"/>
      <c r="M537" s="41"/>
      <c r="O537" s="41"/>
      <c r="P537" s="41"/>
      <c r="R537" s="41"/>
      <c r="S537" s="41"/>
      <c r="U537" s="41"/>
      <c r="V537" s="41"/>
      <c r="X537" s="41"/>
      <c r="Y537" s="716"/>
      <c r="AA537" s="41"/>
      <c r="AB537" s="717"/>
      <c r="AD537" s="79"/>
      <c r="BF537" s="687" t="s">
        <v>2950</v>
      </c>
      <c r="BJ537" s="86"/>
      <c r="BL537" s="687" t="s">
        <v>2341</v>
      </c>
      <c r="BM537" s="86"/>
    </row>
    <row r="538">
      <c r="A538" s="41"/>
      <c r="C538" s="41"/>
      <c r="D538" s="41"/>
      <c r="F538" s="41"/>
      <c r="G538" s="41"/>
      <c r="I538" s="41"/>
      <c r="J538" s="41"/>
      <c r="L538" s="41"/>
      <c r="M538" s="41"/>
      <c r="O538" s="41"/>
      <c r="P538" s="41"/>
      <c r="R538" s="41"/>
      <c r="S538" s="41"/>
      <c r="U538" s="41"/>
      <c r="V538" s="41"/>
      <c r="X538" s="41"/>
      <c r="Y538" s="716"/>
      <c r="AA538" s="41"/>
      <c r="AB538" s="717"/>
      <c r="AD538" s="79"/>
      <c r="BF538" s="687" t="s">
        <v>2951</v>
      </c>
      <c r="BJ538" s="86"/>
      <c r="BL538" s="687" t="s">
        <v>2952</v>
      </c>
      <c r="BM538" s="86"/>
    </row>
    <row r="539">
      <c r="A539" s="41"/>
      <c r="C539" s="41"/>
      <c r="D539" s="41"/>
      <c r="F539" s="41"/>
      <c r="G539" s="41"/>
      <c r="I539" s="41"/>
      <c r="J539" s="41"/>
      <c r="L539" s="41"/>
      <c r="M539" s="41"/>
      <c r="O539" s="41"/>
      <c r="P539" s="41"/>
      <c r="R539" s="41"/>
      <c r="S539" s="41"/>
      <c r="U539" s="41"/>
      <c r="V539" s="41"/>
      <c r="X539" s="41"/>
      <c r="Y539" s="716"/>
      <c r="AA539" s="41"/>
      <c r="AB539" s="717"/>
      <c r="AD539" s="79"/>
      <c r="BF539" s="687" t="s">
        <v>2519</v>
      </c>
      <c r="BJ539" s="86"/>
      <c r="BL539" s="687" t="s">
        <v>2519</v>
      </c>
      <c r="BM539" s="86"/>
    </row>
    <row r="540">
      <c r="A540" s="41"/>
      <c r="C540" s="41"/>
      <c r="D540" s="41"/>
      <c r="F540" s="41"/>
      <c r="G540" s="41"/>
      <c r="I540" s="41"/>
      <c r="J540" s="41"/>
      <c r="L540" s="41"/>
      <c r="M540" s="41"/>
      <c r="O540" s="41"/>
      <c r="P540" s="41"/>
      <c r="R540" s="41"/>
      <c r="S540" s="41"/>
      <c r="U540" s="41"/>
      <c r="V540" s="41"/>
      <c r="X540" s="41"/>
      <c r="Y540" s="716"/>
      <c r="AA540" s="41"/>
      <c r="AB540" s="717"/>
      <c r="AD540" s="79"/>
      <c r="BF540" s="687" t="s">
        <v>2344</v>
      </c>
      <c r="BJ540" s="86"/>
      <c r="BL540" s="687" t="s">
        <v>2954</v>
      </c>
      <c r="BM540" s="86"/>
    </row>
    <row r="541">
      <c r="A541" s="41"/>
      <c r="C541" s="41"/>
      <c r="D541" s="41"/>
      <c r="F541" s="41"/>
      <c r="G541" s="41"/>
      <c r="I541" s="41"/>
      <c r="J541" s="41"/>
      <c r="L541" s="41"/>
      <c r="M541" s="41"/>
      <c r="O541" s="41"/>
      <c r="P541" s="41"/>
      <c r="R541" s="41"/>
      <c r="S541" s="41"/>
      <c r="U541" s="41"/>
      <c r="V541" s="41"/>
      <c r="X541" s="41"/>
      <c r="Y541" s="716"/>
      <c r="AA541" s="41"/>
      <c r="AB541" s="717"/>
      <c r="AD541" s="79"/>
      <c r="BF541" s="687" t="s">
        <v>2955</v>
      </c>
      <c r="BJ541" s="86"/>
      <c r="BL541" s="687" t="s">
        <v>2344</v>
      </c>
      <c r="BM541" s="86"/>
    </row>
    <row r="542">
      <c r="A542" s="41"/>
      <c r="C542" s="41"/>
      <c r="D542" s="41"/>
      <c r="F542" s="41"/>
      <c r="G542" s="41"/>
      <c r="I542" s="41"/>
      <c r="J542" s="41"/>
      <c r="L542" s="41"/>
      <c r="M542" s="41"/>
      <c r="O542" s="41"/>
      <c r="P542" s="41"/>
      <c r="R542" s="41"/>
      <c r="S542" s="41"/>
      <c r="U542" s="41"/>
      <c r="V542" s="41"/>
      <c r="X542" s="41"/>
      <c r="Y542" s="716"/>
      <c r="AA542" s="41"/>
      <c r="AB542" s="717"/>
      <c r="AD542" s="79"/>
      <c r="BF542" s="687" t="s">
        <v>2956</v>
      </c>
      <c r="BJ542" s="86"/>
      <c r="BM542" s="86"/>
    </row>
    <row r="543">
      <c r="A543" s="41"/>
      <c r="C543" s="41"/>
      <c r="D543" s="41"/>
      <c r="F543" s="41"/>
      <c r="G543" s="41"/>
      <c r="I543" s="41"/>
      <c r="J543" s="41"/>
      <c r="L543" s="41"/>
      <c r="M543" s="41"/>
      <c r="O543" s="41"/>
      <c r="P543" s="41"/>
      <c r="R543" s="41"/>
      <c r="S543" s="41"/>
      <c r="U543" s="41"/>
      <c r="V543" s="41"/>
      <c r="X543" s="41"/>
      <c r="Y543" s="716"/>
      <c r="AA543" s="41"/>
      <c r="AB543" s="717"/>
      <c r="AD543" s="79"/>
      <c r="BF543" s="687" t="s">
        <v>2957</v>
      </c>
      <c r="BJ543" s="86"/>
      <c r="BM543" s="86"/>
    </row>
    <row r="544">
      <c r="A544" s="41"/>
      <c r="C544" s="41"/>
      <c r="D544" s="41"/>
      <c r="F544" s="41"/>
      <c r="G544" s="41"/>
      <c r="I544" s="41"/>
      <c r="J544" s="41"/>
      <c r="L544" s="41"/>
      <c r="M544" s="41"/>
      <c r="O544" s="41"/>
      <c r="P544" s="41"/>
      <c r="R544" s="41"/>
      <c r="S544" s="41"/>
      <c r="U544" s="41"/>
      <c r="V544" s="41"/>
      <c r="X544" s="41"/>
      <c r="Y544" s="716"/>
      <c r="AA544" s="41"/>
      <c r="AB544" s="717"/>
      <c r="AD544" s="79"/>
      <c r="BF544" s="687" t="s">
        <v>2958</v>
      </c>
      <c r="BJ544" s="86"/>
      <c r="BM544" s="86"/>
    </row>
    <row r="545">
      <c r="A545" s="41"/>
      <c r="C545" s="41"/>
      <c r="D545" s="41"/>
      <c r="F545" s="41"/>
      <c r="G545" s="41"/>
      <c r="I545" s="41"/>
      <c r="J545" s="41"/>
      <c r="L545" s="41"/>
      <c r="M545" s="41"/>
      <c r="O545" s="41"/>
      <c r="P545" s="41"/>
      <c r="R545" s="41"/>
      <c r="S545" s="41"/>
      <c r="U545" s="41"/>
      <c r="V545" s="41"/>
      <c r="X545" s="41"/>
      <c r="Y545" s="716"/>
      <c r="AA545" s="41"/>
      <c r="AB545" s="717"/>
      <c r="AD545" s="79"/>
      <c r="BF545" s="687" t="s">
        <v>2959</v>
      </c>
      <c r="BJ545" s="86"/>
      <c r="BM545" s="86"/>
    </row>
    <row r="546">
      <c r="A546" s="41"/>
      <c r="C546" s="41"/>
      <c r="D546" s="41"/>
      <c r="F546" s="41"/>
      <c r="G546" s="41"/>
      <c r="I546" s="41"/>
      <c r="J546" s="41"/>
      <c r="L546" s="41"/>
      <c r="M546" s="41"/>
      <c r="O546" s="41"/>
      <c r="P546" s="41"/>
      <c r="R546" s="41"/>
      <c r="S546" s="41"/>
      <c r="U546" s="41"/>
      <c r="V546" s="41"/>
      <c r="X546" s="41"/>
      <c r="Y546" s="716"/>
      <c r="AA546" s="41"/>
      <c r="AB546" s="717"/>
      <c r="AD546" s="79"/>
      <c r="BF546" s="687" t="s">
        <v>2960</v>
      </c>
      <c r="BJ546" s="86"/>
      <c r="BM546" s="86"/>
    </row>
    <row r="547">
      <c r="A547" s="41"/>
      <c r="C547" s="41"/>
      <c r="D547" s="41"/>
      <c r="F547" s="41"/>
      <c r="G547" s="41"/>
      <c r="I547" s="41"/>
      <c r="J547" s="41"/>
      <c r="L547" s="41"/>
      <c r="M547" s="41"/>
      <c r="O547" s="41"/>
      <c r="P547" s="41"/>
      <c r="R547" s="41"/>
      <c r="S547" s="41"/>
      <c r="U547" s="41"/>
      <c r="V547" s="41"/>
      <c r="X547" s="41"/>
      <c r="Y547" s="716"/>
      <c r="AA547" s="41"/>
      <c r="AB547" s="717"/>
      <c r="AD547" s="79"/>
      <c r="BF547" s="687" t="s">
        <v>2961</v>
      </c>
      <c r="BJ547" s="86"/>
      <c r="BM547" s="86"/>
    </row>
    <row r="548">
      <c r="A548" s="41"/>
      <c r="C548" s="41"/>
      <c r="D548" s="41"/>
      <c r="F548" s="41"/>
      <c r="G548" s="41"/>
      <c r="I548" s="41"/>
      <c r="J548" s="41"/>
      <c r="L548" s="41"/>
      <c r="M548" s="41"/>
      <c r="O548" s="41"/>
      <c r="P548" s="41"/>
      <c r="R548" s="41"/>
      <c r="S548" s="41"/>
      <c r="U548" s="41"/>
      <c r="V548" s="41"/>
      <c r="X548" s="41"/>
      <c r="Y548" s="716"/>
      <c r="AA548" s="41"/>
      <c r="AB548" s="717"/>
      <c r="AD548" s="79"/>
      <c r="BF548" s="687" t="s">
        <v>2962</v>
      </c>
      <c r="BJ548" s="86"/>
      <c r="BM548" s="86"/>
    </row>
    <row r="549">
      <c r="A549" s="41"/>
      <c r="C549" s="41"/>
      <c r="D549" s="41"/>
      <c r="F549" s="41"/>
      <c r="G549" s="41"/>
      <c r="I549" s="41"/>
      <c r="J549" s="41"/>
      <c r="L549" s="41"/>
      <c r="M549" s="41"/>
      <c r="O549" s="41"/>
      <c r="P549" s="41"/>
      <c r="R549" s="41"/>
      <c r="S549" s="41"/>
      <c r="U549" s="41"/>
      <c r="V549" s="41"/>
      <c r="X549" s="41"/>
      <c r="Y549" s="716"/>
      <c r="AA549" s="41"/>
      <c r="AB549" s="717"/>
      <c r="AD549" s="79"/>
      <c r="BF549" s="687" t="s">
        <v>2963</v>
      </c>
      <c r="BJ549" s="86"/>
      <c r="BM549" s="86"/>
    </row>
    <row r="550">
      <c r="A550" s="41"/>
      <c r="C550" s="41"/>
      <c r="D550" s="41"/>
      <c r="F550" s="41"/>
      <c r="G550" s="41"/>
      <c r="I550" s="41"/>
      <c r="J550" s="41"/>
      <c r="L550" s="41"/>
      <c r="M550" s="41"/>
      <c r="O550" s="41"/>
      <c r="P550" s="41"/>
      <c r="R550" s="41"/>
      <c r="S550" s="41"/>
      <c r="U550" s="41"/>
      <c r="V550" s="41"/>
      <c r="X550" s="41"/>
      <c r="Y550" s="716"/>
      <c r="AA550" s="41"/>
      <c r="AB550" s="717"/>
      <c r="AD550" s="79"/>
      <c r="BF550" s="687" t="s">
        <v>2964</v>
      </c>
      <c r="BJ550" s="86"/>
      <c r="BM550" s="86"/>
    </row>
    <row r="551">
      <c r="A551" s="41"/>
      <c r="C551" s="41"/>
      <c r="D551" s="41"/>
      <c r="F551" s="41"/>
      <c r="G551" s="41"/>
      <c r="I551" s="41"/>
      <c r="J551" s="41"/>
      <c r="L551" s="41"/>
      <c r="M551" s="41"/>
      <c r="O551" s="41"/>
      <c r="P551" s="41"/>
      <c r="R551" s="41"/>
      <c r="S551" s="41"/>
      <c r="U551" s="41"/>
      <c r="V551" s="41"/>
      <c r="X551" s="41"/>
      <c r="Y551" s="716"/>
      <c r="AA551" s="41"/>
      <c r="AB551" s="717"/>
      <c r="AD551" s="79"/>
      <c r="BF551" s="687" t="s">
        <v>2965</v>
      </c>
      <c r="BJ551" s="86"/>
      <c r="BM551" s="86"/>
    </row>
    <row r="552">
      <c r="A552" s="41"/>
      <c r="C552" s="41"/>
      <c r="D552" s="41"/>
      <c r="F552" s="41"/>
      <c r="G552" s="41"/>
      <c r="I552" s="41"/>
      <c r="J552" s="41"/>
      <c r="L552" s="41"/>
      <c r="M552" s="41"/>
      <c r="O552" s="41"/>
      <c r="P552" s="41"/>
      <c r="R552" s="41"/>
      <c r="S552" s="41"/>
      <c r="U552" s="41"/>
      <c r="V552" s="41"/>
      <c r="X552" s="41"/>
      <c r="Y552" s="716"/>
      <c r="AA552" s="41"/>
      <c r="AB552" s="717"/>
      <c r="AD552" s="79"/>
      <c r="BF552" s="687" t="s">
        <v>2966</v>
      </c>
      <c r="BJ552" s="86"/>
      <c r="BM552" s="86"/>
    </row>
    <row r="553">
      <c r="A553" s="41"/>
      <c r="C553" s="41"/>
      <c r="D553" s="41"/>
      <c r="F553" s="41"/>
      <c r="G553" s="41"/>
      <c r="I553" s="41"/>
      <c r="J553" s="41"/>
      <c r="L553" s="41"/>
      <c r="M553" s="41"/>
      <c r="O553" s="41"/>
      <c r="P553" s="41"/>
      <c r="R553" s="41"/>
      <c r="S553" s="41"/>
      <c r="U553" s="41"/>
      <c r="V553" s="41"/>
      <c r="X553" s="41"/>
      <c r="Y553" s="716"/>
      <c r="AA553" s="41"/>
      <c r="AB553" s="717"/>
      <c r="AD553" s="79"/>
      <c r="BF553" s="687" t="s">
        <v>2967</v>
      </c>
      <c r="BJ553" s="86"/>
      <c r="BM553" s="86"/>
    </row>
    <row r="554">
      <c r="A554" s="41"/>
      <c r="C554" s="41"/>
      <c r="D554" s="41"/>
      <c r="F554" s="41"/>
      <c r="G554" s="41"/>
      <c r="I554" s="41"/>
      <c r="J554" s="41"/>
      <c r="L554" s="41"/>
      <c r="M554" s="41"/>
      <c r="O554" s="41"/>
      <c r="P554" s="41"/>
      <c r="R554" s="41"/>
      <c r="S554" s="41"/>
      <c r="U554" s="41"/>
      <c r="V554" s="41"/>
      <c r="X554" s="41"/>
      <c r="Y554" s="716"/>
      <c r="AA554" s="41"/>
      <c r="AB554" s="717"/>
      <c r="AD554" s="79"/>
      <c r="BF554" s="687" t="s">
        <v>2968</v>
      </c>
      <c r="BJ554" s="86"/>
      <c r="BM554" s="86"/>
    </row>
    <row r="555">
      <c r="A555" s="41"/>
      <c r="C555" s="41"/>
      <c r="D555" s="41"/>
      <c r="F555" s="41"/>
      <c r="G555" s="41"/>
      <c r="I555" s="41"/>
      <c r="J555" s="41"/>
      <c r="L555" s="41"/>
      <c r="M555" s="41"/>
      <c r="O555" s="41"/>
      <c r="P555" s="41"/>
      <c r="R555" s="41"/>
      <c r="S555" s="41"/>
      <c r="U555" s="41"/>
      <c r="V555" s="41"/>
      <c r="X555" s="41"/>
      <c r="Y555" s="716"/>
      <c r="AA555" s="41"/>
      <c r="AB555" s="717"/>
      <c r="AD555" s="79"/>
      <c r="BF555" s="687" t="s">
        <v>2969</v>
      </c>
      <c r="BJ555" s="86"/>
      <c r="BM555" s="86"/>
    </row>
    <row r="556">
      <c r="A556" s="41"/>
      <c r="C556" s="41"/>
      <c r="D556" s="41"/>
      <c r="F556" s="41"/>
      <c r="G556" s="41"/>
      <c r="I556" s="41"/>
      <c r="J556" s="41"/>
      <c r="L556" s="41"/>
      <c r="M556" s="41"/>
      <c r="O556" s="41"/>
      <c r="P556" s="41"/>
      <c r="R556" s="41"/>
      <c r="S556" s="41"/>
      <c r="U556" s="41"/>
      <c r="V556" s="41"/>
      <c r="X556" s="41"/>
      <c r="Y556" s="716"/>
      <c r="AA556" s="41"/>
      <c r="AB556" s="717"/>
      <c r="AD556" s="79"/>
      <c r="BF556" s="687" t="s">
        <v>2970</v>
      </c>
      <c r="BJ556" s="86"/>
      <c r="BM556" s="86"/>
    </row>
    <row r="557">
      <c r="A557" s="41"/>
      <c r="C557" s="41"/>
      <c r="D557" s="41"/>
      <c r="F557" s="41"/>
      <c r="G557" s="41"/>
      <c r="I557" s="41"/>
      <c r="J557" s="41"/>
      <c r="L557" s="41"/>
      <c r="M557" s="41"/>
      <c r="O557" s="41"/>
      <c r="P557" s="41"/>
      <c r="R557" s="41"/>
      <c r="S557" s="41"/>
      <c r="U557" s="41"/>
      <c r="V557" s="41"/>
      <c r="X557" s="41"/>
      <c r="Y557" s="716"/>
      <c r="AA557" s="41"/>
      <c r="AB557" s="717"/>
      <c r="AD557" s="79"/>
      <c r="BF557" s="687" t="s">
        <v>2971</v>
      </c>
      <c r="BJ557" s="86"/>
      <c r="BM557" s="86"/>
    </row>
    <row r="558">
      <c r="A558" s="41"/>
      <c r="C558" s="41"/>
      <c r="D558" s="41"/>
      <c r="F558" s="41"/>
      <c r="G558" s="41"/>
      <c r="I558" s="41"/>
      <c r="J558" s="41"/>
      <c r="L558" s="41"/>
      <c r="M558" s="41"/>
      <c r="O558" s="41"/>
      <c r="P558" s="41"/>
      <c r="R558" s="41"/>
      <c r="S558" s="41"/>
      <c r="U558" s="41"/>
      <c r="V558" s="41"/>
      <c r="X558" s="41"/>
      <c r="Y558" s="716"/>
      <c r="AA558" s="41"/>
      <c r="AB558" s="717"/>
      <c r="AD558" s="79"/>
      <c r="BF558" s="687" t="s">
        <v>2972</v>
      </c>
      <c r="BJ558" s="86"/>
      <c r="BM558" s="86"/>
    </row>
    <row r="559">
      <c r="A559" s="41"/>
      <c r="C559" s="41"/>
      <c r="D559" s="41"/>
      <c r="F559" s="41"/>
      <c r="G559" s="41"/>
      <c r="I559" s="41"/>
      <c r="J559" s="41"/>
      <c r="L559" s="41"/>
      <c r="M559" s="41"/>
      <c r="O559" s="41"/>
      <c r="P559" s="41"/>
      <c r="R559" s="41"/>
      <c r="S559" s="41"/>
      <c r="U559" s="41"/>
      <c r="V559" s="41"/>
      <c r="X559" s="41"/>
      <c r="Y559" s="716"/>
      <c r="AA559" s="41"/>
      <c r="AB559" s="717"/>
      <c r="AD559" s="79"/>
      <c r="BF559" s="687" t="s">
        <v>2290</v>
      </c>
      <c r="BJ559" s="86"/>
      <c r="BM559" s="86"/>
    </row>
    <row r="560">
      <c r="A560" s="41"/>
      <c r="C560" s="41"/>
      <c r="D560" s="41"/>
      <c r="F560" s="41"/>
      <c r="G560" s="41"/>
      <c r="I560" s="41"/>
      <c r="J560" s="41"/>
      <c r="L560" s="41"/>
      <c r="M560" s="41"/>
      <c r="O560" s="41"/>
      <c r="P560" s="41"/>
      <c r="R560" s="41"/>
      <c r="S560" s="41"/>
      <c r="U560" s="41"/>
      <c r="V560" s="41"/>
      <c r="X560" s="41"/>
      <c r="Y560" s="716"/>
      <c r="AA560" s="41"/>
      <c r="AB560" s="717"/>
      <c r="AD560" s="79"/>
      <c r="BF560" s="687" t="s">
        <v>2973</v>
      </c>
      <c r="BJ560" s="86"/>
      <c r="BM560" s="86"/>
    </row>
    <row r="561">
      <c r="A561" s="41"/>
      <c r="C561" s="41"/>
      <c r="D561" s="41"/>
      <c r="F561" s="41"/>
      <c r="G561" s="41"/>
      <c r="I561" s="41"/>
      <c r="J561" s="41"/>
      <c r="L561" s="41"/>
      <c r="M561" s="41"/>
      <c r="O561" s="41"/>
      <c r="P561" s="41"/>
      <c r="R561" s="41"/>
      <c r="S561" s="41"/>
      <c r="U561" s="41"/>
      <c r="V561" s="41"/>
      <c r="X561" s="41"/>
      <c r="Y561" s="716"/>
      <c r="AA561" s="41"/>
      <c r="AB561" s="717"/>
      <c r="AD561" s="79"/>
      <c r="BF561" s="687" t="s">
        <v>2974</v>
      </c>
      <c r="BJ561" s="86"/>
      <c r="BM561" s="86"/>
    </row>
    <row r="562">
      <c r="A562" s="41"/>
      <c r="C562" s="41"/>
      <c r="D562" s="41"/>
      <c r="F562" s="41"/>
      <c r="G562" s="41"/>
      <c r="I562" s="41"/>
      <c r="J562" s="41"/>
      <c r="L562" s="41"/>
      <c r="M562" s="41"/>
      <c r="O562" s="41"/>
      <c r="P562" s="41"/>
      <c r="R562" s="41"/>
      <c r="S562" s="41"/>
      <c r="U562" s="41"/>
      <c r="V562" s="41"/>
      <c r="X562" s="41"/>
      <c r="Y562" s="716"/>
      <c r="AA562" s="41"/>
      <c r="AB562" s="717"/>
      <c r="AD562" s="79"/>
      <c r="BF562" s="687" t="s">
        <v>2975</v>
      </c>
      <c r="BJ562" s="86"/>
      <c r="BM562" s="86"/>
    </row>
    <row r="563">
      <c r="A563" s="41"/>
      <c r="C563" s="41"/>
      <c r="D563" s="41"/>
      <c r="F563" s="41"/>
      <c r="G563" s="41"/>
      <c r="I563" s="41"/>
      <c r="J563" s="41"/>
      <c r="L563" s="41"/>
      <c r="M563" s="41"/>
      <c r="O563" s="41"/>
      <c r="P563" s="41"/>
      <c r="R563" s="41"/>
      <c r="S563" s="41"/>
      <c r="U563" s="41"/>
      <c r="V563" s="41"/>
      <c r="X563" s="41"/>
      <c r="Y563" s="716"/>
      <c r="AA563" s="41"/>
      <c r="AB563" s="717"/>
      <c r="AD563" s="79"/>
      <c r="BF563" s="687" t="s">
        <v>2976</v>
      </c>
      <c r="BJ563" s="86"/>
      <c r="BM563" s="86"/>
    </row>
    <row r="564">
      <c r="A564" s="41"/>
      <c r="C564" s="41"/>
      <c r="D564" s="41"/>
      <c r="F564" s="41"/>
      <c r="G564" s="41"/>
      <c r="I564" s="41"/>
      <c r="J564" s="41"/>
      <c r="L564" s="41"/>
      <c r="M564" s="41"/>
      <c r="O564" s="41"/>
      <c r="P564" s="41"/>
      <c r="R564" s="41"/>
      <c r="S564" s="41"/>
      <c r="U564" s="41"/>
      <c r="V564" s="41"/>
      <c r="X564" s="41"/>
      <c r="Y564" s="716"/>
      <c r="AA564" s="41"/>
      <c r="AB564" s="717"/>
      <c r="AD564" s="79"/>
      <c r="BF564" s="687" t="s">
        <v>2977</v>
      </c>
      <c r="BJ564" s="86"/>
      <c r="BM564" s="86"/>
    </row>
    <row r="565">
      <c r="A565" s="41"/>
      <c r="C565" s="41"/>
      <c r="D565" s="41"/>
      <c r="F565" s="41"/>
      <c r="G565" s="41"/>
      <c r="I565" s="41"/>
      <c r="J565" s="41"/>
      <c r="L565" s="41"/>
      <c r="M565" s="41"/>
      <c r="O565" s="41"/>
      <c r="P565" s="41"/>
      <c r="R565" s="41"/>
      <c r="S565" s="41"/>
      <c r="U565" s="41"/>
      <c r="V565" s="41"/>
      <c r="X565" s="41"/>
      <c r="Y565" s="716"/>
      <c r="AA565" s="41"/>
      <c r="AB565" s="717"/>
      <c r="AD565" s="79"/>
      <c r="BF565" s="687" t="s">
        <v>2978</v>
      </c>
      <c r="BJ565" s="86"/>
      <c r="BM565" s="86"/>
    </row>
    <row r="566">
      <c r="A566" s="41"/>
      <c r="C566" s="41"/>
      <c r="D566" s="41"/>
      <c r="F566" s="41"/>
      <c r="G566" s="41"/>
      <c r="I566" s="41"/>
      <c r="J566" s="41"/>
      <c r="L566" s="41"/>
      <c r="M566" s="41"/>
      <c r="O566" s="41"/>
      <c r="P566" s="41"/>
      <c r="R566" s="41"/>
      <c r="S566" s="41"/>
      <c r="U566" s="41"/>
      <c r="V566" s="41"/>
      <c r="X566" s="41"/>
      <c r="Y566" s="716"/>
      <c r="AA566" s="41"/>
      <c r="AB566" s="717"/>
      <c r="AD566" s="79"/>
      <c r="BF566" s="687" t="s">
        <v>2979</v>
      </c>
      <c r="BJ566" s="86"/>
      <c r="BM566" s="86"/>
    </row>
    <row r="567">
      <c r="A567" s="41"/>
      <c r="C567" s="41"/>
      <c r="D567" s="41"/>
      <c r="F567" s="41"/>
      <c r="G567" s="41"/>
      <c r="I567" s="41"/>
      <c r="J567" s="41"/>
      <c r="L567" s="41"/>
      <c r="M567" s="41"/>
      <c r="O567" s="41"/>
      <c r="P567" s="41"/>
      <c r="R567" s="41"/>
      <c r="S567" s="41"/>
      <c r="U567" s="41"/>
      <c r="V567" s="41"/>
      <c r="X567" s="41"/>
      <c r="Y567" s="716"/>
      <c r="AA567" s="41"/>
      <c r="AB567" s="717"/>
      <c r="AD567" s="79"/>
      <c r="BF567" s="687" t="s">
        <v>2980</v>
      </c>
      <c r="BJ567" s="86"/>
      <c r="BM567" s="86"/>
    </row>
    <row r="568">
      <c r="A568" s="41"/>
      <c r="C568" s="41"/>
      <c r="D568" s="41"/>
      <c r="F568" s="41"/>
      <c r="G568" s="41"/>
      <c r="I568" s="41"/>
      <c r="J568" s="41"/>
      <c r="L568" s="41"/>
      <c r="M568" s="41"/>
      <c r="O568" s="41"/>
      <c r="P568" s="41"/>
      <c r="R568" s="41"/>
      <c r="S568" s="41"/>
      <c r="U568" s="41"/>
      <c r="V568" s="41"/>
      <c r="X568" s="41"/>
      <c r="Y568" s="716"/>
      <c r="AA568" s="41"/>
      <c r="AB568" s="717"/>
      <c r="AD568" s="79"/>
      <c r="BF568" s="687" t="s">
        <v>2981</v>
      </c>
      <c r="BJ568" s="86"/>
      <c r="BM568" s="86"/>
    </row>
    <row r="569">
      <c r="A569" s="41"/>
      <c r="C569" s="41"/>
      <c r="D569" s="41"/>
      <c r="F569" s="41"/>
      <c r="G569" s="41"/>
      <c r="I569" s="41"/>
      <c r="J569" s="41"/>
      <c r="L569" s="41"/>
      <c r="M569" s="41"/>
      <c r="O569" s="41"/>
      <c r="P569" s="41"/>
      <c r="R569" s="41"/>
      <c r="S569" s="41"/>
      <c r="U569" s="41"/>
      <c r="V569" s="41"/>
      <c r="X569" s="41"/>
      <c r="Y569" s="716"/>
      <c r="AA569" s="41"/>
      <c r="AB569" s="717"/>
      <c r="AD569" s="79"/>
      <c r="BF569" s="687" t="s">
        <v>2982</v>
      </c>
      <c r="BJ569" s="86"/>
      <c r="BM569" s="86"/>
    </row>
    <row r="570">
      <c r="A570" s="41"/>
      <c r="C570" s="41"/>
      <c r="D570" s="41"/>
      <c r="F570" s="41"/>
      <c r="G570" s="41"/>
      <c r="I570" s="41"/>
      <c r="J570" s="41"/>
      <c r="L570" s="41"/>
      <c r="M570" s="41"/>
      <c r="O570" s="41"/>
      <c r="P570" s="41"/>
      <c r="R570" s="41"/>
      <c r="S570" s="41"/>
      <c r="U570" s="41"/>
      <c r="V570" s="41"/>
      <c r="X570" s="41"/>
      <c r="Y570" s="716"/>
      <c r="AA570" s="41"/>
      <c r="AB570" s="717"/>
      <c r="AD570" s="79"/>
      <c r="BF570" s="687" t="s">
        <v>2983</v>
      </c>
      <c r="BJ570" s="86"/>
      <c r="BM570" s="86"/>
    </row>
    <row r="571">
      <c r="A571" s="41"/>
      <c r="C571" s="41"/>
      <c r="D571" s="41"/>
      <c r="F571" s="41"/>
      <c r="G571" s="41"/>
      <c r="I571" s="41"/>
      <c r="J571" s="41"/>
      <c r="L571" s="41"/>
      <c r="M571" s="41"/>
      <c r="O571" s="41"/>
      <c r="P571" s="41"/>
      <c r="R571" s="41"/>
      <c r="S571" s="41"/>
      <c r="U571" s="41"/>
      <c r="V571" s="41"/>
      <c r="X571" s="41"/>
      <c r="Y571" s="716"/>
      <c r="AA571" s="41"/>
      <c r="AB571" s="717"/>
      <c r="AD571" s="79"/>
      <c r="BF571" s="687" t="s">
        <v>2984</v>
      </c>
      <c r="BJ571" s="86"/>
      <c r="BM571" s="86"/>
    </row>
    <row r="572">
      <c r="A572" s="41"/>
      <c r="C572" s="41"/>
      <c r="D572" s="41"/>
      <c r="F572" s="41"/>
      <c r="G572" s="41"/>
      <c r="I572" s="41"/>
      <c r="J572" s="41"/>
      <c r="L572" s="41"/>
      <c r="M572" s="41"/>
      <c r="O572" s="41"/>
      <c r="P572" s="41"/>
      <c r="R572" s="41"/>
      <c r="S572" s="41"/>
      <c r="U572" s="41"/>
      <c r="V572" s="41"/>
      <c r="X572" s="41"/>
      <c r="Y572" s="716"/>
      <c r="AA572" s="41"/>
      <c r="AB572" s="717"/>
      <c r="AD572" s="79"/>
      <c r="BF572" s="687" t="s">
        <v>2985</v>
      </c>
      <c r="BJ572" s="86"/>
      <c r="BM572" s="86"/>
    </row>
    <row r="573">
      <c r="A573" s="41"/>
      <c r="C573" s="41"/>
      <c r="D573" s="41"/>
      <c r="F573" s="41"/>
      <c r="G573" s="41"/>
      <c r="I573" s="41"/>
      <c r="J573" s="41"/>
      <c r="L573" s="41"/>
      <c r="M573" s="41"/>
      <c r="O573" s="41"/>
      <c r="P573" s="41"/>
      <c r="R573" s="41"/>
      <c r="S573" s="41"/>
      <c r="U573" s="41"/>
      <c r="V573" s="41"/>
      <c r="X573" s="41"/>
      <c r="Y573" s="716"/>
      <c r="AA573" s="41"/>
      <c r="AB573" s="717"/>
      <c r="AD573" s="79"/>
      <c r="BF573" s="687" t="s">
        <v>2986</v>
      </c>
      <c r="BJ573" s="86"/>
      <c r="BM573" s="86"/>
    </row>
    <row r="574">
      <c r="A574" s="41"/>
      <c r="C574" s="41"/>
      <c r="D574" s="41"/>
      <c r="F574" s="41"/>
      <c r="G574" s="41"/>
      <c r="I574" s="41"/>
      <c r="J574" s="41"/>
      <c r="L574" s="41"/>
      <c r="M574" s="41"/>
      <c r="O574" s="41"/>
      <c r="P574" s="41"/>
      <c r="R574" s="41"/>
      <c r="S574" s="41"/>
      <c r="U574" s="41"/>
      <c r="V574" s="41"/>
      <c r="X574" s="41"/>
      <c r="Y574" s="716"/>
      <c r="AA574" s="41"/>
      <c r="AB574" s="717"/>
      <c r="AD574" s="79"/>
      <c r="BF574" s="687" t="s">
        <v>2987</v>
      </c>
      <c r="BJ574" s="86"/>
      <c r="BM574" s="86"/>
    </row>
    <row r="575">
      <c r="A575" s="41"/>
      <c r="C575" s="41"/>
      <c r="D575" s="41"/>
      <c r="F575" s="41"/>
      <c r="G575" s="41"/>
      <c r="I575" s="41"/>
      <c r="J575" s="41"/>
      <c r="L575" s="41"/>
      <c r="M575" s="41"/>
      <c r="O575" s="41"/>
      <c r="P575" s="41"/>
      <c r="R575" s="41"/>
      <c r="S575" s="41"/>
      <c r="U575" s="41"/>
      <c r="V575" s="41"/>
      <c r="X575" s="41"/>
      <c r="Y575" s="716"/>
      <c r="AA575" s="41"/>
      <c r="AB575" s="717"/>
      <c r="AD575" s="79"/>
      <c r="BF575" s="687" t="s">
        <v>2923</v>
      </c>
      <c r="BJ575" s="86"/>
      <c r="BM575" s="86"/>
    </row>
    <row r="576">
      <c r="A576" s="41"/>
      <c r="C576" s="41"/>
      <c r="D576" s="41"/>
      <c r="F576" s="41"/>
      <c r="G576" s="41"/>
      <c r="I576" s="41"/>
      <c r="J576" s="41"/>
      <c r="L576" s="41"/>
      <c r="M576" s="41"/>
      <c r="O576" s="41"/>
      <c r="P576" s="41"/>
      <c r="R576" s="41"/>
      <c r="S576" s="41"/>
      <c r="U576" s="41"/>
      <c r="V576" s="41"/>
      <c r="X576" s="41"/>
      <c r="Y576" s="716"/>
      <c r="AA576" s="41"/>
      <c r="AB576" s="717"/>
      <c r="AD576" s="79"/>
      <c r="BF576" s="687" t="s">
        <v>2342</v>
      </c>
      <c r="BJ576" s="86"/>
      <c r="BM576" s="86"/>
    </row>
    <row r="577">
      <c r="A577" s="41"/>
      <c r="C577" s="41"/>
      <c r="D577" s="41"/>
      <c r="F577" s="41"/>
      <c r="G577" s="41"/>
      <c r="I577" s="41"/>
      <c r="J577" s="41"/>
      <c r="L577" s="41"/>
      <c r="M577" s="41"/>
      <c r="O577" s="41"/>
      <c r="P577" s="41"/>
      <c r="R577" s="41"/>
      <c r="S577" s="41"/>
      <c r="U577" s="41"/>
      <c r="V577" s="41"/>
      <c r="X577" s="41"/>
      <c r="Y577" s="716"/>
      <c r="AA577" s="41"/>
      <c r="AB577" s="717"/>
      <c r="AD577" s="79"/>
      <c r="BF577" s="687" t="s">
        <v>2988</v>
      </c>
      <c r="BJ577" s="86"/>
      <c r="BM577" s="86"/>
    </row>
    <row r="578">
      <c r="A578" s="41"/>
      <c r="C578" s="41"/>
      <c r="D578" s="41"/>
      <c r="F578" s="41"/>
      <c r="G578" s="41"/>
      <c r="I578" s="41"/>
      <c r="J578" s="41"/>
      <c r="L578" s="41"/>
      <c r="M578" s="41"/>
      <c r="O578" s="41"/>
      <c r="P578" s="41"/>
      <c r="R578" s="41"/>
      <c r="S578" s="41"/>
      <c r="U578" s="41"/>
      <c r="V578" s="41"/>
      <c r="X578" s="41"/>
      <c r="Y578" s="716"/>
      <c r="AA578" s="41"/>
      <c r="AB578" s="717"/>
      <c r="AD578" s="79"/>
      <c r="BF578" s="687" t="s">
        <v>2989</v>
      </c>
      <c r="BJ578" s="86"/>
      <c r="BM578" s="86"/>
    </row>
    <row r="579">
      <c r="A579" s="41"/>
      <c r="C579" s="41"/>
      <c r="D579" s="41"/>
      <c r="F579" s="41"/>
      <c r="G579" s="41"/>
      <c r="I579" s="41"/>
      <c r="J579" s="41"/>
      <c r="L579" s="41"/>
      <c r="M579" s="41"/>
      <c r="O579" s="41"/>
      <c r="P579" s="41"/>
      <c r="R579" s="41"/>
      <c r="S579" s="41"/>
      <c r="U579" s="41"/>
      <c r="V579" s="41"/>
      <c r="X579" s="41"/>
      <c r="Y579" s="716"/>
      <c r="AA579" s="41"/>
      <c r="AB579" s="717"/>
      <c r="AD579" s="79"/>
      <c r="BF579" s="687" t="s">
        <v>2990</v>
      </c>
      <c r="BJ579" s="86"/>
      <c r="BM579" s="86"/>
    </row>
    <row r="580">
      <c r="A580" s="41"/>
      <c r="C580" s="41"/>
      <c r="D580" s="41"/>
      <c r="F580" s="41"/>
      <c r="G580" s="41"/>
      <c r="I580" s="41"/>
      <c r="J580" s="41"/>
      <c r="L580" s="41"/>
      <c r="M580" s="41"/>
      <c r="O580" s="41"/>
      <c r="P580" s="41"/>
      <c r="R580" s="41"/>
      <c r="S580" s="41"/>
      <c r="U580" s="41"/>
      <c r="V580" s="41"/>
      <c r="X580" s="41"/>
      <c r="Y580" s="716"/>
      <c r="AA580" s="41"/>
      <c r="AB580" s="717"/>
      <c r="AD580" s="79"/>
      <c r="BF580" s="687" t="s">
        <v>2991</v>
      </c>
      <c r="BJ580" s="86"/>
      <c r="BM580" s="86"/>
    </row>
    <row r="581">
      <c r="A581" s="41"/>
      <c r="C581" s="41"/>
      <c r="D581" s="41"/>
      <c r="F581" s="41"/>
      <c r="G581" s="41"/>
      <c r="I581" s="41"/>
      <c r="J581" s="41"/>
      <c r="L581" s="41"/>
      <c r="M581" s="41"/>
      <c r="O581" s="41"/>
      <c r="P581" s="41"/>
      <c r="R581" s="41"/>
      <c r="S581" s="41"/>
      <c r="U581" s="41"/>
      <c r="V581" s="41"/>
      <c r="X581" s="41"/>
      <c r="Y581" s="716"/>
      <c r="AA581" s="41"/>
      <c r="AB581" s="717"/>
      <c r="AD581" s="79"/>
      <c r="BF581" s="687" t="s">
        <v>2992</v>
      </c>
      <c r="BJ581" s="86"/>
      <c r="BM581" s="86"/>
    </row>
    <row r="582">
      <c r="A582" s="41"/>
      <c r="C582" s="41"/>
      <c r="D582" s="41"/>
      <c r="F582" s="41"/>
      <c r="G582" s="41"/>
      <c r="I582" s="41"/>
      <c r="J582" s="41"/>
      <c r="L582" s="41"/>
      <c r="M582" s="41"/>
      <c r="O582" s="41"/>
      <c r="P582" s="41"/>
      <c r="R582" s="41"/>
      <c r="S582" s="41"/>
      <c r="U582" s="41"/>
      <c r="V582" s="41"/>
      <c r="X582" s="41"/>
      <c r="Y582" s="716"/>
      <c r="AA582" s="41"/>
      <c r="AB582" s="717"/>
      <c r="AD582" s="79"/>
      <c r="BF582" s="687" t="s">
        <v>2993</v>
      </c>
      <c r="BJ582" s="86"/>
      <c r="BM582" s="86"/>
    </row>
    <row r="583">
      <c r="A583" s="41"/>
      <c r="C583" s="41"/>
      <c r="D583" s="41"/>
      <c r="F583" s="41"/>
      <c r="G583" s="41"/>
      <c r="I583" s="41"/>
      <c r="J583" s="41"/>
      <c r="L583" s="41"/>
      <c r="M583" s="41"/>
      <c r="O583" s="41"/>
      <c r="P583" s="41"/>
      <c r="R583" s="41"/>
      <c r="S583" s="41"/>
      <c r="U583" s="41"/>
      <c r="V583" s="41"/>
      <c r="X583" s="41"/>
      <c r="Y583" s="716"/>
      <c r="AA583" s="41"/>
      <c r="AB583" s="717"/>
      <c r="AD583" s="79"/>
      <c r="BF583" s="687" t="s">
        <v>2994</v>
      </c>
      <c r="BJ583" s="86"/>
      <c r="BM583" s="86"/>
    </row>
    <row r="584">
      <c r="A584" s="41"/>
      <c r="C584" s="41"/>
      <c r="D584" s="41"/>
      <c r="F584" s="41"/>
      <c r="G584" s="41"/>
      <c r="I584" s="41"/>
      <c r="J584" s="41"/>
      <c r="L584" s="41"/>
      <c r="M584" s="41"/>
      <c r="O584" s="41"/>
      <c r="P584" s="41"/>
      <c r="R584" s="41"/>
      <c r="S584" s="41"/>
      <c r="U584" s="41"/>
      <c r="V584" s="41"/>
      <c r="X584" s="41"/>
      <c r="Y584" s="716"/>
      <c r="AA584" s="41"/>
      <c r="AB584" s="717"/>
      <c r="AD584" s="79"/>
      <c r="BF584" s="687" t="s">
        <v>2416</v>
      </c>
      <c r="BJ584" s="86"/>
      <c r="BM584" s="86"/>
    </row>
    <row r="585">
      <c r="A585" s="41"/>
      <c r="C585" s="41"/>
      <c r="D585" s="41"/>
      <c r="F585" s="41"/>
      <c r="G585" s="41"/>
      <c r="I585" s="41"/>
      <c r="J585" s="41"/>
      <c r="L585" s="41"/>
      <c r="M585" s="41"/>
      <c r="O585" s="41"/>
      <c r="P585" s="41"/>
      <c r="R585" s="41"/>
      <c r="S585" s="41"/>
      <c r="U585" s="41"/>
      <c r="V585" s="41"/>
      <c r="X585" s="41"/>
      <c r="Y585" s="716"/>
      <c r="AA585" s="41"/>
      <c r="AB585" s="717"/>
      <c r="AD585" s="79"/>
      <c r="BF585" s="687" t="s">
        <v>2995</v>
      </c>
      <c r="BJ585" s="86"/>
      <c r="BM585" s="86"/>
    </row>
    <row r="586">
      <c r="A586" s="41"/>
      <c r="C586" s="41"/>
      <c r="D586" s="41"/>
      <c r="F586" s="41"/>
      <c r="G586" s="41"/>
      <c r="I586" s="41"/>
      <c r="J586" s="41"/>
      <c r="L586" s="41"/>
      <c r="M586" s="41"/>
      <c r="O586" s="41"/>
      <c r="P586" s="41"/>
      <c r="R586" s="41"/>
      <c r="S586" s="41"/>
      <c r="U586" s="41"/>
      <c r="V586" s="41"/>
      <c r="X586" s="41"/>
      <c r="Y586" s="716"/>
      <c r="AA586" s="41"/>
      <c r="AB586" s="717"/>
      <c r="AD586" s="79"/>
      <c r="BF586" s="687" t="s">
        <v>2996</v>
      </c>
      <c r="BJ586" s="86"/>
      <c r="BM586" s="86"/>
    </row>
    <row r="587">
      <c r="A587" s="41"/>
      <c r="C587" s="41"/>
      <c r="D587" s="41"/>
      <c r="F587" s="41"/>
      <c r="G587" s="41"/>
      <c r="I587" s="41"/>
      <c r="J587" s="41"/>
      <c r="L587" s="41"/>
      <c r="M587" s="41"/>
      <c r="O587" s="41"/>
      <c r="P587" s="41"/>
      <c r="R587" s="41"/>
      <c r="S587" s="41"/>
      <c r="U587" s="41"/>
      <c r="V587" s="41"/>
      <c r="X587" s="41"/>
      <c r="Y587" s="716"/>
      <c r="AA587" s="41"/>
      <c r="AB587" s="717"/>
      <c r="AD587" s="79"/>
      <c r="BF587" s="687" t="s">
        <v>2997</v>
      </c>
      <c r="BJ587" s="86"/>
      <c r="BM587" s="86"/>
    </row>
    <row r="588">
      <c r="A588" s="41"/>
      <c r="C588" s="41"/>
      <c r="D588" s="41"/>
      <c r="F588" s="41"/>
      <c r="G588" s="41"/>
      <c r="I588" s="41"/>
      <c r="J588" s="41"/>
      <c r="L588" s="41"/>
      <c r="M588" s="41"/>
      <c r="O588" s="41"/>
      <c r="P588" s="41"/>
      <c r="R588" s="41"/>
      <c r="S588" s="41"/>
      <c r="U588" s="41"/>
      <c r="V588" s="41"/>
      <c r="X588" s="41"/>
      <c r="Y588" s="716"/>
      <c r="AA588" s="41"/>
      <c r="AB588" s="717"/>
      <c r="AD588" s="79"/>
      <c r="BF588" s="694" t="s">
        <v>2998</v>
      </c>
      <c r="BJ588" s="86"/>
      <c r="BM588" s="86"/>
    </row>
    <row r="589">
      <c r="A589" s="41"/>
      <c r="C589" s="41"/>
      <c r="D589" s="41"/>
      <c r="F589" s="41"/>
      <c r="G589" s="41"/>
      <c r="I589" s="41"/>
      <c r="J589" s="41"/>
      <c r="L589" s="41"/>
      <c r="M589" s="41"/>
      <c r="O589" s="41"/>
      <c r="P589" s="41"/>
      <c r="R589" s="41"/>
      <c r="S589" s="41"/>
      <c r="U589" s="41"/>
      <c r="V589" s="41"/>
      <c r="X589" s="41"/>
      <c r="Y589" s="716"/>
      <c r="AA589" s="41"/>
      <c r="AB589" s="717"/>
      <c r="AD589" s="79"/>
      <c r="BF589" s="687" t="s">
        <v>2999</v>
      </c>
      <c r="BJ589" s="86"/>
      <c r="BM589" s="86"/>
    </row>
    <row r="590">
      <c r="A590" s="41"/>
      <c r="C590" s="41"/>
      <c r="D590" s="41"/>
      <c r="F590" s="41"/>
      <c r="G590" s="41"/>
      <c r="I590" s="41"/>
      <c r="J590" s="41"/>
      <c r="L590" s="41"/>
      <c r="M590" s="41"/>
      <c r="O590" s="41"/>
      <c r="P590" s="41"/>
      <c r="R590" s="41"/>
      <c r="S590" s="41"/>
      <c r="U590" s="41"/>
      <c r="V590" s="41"/>
      <c r="X590" s="41"/>
      <c r="Y590" s="716"/>
      <c r="AA590" s="41"/>
      <c r="AB590" s="717"/>
      <c r="AD590" s="79"/>
      <c r="BF590" s="687" t="s">
        <v>3000</v>
      </c>
      <c r="BJ590" s="86"/>
      <c r="BM590" s="86"/>
    </row>
    <row r="591">
      <c r="A591" s="41"/>
      <c r="C591" s="41"/>
      <c r="D591" s="41"/>
      <c r="F591" s="41"/>
      <c r="G591" s="41"/>
      <c r="I591" s="41"/>
      <c r="J591" s="41"/>
      <c r="L591" s="41"/>
      <c r="M591" s="41"/>
      <c r="O591" s="41"/>
      <c r="P591" s="41"/>
      <c r="R591" s="41"/>
      <c r="S591" s="41"/>
      <c r="U591" s="41"/>
      <c r="V591" s="41"/>
      <c r="X591" s="41"/>
      <c r="Y591" s="716"/>
      <c r="AA591" s="41"/>
      <c r="AB591" s="717"/>
      <c r="AD591" s="79"/>
      <c r="BF591" s="687" t="s">
        <v>3001</v>
      </c>
      <c r="BJ591" s="86"/>
      <c r="BM591" s="86"/>
    </row>
    <row r="592">
      <c r="A592" s="41"/>
      <c r="C592" s="41"/>
      <c r="D592" s="41"/>
      <c r="F592" s="41"/>
      <c r="G592" s="41"/>
      <c r="I592" s="41"/>
      <c r="J592" s="41"/>
      <c r="L592" s="41"/>
      <c r="M592" s="41"/>
      <c r="O592" s="41"/>
      <c r="P592" s="41"/>
      <c r="R592" s="41"/>
      <c r="S592" s="41"/>
      <c r="U592" s="41"/>
      <c r="V592" s="41"/>
      <c r="X592" s="41"/>
      <c r="Y592" s="716"/>
      <c r="AA592" s="41"/>
      <c r="AB592" s="717"/>
      <c r="AD592" s="79"/>
      <c r="BF592" s="687" t="s">
        <v>2829</v>
      </c>
      <c r="BJ592" s="86"/>
      <c r="BM592" s="86"/>
    </row>
    <row r="593">
      <c r="A593" s="41"/>
      <c r="C593" s="41"/>
      <c r="D593" s="41"/>
      <c r="F593" s="41"/>
      <c r="G593" s="41"/>
      <c r="I593" s="41"/>
      <c r="J593" s="41"/>
      <c r="L593" s="41"/>
      <c r="M593" s="41"/>
      <c r="O593" s="41"/>
      <c r="P593" s="41"/>
      <c r="R593" s="41"/>
      <c r="S593" s="41"/>
      <c r="U593" s="41"/>
      <c r="V593" s="41"/>
      <c r="X593" s="41"/>
      <c r="Y593" s="716"/>
      <c r="AA593" s="41"/>
      <c r="AB593" s="717"/>
      <c r="AD593" s="79"/>
      <c r="BF593" s="687" t="s">
        <v>1141</v>
      </c>
      <c r="BJ593" s="86"/>
      <c r="BM593" s="86"/>
    </row>
    <row r="594">
      <c r="A594" s="41"/>
      <c r="C594" s="41"/>
      <c r="D594" s="41"/>
      <c r="F594" s="41"/>
      <c r="G594" s="41"/>
      <c r="I594" s="41"/>
      <c r="J594" s="41"/>
      <c r="L594" s="41"/>
      <c r="M594" s="41"/>
      <c r="O594" s="41"/>
      <c r="P594" s="41"/>
      <c r="R594" s="41"/>
      <c r="S594" s="41"/>
      <c r="U594" s="41"/>
      <c r="V594" s="41"/>
      <c r="X594" s="41"/>
      <c r="Y594" s="716"/>
      <c r="AA594" s="41"/>
      <c r="AB594" s="717"/>
      <c r="AD594" s="79"/>
      <c r="BF594" s="687" t="s">
        <v>2831</v>
      </c>
      <c r="BJ594" s="86"/>
      <c r="BM594" s="86"/>
    </row>
    <row r="595">
      <c r="A595" s="41"/>
      <c r="C595" s="41"/>
      <c r="D595" s="41"/>
      <c r="F595" s="41"/>
      <c r="G595" s="41"/>
      <c r="I595" s="41"/>
      <c r="J595" s="41"/>
      <c r="L595" s="41"/>
      <c r="M595" s="41"/>
      <c r="O595" s="41"/>
      <c r="P595" s="41"/>
      <c r="R595" s="41"/>
      <c r="S595" s="41"/>
      <c r="U595" s="41"/>
      <c r="V595" s="41"/>
      <c r="X595" s="41"/>
      <c r="Y595" s="716"/>
      <c r="AA595" s="41"/>
      <c r="AB595" s="717"/>
      <c r="AD595" s="79"/>
      <c r="BF595" s="687" t="s">
        <v>2880</v>
      </c>
      <c r="BJ595" s="86"/>
      <c r="BM595" s="86"/>
    </row>
    <row r="596">
      <c r="A596" s="41"/>
      <c r="C596" s="41"/>
      <c r="D596" s="41"/>
      <c r="F596" s="41"/>
      <c r="G596" s="41"/>
      <c r="I596" s="41"/>
      <c r="J596" s="41"/>
      <c r="L596" s="41"/>
      <c r="M596" s="41"/>
      <c r="O596" s="41"/>
      <c r="P596" s="41"/>
      <c r="R596" s="41"/>
      <c r="S596" s="41"/>
      <c r="U596" s="41"/>
      <c r="V596" s="41"/>
      <c r="X596" s="41"/>
      <c r="Y596" s="716"/>
      <c r="AA596" s="41"/>
      <c r="AB596" s="717"/>
      <c r="AD596" s="79"/>
      <c r="BF596" s="687" t="s">
        <v>2895</v>
      </c>
      <c r="BJ596" s="86"/>
      <c r="BM596" s="86"/>
    </row>
    <row r="597">
      <c r="A597" s="41"/>
      <c r="C597" s="41"/>
      <c r="D597" s="41"/>
      <c r="F597" s="41"/>
      <c r="G597" s="41"/>
      <c r="I597" s="41"/>
      <c r="J597" s="41"/>
      <c r="L597" s="41"/>
      <c r="M597" s="41"/>
      <c r="O597" s="41"/>
      <c r="P597" s="41"/>
      <c r="R597" s="41"/>
      <c r="S597" s="41"/>
      <c r="U597" s="41"/>
      <c r="V597" s="41"/>
      <c r="X597" s="41"/>
      <c r="Y597" s="716"/>
      <c r="AA597" s="41"/>
      <c r="AB597" s="717"/>
      <c r="AD597" s="79"/>
      <c r="BF597" s="687" t="s">
        <v>2925</v>
      </c>
      <c r="BJ597" s="86"/>
      <c r="BM597" s="86"/>
    </row>
    <row r="598">
      <c r="A598" s="41"/>
      <c r="C598" s="41"/>
      <c r="D598" s="41"/>
      <c r="F598" s="41"/>
      <c r="G598" s="41"/>
      <c r="I598" s="41"/>
      <c r="J598" s="41"/>
      <c r="L598" s="41"/>
      <c r="M598" s="41"/>
      <c r="O598" s="41"/>
      <c r="P598" s="41"/>
      <c r="R598" s="41"/>
      <c r="S598" s="41"/>
      <c r="U598" s="41"/>
      <c r="V598" s="41"/>
      <c r="X598" s="41"/>
      <c r="Y598" s="716"/>
      <c r="AA598" s="41"/>
      <c r="AB598" s="717"/>
      <c r="AD598" s="79"/>
      <c r="BF598" s="687" t="s">
        <v>2460</v>
      </c>
      <c r="BJ598" s="86"/>
      <c r="BM598" s="86"/>
    </row>
    <row r="599">
      <c r="A599" s="41"/>
      <c r="C599" s="41"/>
      <c r="D599" s="41"/>
      <c r="F599" s="41"/>
      <c r="G599" s="41"/>
      <c r="I599" s="41"/>
      <c r="J599" s="41"/>
      <c r="L599" s="41"/>
      <c r="M599" s="41"/>
      <c r="O599" s="41"/>
      <c r="P599" s="41"/>
      <c r="R599" s="41"/>
      <c r="S599" s="41"/>
      <c r="U599" s="41"/>
      <c r="V599" s="41"/>
      <c r="X599" s="41"/>
      <c r="Y599" s="716"/>
      <c r="AA599" s="41"/>
      <c r="AB599" s="717"/>
      <c r="AD599" s="79"/>
      <c r="BF599" s="687" t="s">
        <v>2913</v>
      </c>
      <c r="BJ599" s="86"/>
      <c r="BM599" s="86"/>
    </row>
    <row r="600">
      <c r="A600" s="41"/>
      <c r="C600" s="41"/>
      <c r="D600" s="41"/>
      <c r="F600" s="41"/>
      <c r="G600" s="41"/>
      <c r="I600" s="41"/>
      <c r="J600" s="41"/>
      <c r="L600" s="41"/>
      <c r="M600" s="41"/>
      <c r="O600" s="41"/>
      <c r="P600" s="41"/>
      <c r="R600" s="41"/>
      <c r="S600" s="41"/>
      <c r="U600" s="41"/>
      <c r="V600" s="41"/>
      <c r="X600" s="41"/>
      <c r="Y600" s="716"/>
      <c r="AA600" s="41"/>
      <c r="AB600" s="717"/>
      <c r="AD600" s="79"/>
      <c r="BF600" s="687" t="s">
        <v>3002</v>
      </c>
      <c r="BJ600" s="86"/>
      <c r="BM600" s="86"/>
    </row>
    <row r="601">
      <c r="A601" s="41"/>
      <c r="C601" s="41"/>
      <c r="D601" s="41"/>
      <c r="F601" s="41"/>
      <c r="G601" s="41"/>
      <c r="I601" s="41"/>
      <c r="J601" s="41"/>
      <c r="L601" s="41"/>
      <c r="M601" s="41"/>
      <c r="O601" s="41"/>
      <c r="P601" s="41"/>
      <c r="R601" s="41"/>
      <c r="S601" s="41"/>
      <c r="U601" s="41"/>
      <c r="V601" s="41"/>
      <c r="X601" s="41"/>
      <c r="Y601" s="716"/>
      <c r="AA601" s="41"/>
      <c r="AB601" s="717"/>
      <c r="AD601" s="79"/>
      <c r="BF601" s="687" t="s">
        <v>3003</v>
      </c>
      <c r="BJ601" s="86"/>
      <c r="BM601" s="86"/>
    </row>
    <row r="602">
      <c r="A602" s="41"/>
      <c r="C602" s="41"/>
      <c r="D602" s="41"/>
      <c r="F602" s="41"/>
      <c r="G602" s="41"/>
      <c r="I602" s="41"/>
      <c r="J602" s="41"/>
      <c r="L602" s="41"/>
      <c r="M602" s="41"/>
      <c r="O602" s="41"/>
      <c r="P602" s="41"/>
      <c r="R602" s="41"/>
      <c r="S602" s="41"/>
      <c r="U602" s="41"/>
      <c r="V602" s="41"/>
      <c r="X602" s="41"/>
      <c r="Y602" s="716"/>
      <c r="AA602" s="41"/>
      <c r="AB602" s="717"/>
      <c r="AD602" s="79"/>
      <c r="BF602" s="687" t="s">
        <v>2942</v>
      </c>
      <c r="BJ602" s="86"/>
      <c r="BM602" s="86"/>
    </row>
    <row r="603">
      <c r="A603" s="41"/>
      <c r="C603" s="41"/>
      <c r="D603" s="41"/>
      <c r="F603" s="41"/>
      <c r="G603" s="41"/>
      <c r="I603" s="41"/>
      <c r="J603" s="41"/>
      <c r="L603" s="41"/>
      <c r="M603" s="41"/>
      <c r="O603" s="41"/>
      <c r="P603" s="41"/>
      <c r="R603" s="41"/>
      <c r="S603" s="41"/>
      <c r="U603" s="41"/>
      <c r="V603" s="41"/>
      <c r="X603" s="41"/>
      <c r="Y603" s="716"/>
      <c r="AA603" s="41"/>
      <c r="AB603" s="717"/>
      <c r="AD603" s="79"/>
      <c r="BF603" s="687" t="s">
        <v>2769</v>
      </c>
      <c r="BJ603" s="86"/>
      <c r="BM603" s="86"/>
    </row>
    <row r="604">
      <c r="A604" s="41"/>
      <c r="C604" s="41"/>
      <c r="D604" s="41"/>
      <c r="F604" s="41"/>
      <c r="G604" s="41"/>
      <c r="I604" s="41"/>
      <c r="J604" s="41"/>
      <c r="L604" s="41"/>
      <c r="M604" s="41"/>
      <c r="O604" s="41"/>
      <c r="P604" s="41"/>
      <c r="R604" s="41"/>
      <c r="S604" s="41"/>
      <c r="U604" s="41"/>
      <c r="V604" s="41"/>
      <c r="X604" s="41"/>
      <c r="Y604" s="716"/>
      <c r="AA604" s="41"/>
      <c r="AB604" s="717"/>
      <c r="AD604" s="79"/>
      <c r="BF604" s="687" t="s">
        <v>2859</v>
      </c>
      <c r="BJ604" s="86"/>
      <c r="BM604" s="86"/>
    </row>
    <row r="605">
      <c r="A605" s="41"/>
      <c r="C605" s="41"/>
      <c r="D605" s="41"/>
      <c r="F605" s="41"/>
      <c r="G605" s="41"/>
      <c r="I605" s="41"/>
      <c r="J605" s="41"/>
      <c r="L605" s="41"/>
      <c r="M605" s="41"/>
      <c r="O605" s="41"/>
      <c r="P605" s="41"/>
      <c r="R605" s="41"/>
      <c r="S605" s="41"/>
      <c r="U605" s="41"/>
      <c r="V605" s="41"/>
      <c r="X605" s="41"/>
      <c r="Y605" s="716"/>
      <c r="AA605" s="41"/>
      <c r="AB605" s="717"/>
      <c r="AD605" s="79"/>
      <c r="BF605" s="687" t="s">
        <v>2341</v>
      </c>
      <c r="BJ605" s="86"/>
      <c r="BM605" s="86"/>
    </row>
    <row r="606">
      <c r="A606" s="41"/>
      <c r="C606" s="41"/>
      <c r="D606" s="41"/>
      <c r="F606" s="41"/>
      <c r="G606" s="41"/>
      <c r="I606" s="41"/>
      <c r="J606" s="41"/>
      <c r="L606" s="41"/>
      <c r="M606" s="41"/>
      <c r="O606" s="41"/>
      <c r="P606" s="41"/>
      <c r="R606" s="41"/>
      <c r="S606" s="41"/>
      <c r="U606" s="41"/>
      <c r="V606" s="41"/>
      <c r="X606" s="41"/>
      <c r="Y606" s="716"/>
      <c r="AA606" s="41"/>
      <c r="AB606" s="717"/>
      <c r="AD606" s="79"/>
      <c r="BF606" s="687" t="s">
        <v>2948</v>
      </c>
      <c r="BJ606" s="86"/>
      <c r="BM606" s="86"/>
    </row>
    <row r="607">
      <c r="A607" s="41"/>
      <c r="C607" s="41"/>
      <c r="D607" s="41"/>
      <c r="F607" s="41"/>
      <c r="G607" s="41"/>
      <c r="I607" s="41"/>
      <c r="J607" s="41"/>
      <c r="L607" s="41"/>
      <c r="M607" s="41"/>
      <c r="O607" s="41"/>
      <c r="P607" s="41"/>
      <c r="R607" s="41"/>
      <c r="S607" s="41"/>
      <c r="U607" s="41"/>
      <c r="V607" s="41"/>
      <c r="X607" s="41"/>
      <c r="Y607" s="716"/>
      <c r="AA607" s="41"/>
      <c r="AB607" s="717"/>
      <c r="AD607" s="79"/>
      <c r="BF607" s="687" t="s">
        <v>2293</v>
      </c>
      <c r="BJ607" s="86"/>
      <c r="BM607" s="86"/>
    </row>
    <row r="608">
      <c r="A608" s="41"/>
      <c r="C608" s="41"/>
      <c r="D608" s="41"/>
      <c r="F608" s="41"/>
      <c r="G608" s="41"/>
      <c r="I608" s="41"/>
      <c r="J608" s="41"/>
      <c r="L608" s="41"/>
      <c r="M608" s="41"/>
      <c r="O608" s="41"/>
      <c r="P608" s="41"/>
      <c r="R608" s="41"/>
      <c r="S608" s="41"/>
      <c r="U608" s="41"/>
      <c r="V608" s="41"/>
      <c r="X608" s="41"/>
      <c r="Y608" s="716"/>
      <c r="AA608" s="41"/>
      <c r="AB608" s="717"/>
      <c r="AD608" s="79"/>
      <c r="BF608" s="687" t="s">
        <v>2954</v>
      </c>
      <c r="BJ608" s="86"/>
      <c r="BM608" s="86"/>
    </row>
    <row r="609">
      <c r="A609" s="41"/>
      <c r="C609" s="41"/>
      <c r="D609" s="41"/>
      <c r="F609" s="41"/>
      <c r="G609" s="41"/>
      <c r="I609" s="41"/>
      <c r="J609" s="41"/>
      <c r="L609" s="41"/>
      <c r="M609" s="41"/>
      <c r="O609" s="41"/>
      <c r="P609" s="41"/>
      <c r="R609" s="41"/>
      <c r="S609" s="41"/>
      <c r="U609" s="41"/>
      <c r="V609" s="41"/>
      <c r="X609" s="41"/>
      <c r="Y609" s="716"/>
      <c r="AA609" s="41"/>
      <c r="AB609" s="717"/>
      <c r="AD609" s="79"/>
      <c r="BF609" s="687" t="s">
        <v>2928</v>
      </c>
      <c r="BJ609" s="86"/>
      <c r="BM609" s="86"/>
    </row>
    <row r="610">
      <c r="A610" s="41"/>
      <c r="C610" s="41"/>
      <c r="D610" s="41"/>
      <c r="F610" s="41"/>
      <c r="G610" s="41"/>
      <c r="I610" s="41"/>
      <c r="J610" s="41"/>
      <c r="L610" s="41"/>
      <c r="M610" s="41"/>
      <c r="O610" s="41"/>
      <c r="P610" s="41"/>
      <c r="R610" s="41"/>
      <c r="S610" s="41"/>
      <c r="U610" s="41"/>
      <c r="V610" s="41"/>
      <c r="X610" s="41"/>
      <c r="Y610" s="716"/>
      <c r="AA610" s="41"/>
      <c r="AB610" s="717"/>
      <c r="AD610" s="79"/>
      <c r="BF610" s="687" t="s">
        <v>2814</v>
      </c>
      <c r="BJ610" s="86"/>
      <c r="BM610" s="86"/>
    </row>
    <row r="611">
      <c r="A611" s="41"/>
      <c r="C611" s="41"/>
      <c r="D611" s="41"/>
      <c r="F611" s="41"/>
      <c r="G611" s="41"/>
      <c r="I611" s="41"/>
      <c r="J611" s="41"/>
      <c r="L611" s="41"/>
      <c r="M611" s="41"/>
      <c r="O611" s="41"/>
      <c r="P611" s="41"/>
      <c r="R611" s="41"/>
      <c r="S611" s="41"/>
      <c r="U611" s="41"/>
      <c r="V611" s="41"/>
      <c r="X611" s="41"/>
      <c r="Y611" s="716"/>
      <c r="AA611" s="41"/>
      <c r="AB611" s="717"/>
      <c r="AD611" s="79"/>
      <c r="BF611" s="687" t="s">
        <v>2834</v>
      </c>
      <c r="BJ611" s="86"/>
      <c r="BM611" s="86"/>
    </row>
    <row r="612">
      <c r="A612" s="41"/>
      <c r="C612" s="41"/>
      <c r="D612" s="41"/>
      <c r="F612" s="41"/>
      <c r="G612" s="41"/>
      <c r="I612" s="41"/>
      <c r="J612" s="41"/>
      <c r="L612" s="41"/>
      <c r="M612" s="41"/>
      <c r="O612" s="41"/>
      <c r="P612" s="41"/>
      <c r="R612" s="41"/>
      <c r="S612" s="41"/>
      <c r="U612" s="41"/>
      <c r="V612" s="41"/>
      <c r="X612" s="41"/>
      <c r="Y612" s="716"/>
      <c r="AA612" s="41"/>
      <c r="AB612" s="717"/>
      <c r="AD612" s="79"/>
      <c r="BF612" s="687" t="s">
        <v>2856</v>
      </c>
      <c r="BJ612" s="86"/>
      <c r="BM612" s="86"/>
    </row>
    <row r="613">
      <c r="A613" s="41"/>
      <c r="C613" s="41"/>
      <c r="D613" s="41"/>
      <c r="F613" s="41"/>
      <c r="G613" s="41"/>
      <c r="I613" s="41"/>
      <c r="J613" s="41"/>
      <c r="L613" s="41"/>
      <c r="M613" s="41"/>
      <c r="O613" s="41"/>
      <c r="P613" s="41"/>
      <c r="R613" s="41"/>
      <c r="S613" s="41"/>
      <c r="U613" s="41"/>
      <c r="V613" s="41"/>
      <c r="X613" s="41"/>
      <c r="Y613" s="716"/>
      <c r="AA613" s="41"/>
      <c r="AB613" s="717"/>
      <c r="AD613" s="79"/>
      <c r="BF613" s="687" t="s">
        <v>2891</v>
      </c>
      <c r="BJ613" s="86"/>
      <c r="BM613" s="86"/>
    </row>
    <row r="614">
      <c r="A614" s="41"/>
      <c r="C614" s="41"/>
      <c r="D614" s="41"/>
      <c r="F614" s="41"/>
      <c r="G614" s="41"/>
      <c r="I614" s="41"/>
      <c r="J614" s="41"/>
      <c r="L614" s="41"/>
      <c r="M614" s="41"/>
      <c r="O614" s="41"/>
      <c r="P614" s="41"/>
      <c r="R614" s="41"/>
      <c r="S614" s="41"/>
      <c r="U614" s="41"/>
      <c r="V614" s="41"/>
      <c r="X614" s="41"/>
      <c r="Y614" s="716"/>
      <c r="AA614" s="41"/>
      <c r="AB614" s="717"/>
      <c r="AD614" s="79"/>
      <c r="BF614" s="687" t="s">
        <v>2912</v>
      </c>
      <c r="BJ614" s="86"/>
      <c r="BM614" s="86"/>
    </row>
    <row r="615">
      <c r="A615" s="41"/>
      <c r="C615" s="41"/>
      <c r="D615" s="41"/>
      <c r="F615" s="41"/>
      <c r="G615" s="41"/>
      <c r="I615" s="41"/>
      <c r="J615" s="41"/>
      <c r="L615" s="41"/>
      <c r="M615" s="41"/>
      <c r="O615" s="41"/>
      <c r="P615" s="41"/>
      <c r="R615" s="41"/>
      <c r="S615" s="41"/>
      <c r="U615" s="41"/>
      <c r="V615" s="41"/>
      <c r="X615" s="41"/>
      <c r="Y615" s="716"/>
      <c r="AA615" s="41"/>
      <c r="AB615" s="717"/>
      <c r="AD615" s="79"/>
      <c r="BF615" s="687" t="s">
        <v>2920</v>
      </c>
      <c r="BJ615" s="86"/>
      <c r="BM615" s="86"/>
    </row>
    <row r="616">
      <c r="A616" s="41"/>
      <c r="C616" s="41"/>
      <c r="D616" s="41"/>
      <c r="F616" s="41"/>
      <c r="G616" s="41"/>
      <c r="I616" s="41"/>
      <c r="J616" s="41"/>
      <c r="L616" s="41"/>
      <c r="M616" s="41"/>
      <c r="O616" s="41"/>
      <c r="P616" s="41"/>
      <c r="R616" s="41"/>
      <c r="S616" s="41"/>
      <c r="U616" s="41"/>
      <c r="V616" s="41"/>
      <c r="X616" s="41"/>
      <c r="Y616" s="716"/>
      <c r="AA616" s="41"/>
      <c r="AB616" s="717"/>
      <c r="AD616" s="79"/>
      <c r="BF616" s="687" t="s">
        <v>2922</v>
      </c>
      <c r="BJ616" s="86"/>
      <c r="BM616" s="86"/>
    </row>
    <row r="617">
      <c r="A617" s="41"/>
      <c r="C617" s="41"/>
      <c r="D617" s="41"/>
      <c r="F617" s="41"/>
      <c r="G617" s="41"/>
      <c r="I617" s="41"/>
      <c r="J617" s="41"/>
      <c r="L617" s="41"/>
      <c r="M617" s="41"/>
      <c r="O617" s="41"/>
      <c r="P617" s="41"/>
      <c r="R617" s="41"/>
      <c r="S617" s="41"/>
      <c r="U617" s="41"/>
      <c r="V617" s="41"/>
      <c r="X617" s="41"/>
      <c r="Y617" s="716"/>
      <c r="AA617" s="41"/>
      <c r="AB617" s="717"/>
      <c r="AD617" s="79"/>
      <c r="BF617" s="687" t="s">
        <v>2941</v>
      </c>
      <c r="BJ617" s="86"/>
      <c r="BM617" s="86"/>
    </row>
    <row r="618">
      <c r="A618" s="41"/>
      <c r="C618" s="41"/>
      <c r="D618" s="41"/>
      <c r="F618" s="41"/>
      <c r="G618" s="41"/>
      <c r="I618" s="41"/>
      <c r="J618" s="41"/>
      <c r="L618" s="41"/>
      <c r="M618" s="41"/>
      <c r="O618" s="41"/>
      <c r="P618" s="41"/>
      <c r="R618" s="41"/>
      <c r="S618" s="41"/>
      <c r="U618" s="41"/>
      <c r="V618" s="41"/>
      <c r="X618" s="41"/>
      <c r="Y618" s="716"/>
      <c r="AA618" s="41"/>
      <c r="AB618" s="717"/>
      <c r="AD618" s="79"/>
      <c r="BF618" s="687" t="s">
        <v>2949</v>
      </c>
      <c r="BJ618" s="86"/>
      <c r="BM618" s="86"/>
    </row>
    <row r="619">
      <c r="A619" s="41"/>
      <c r="C619" s="41"/>
      <c r="D619" s="41"/>
      <c r="F619" s="41"/>
      <c r="G619" s="41"/>
      <c r="I619" s="41"/>
      <c r="J619" s="41"/>
      <c r="L619" s="41"/>
      <c r="M619" s="41"/>
      <c r="O619" s="41"/>
      <c r="P619" s="41"/>
      <c r="R619" s="41"/>
      <c r="S619" s="41"/>
      <c r="U619" s="41"/>
      <c r="V619" s="41"/>
      <c r="X619" s="41"/>
      <c r="Y619" s="716"/>
      <c r="AA619" s="41"/>
      <c r="AB619" s="717"/>
      <c r="AD619" s="79"/>
      <c r="BF619" s="687" t="s">
        <v>2952</v>
      </c>
      <c r="BJ619" s="86"/>
      <c r="BM619" s="86"/>
    </row>
    <row r="620">
      <c r="A620" s="41"/>
      <c r="C620" s="41"/>
      <c r="D620" s="41"/>
      <c r="F620" s="41"/>
      <c r="G620" s="41"/>
      <c r="I620" s="41"/>
      <c r="J620" s="41"/>
      <c r="L620" s="41"/>
      <c r="M620" s="41"/>
      <c r="O620" s="41"/>
      <c r="P620" s="41"/>
      <c r="R620" s="41"/>
      <c r="S620" s="41"/>
      <c r="U620" s="41"/>
      <c r="V620" s="41"/>
      <c r="X620" s="41"/>
      <c r="Y620" s="716"/>
      <c r="AA620" s="41"/>
      <c r="AB620" s="717"/>
      <c r="AD620" s="79"/>
      <c r="BF620" s="687" t="s">
        <v>2762</v>
      </c>
      <c r="BJ620" s="86"/>
      <c r="BM620" s="86"/>
    </row>
    <row r="621">
      <c r="A621" s="41"/>
      <c r="C621" s="41"/>
      <c r="D621" s="41"/>
      <c r="F621" s="41"/>
      <c r="G621" s="41"/>
      <c r="I621" s="41"/>
      <c r="J621" s="41"/>
      <c r="L621" s="41"/>
      <c r="M621" s="41"/>
      <c r="O621" s="41"/>
      <c r="P621" s="41"/>
      <c r="R621" s="41"/>
      <c r="S621" s="41"/>
      <c r="U621" s="41"/>
      <c r="V621" s="41"/>
      <c r="X621" s="41"/>
      <c r="Y621" s="716"/>
      <c r="AA621" s="41"/>
      <c r="AB621" s="717"/>
      <c r="AD621" s="79"/>
      <c r="BF621" s="687" t="s">
        <v>3004</v>
      </c>
      <c r="BJ621" s="86"/>
      <c r="BM621" s="86"/>
    </row>
    <row r="622">
      <c r="A622" s="41"/>
      <c r="C622" s="41"/>
      <c r="D622" s="41"/>
      <c r="F622" s="41"/>
      <c r="G622" s="41"/>
      <c r="I622" s="41"/>
      <c r="J622" s="41"/>
      <c r="L622" s="41"/>
      <c r="M622" s="41"/>
      <c r="O622" s="41"/>
      <c r="P622" s="41"/>
      <c r="R622" s="41"/>
      <c r="S622" s="41"/>
      <c r="U622" s="41"/>
      <c r="V622" s="41"/>
      <c r="X622" s="41"/>
      <c r="Y622" s="716"/>
      <c r="AA622" s="41"/>
      <c r="AB622" s="717"/>
      <c r="AD622" s="79"/>
      <c r="BF622" s="687" t="s">
        <v>225</v>
      </c>
      <c r="BJ622" s="86"/>
      <c r="BM622" s="86"/>
    </row>
    <row r="623">
      <c r="A623" s="41"/>
      <c r="C623" s="41"/>
      <c r="D623" s="41"/>
      <c r="F623" s="41"/>
      <c r="G623" s="41"/>
      <c r="I623" s="41"/>
      <c r="J623" s="41"/>
      <c r="L623" s="41"/>
      <c r="M623" s="41"/>
      <c r="O623" s="41"/>
      <c r="P623" s="41"/>
      <c r="R623" s="41"/>
      <c r="S623" s="41"/>
      <c r="U623" s="41"/>
      <c r="V623" s="41"/>
      <c r="X623" s="41"/>
      <c r="Y623" s="716"/>
      <c r="AA623" s="41"/>
      <c r="AB623" s="717"/>
      <c r="AD623" s="79"/>
      <c r="BF623" s="687" t="s">
        <v>3005</v>
      </c>
      <c r="BJ623" s="86"/>
      <c r="BM623" s="86"/>
    </row>
    <row r="624">
      <c r="A624" s="41"/>
      <c r="C624" s="41"/>
      <c r="D624" s="41"/>
      <c r="F624" s="41"/>
      <c r="G624" s="41"/>
      <c r="I624" s="41"/>
      <c r="J624" s="41"/>
      <c r="L624" s="41"/>
      <c r="M624" s="41"/>
      <c r="O624" s="41"/>
      <c r="P624" s="41"/>
      <c r="R624" s="41"/>
      <c r="S624" s="41"/>
      <c r="U624" s="41"/>
      <c r="V624" s="41"/>
      <c r="X624" s="41"/>
      <c r="Y624" s="716"/>
      <c r="AA624" s="41"/>
      <c r="AB624" s="717"/>
      <c r="AD624" s="79"/>
      <c r="BF624" s="687" t="s">
        <v>3006</v>
      </c>
      <c r="BJ624" s="86"/>
      <c r="BM624" s="86"/>
    </row>
    <row r="625">
      <c r="A625" s="41"/>
      <c r="C625" s="41"/>
      <c r="D625" s="41"/>
      <c r="F625" s="41"/>
      <c r="G625" s="41"/>
      <c r="I625" s="41"/>
      <c r="J625" s="41"/>
      <c r="L625" s="41"/>
      <c r="M625" s="41"/>
      <c r="O625" s="41"/>
      <c r="P625" s="41"/>
      <c r="R625" s="41"/>
      <c r="S625" s="41"/>
      <c r="U625" s="41"/>
      <c r="V625" s="41"/>
      <c r="X625" s="41"/>
      <c r="Y625" s="716"/>
      <c r="AA625" s="41"/>
      <c r="AB625" s="717"/>
      <c r="AD625" s="79"/>
      <c r="BF625" s="687" t="s">
        <v>3007</v>
      </c>
      <c r="BJ625" s="86"/>
      <c r="BM625" s="86"/>
    </row>
    <row r="626">
      <c r="A626" s="41"/>
      <c r="C626" s="41"/>
      <c r="D626" s="41"/>
      <c r="F626" s="41"/>
      <c r="G626" s="41"/>
      <c r="I626" s="41"/>
      <c r="J626" s="41"/>
      <c r="L626" s="41"/>
      <c r="M626" s="41"/>
      <c r="O626" s="41"/>
      <c r="P626" s="41"/>
      <c r="R626" s="41"/>
      <c r="S626" s="41"/>
      <c r="U626" s="41"/>
      <c r="V626" s="41"/>
      <c r="X626" s="41"/>
      <c r="Y626" s="716"/>
      <c r="AA626" s="41"/>
      <c r="AB626" s="717"/>
      <c r="AD626" s="79"/>
      <c r="BF626" s="687" t="s">
        <v>3008</v>
      </c>
      <c r="BJ626" s="86"/>
      <c r="BM626" s="86"/>
    </row>
    <row r="627">
      <c r="A627" s="41"/>
      <c r="C627" s="41"/>
      <c r="D627" s="41"/>
      <c r="F627" s="41"/>
      <c r="G627" s="41"/>
      <c r="I627" s="41"/>
      <c r="J627" s="41"/>
      <c r="L627" s="41"/>
      <c r="M627" s="41"/>
      <c r="O627" s="41"/>
      <c r="P627" s="41"/>
      <c r="R627" s="41"/>
      <c r="S627" s="41"/>
      <c r="U627" s="41"/>
      <c r="V627" s="41"/>
      <c r="X627" s="41"/>
      <c r="Y627" s="716"/>
      <c r="AA627" s="41"/>
      <c r="AB627" s="717"/>
      <c r="AD627" s="79"/>
      <c r="BF627" s="687" t="s">
        <v>3009</v>
      </c>
      <c r="BJ627" s="86"/>
      <c r="BM627" s="86"/>
    </row>
    <row r="628">
      <c r="A628" s="41"/>
      <c r="C628" s="41"/>
      <c r="D628" s="41"/>
      <c r="F628" s="41"/>
      <c r="G628" s="41"/>
      <c r="I628" s="41"/>
      <c r="J628" s="41"/>
      <c r="L628" s="41"/>
      <c r="M628" s="41"/>
      <c r="O628" s="41"/>
      <c r="P628" s="41"/>
      <c r="R628" s="41"/>
      <c r="S628" s="41"/>
      <c r="U628" s="41"/>
      <c r="V628" s="41"/>
      <c r="X628" s="41"/>
      <c r="Y628" s="716"/>
      <c r="AA628" s="41"/>
      <c r="AB628" s="717"/>
      <c r="AD628" s="79"/>
      <c r="BF628" s="687" t="s">
        <v>3010</v>
      </c>
      <c r="BJ628" s="86"/>
      <c r="BM628" s="86"/>
    </row>
    <row r="629">
      <c r="A629" s="41"/>
      <c r="C629" s="41"/>
      <c r="D629" s="41"/>
      <c r="F629" s="41"/>
      <c r="G629" s="41"/>
      <c r="I629" s="41"/>
      <c r="J629" s="41"/>
      <c r="L629" s="41"/>
      <c r="M629" s="41"/>
      <c r="O629" s="41"/>
      <c r="P629" s="41"/>
      <c r="R629" s="41"/>
      <c r="S629" s="41"/>
      <c r="U629" s="41"/>
      <c r="V629" s="41"/>
      <c r="X629" s="41"/>
      <c r="Y629" s="716"/>
      <c r="AA629" s="41"/>
      <c r="AB629" s="717"/>
      <c r="AD629" s="79"/>
      <c r="BF629" s="687" t="s">
        <v>3011</v>
      </c>
      <c r="BJ629" s="86"/>
      <c r="BM629" s="86"/>
    </row>
    <row r="630">
      <c r="A630" s="41"/>
      <c r="C630" s="41"/>
      <c r="D630" s="41"/>
      <c r="F630" s="41"/>
      <c r="G630" s="41"/>
      <c r="I630" s="41"/>
      <c r="J630" s="41"/>
      <c r="L630" s="41"/>
      <c r="M630" s="41"/>
      <c r="O630" s="41"/>
      <c r="P630" s="41"/>
      <c r="R630" s="41"/>
      <c r="S630" s="41"/>
      <c r="U630" s="41"/>
      <c r="V630" s="41"/>
      <c r="X630" s="41"/>
      <c r="Y630" s="716"/>
      <c r="AA630" s="41"/>
      <c r="AB630" s="717"/>
      <c r="AD630" s="79"/>
      <c r="BF630" s="694" t="s">
        <v>3012</v>
      </c>
      <c r="BJ630" s="86"/>
      <c r="BM630" s="86"/>
    </row>
    <row r="631">
      <c r="A631" s="41"/>
      <c r="C631" s="41"/>
      <c r="D631" s="41"/>
      <c r="F631" s="41"/>
      <c r="G631" s="41"/>
      <c r="I631" s="41"/>
      <c r="J631" s="41"/>
      <c r="L631" s="41"/>
      <c r="M631" s="41"/>
      <c r="O631" s="41"/>
      <c r="P631" s="41"/>
      <c r="R631" s="41"/>
      <c r="S631" s="41"/>
      <c r="U631" s="41"/>
      <c r="V631" s="41"/>
      <c r="X631" s="41"/>
      <c r="Y631" s="716"/>
      <c r="AA631" s="41"/>
      <c r="AB631" s="717"/>
      <c r="AD631" s="79"/>
      <c r="BF631" s="687" t="s">
        <v>3013</v>
      </c>
      <c r="BJ631" s="86"/>
      <c r="BM631" s="86"/>
    </row>
    <row r="632">
      <c r="A632" s="41"/>
      <c r="C632" s="41"/>
      <c r="D632" s="41"/>
      <c r="F632" s="41"/>
      <c r="G632" s="41"/>
      <c r="I632" s="41"/>
      <c r="J632" s="41"/>
      <c r="L632" s="41"/>
      <c r="M632" s="41"/>
      <c r="O632" s="41"/>
      <c r="P632" s="41"/>
      <c r="R632" s="41"/>
      <c r="S632" s="41"/>
      <c r="U632" s="41"/>
      <c r="V632" s="41"/>
      <c r="X632" s="41"/>
      <c r="Y632" s="716"/>
      <c r="AA632" s="41"/>
      <c r="AB632" s="717"/>
      <c r="AD632" s="79"/>
      <c r="BF632" s="687" t="s">
        <v>2345</v>
      </c>
      <c r="BJ632" s="86"/>
      <c r="BM632" s="86"/>
    </row>
    <row r="633">
      <c r="A633" s="41"/>
      <c r="C633" s="41"/>
      <c r="D633" s="41"/>
      <c r="F633" s="41"/>
      <c r="G633" s="41"/>
      <c r="I633" s="41"/>
      <c r="J633" s="41"/>
      <c r="L633" s="41"/>
      <c r="M633" s="41"/>
      <c r="O633" s="41"/>
      <c r="P633" s="41"/>
      <c r="R633" s="41"/>
      <c r="S633" s="41"/>
      <c r="U633" s="41"/>
      <c r="V633" s="41"/>
      <c r="X633" s="41"/>
      <c r="Y633" s="716"/>
      <c r="AA633" s="41"/>
      <c r="AB633" s="717"/>
      <c r="AD633" s="79"/>
      <c r="BF633" s="687" t="s">
        <v>3014</v>
      </c>
      <c r="BJ633" s="86"/>
      <c r="BM633" s="86"/>
    </row>
    <row r="634">
      <c r="A634" s="41"/>
      <c r="C634" s="41"/>
      <c r="D634" s="41"/>
      <c r="F634" s="41"/>
      <c r="G634" s="41"/>
      <c r="I634" s="41"/>
      <c r="J634" s="41"/>
      <c r="L634" s="41"/>
      <c r="M634" s="41"/>
      <c r="O634" s="41"/>
      <c r="P634" s="41"/>
      <c r="R634" s="41"/>
      <c r="S634" s="41"/>
      <c r="U634" s="41"/>
      <c r="V634" s="41"/>
      <c r="X634" s="41"/>
      <c r="Y634" s="716"/>
      <c r="AA634" s="41"/>
      <c r="AB634" s="717"/>
      <c r="AD634" s="79"/>
      <c r="BF634" s="687" t="s">
        <v>1089</v>
      </c>
      <c r="BJ634" s="86"/>
      <c r="BM634" s="86"/>
    </row>
    <row r="635">
      <c r="A635" s="41"/>
      <c r="C635" s="41"/>
      <c r="D635" s="41"/>
      <c r="F635" s="41"/>
      <c r="G635" s="41"/>
      <c r="I635" s="41"/>
      <c r="J635" s="41"/>
      <c r="L635" s="41"/>
      <c r="M635" s="41"/>
      <c r="O635" s="41"/>
      <c r="P635" s="41"/>
      <c r="R635" s="41"/>
      <c r="S635" s="41"/>
      <c r="U635" s="41"/>
      <c r="V635" s="41"/>
      <c r="X635" s="41"/>
      <c r="Y635" s="716"/>
      <c r="AA635" s="41"/>
      <c r="AB635" s="717"/>
      <c r="AD635" s="79"/>
      <c r="BF635" s="687" t="s">
        <v>3015</v>
      </c>
      <c r="BJ635" s="86"/>
      <c r="BM635" s="86"/>
    </row>
    <row r="636">
      <c r="A636" s="41"/>
      <c r="C636" s="41"/>
      <c r="D636" s="41"/>
      <c r="F636" s="41"/>
      <c r="G636" s="41"/>
      <c r="I636" s="41"/>
      <c r="J636" s="41"/>
      <c r="L636" s="41"/>
      <c r="M636" s="41"/>
      <c r="O636" s="41"/>
      <c r="P636" s="41"/>
      <c r="R636" s="41"/>
      <c r="S636" s="41"/>
      <c r="U636" s="41"/>
      <c r="V636" s="41"/>
      <c r="X636" s="41"/>
      <c r="Y636" s="716"/>
      <c r="AA636" s="41"/>
      <c r="AB636" s="717"/>
      <c r="AD636" s="79"/>
      <c r="BF636" s="687" t="s">
        <v>2318</v>
      </c>
      <c r="BJ636" s="86"/>
      <c r="BM636" s="86"/>
    </row>
    <row r="637">
      <c r="A637" s="41"/>
      <c r="C637" s="41"/>
      <c r="D637" s="41"/>
      <c r="F637" s="41"/>
      <c r="G637" s="41"/>
      <c r="I637" s="41"/>
      <c r="J637" s="41"/>
      <c r="L637" s="41"/>
      <c r="M637" s="41"/>
      <c r="O637" s="41"/>
      <c r="P637" s="41"/>
      <c r="R637" s="41"/>
      <c r="S637" s="41"/>
      <c r="U637" s="41"/>
      <c r="V637" s="41"/>
      <c r="X637" s="41"/>
      <c r="Y637" s="716"/>
      <c r="AA637" s="41"/>
      <c r="AB637" s="717"/>
      <c r="AD637" s="79"/>
      <c r="BF637" s="687" t="s">
        <v>3016</v>
      </c>
      <c r="BJ637" s="86"/>
      <c r="BM637" s="86"/>
    </row>
    <row r="638">
      <c r="A638" s="41"/>
      <c r="C638" s="41"/>
      <c r="D638" s="41"/>
      <c r="F638" s="41"/>
      <c r="G638" s="41"/>
      <c r="I638" s="41"/>
      <c r="J638" s="41"/>
      <c r="L638" s="41"/>
      <c r="M638" s="41"/>
      <c r="O638" s="41"/>
      <c r="P638" s="41"/>
      <c r="R638" s="41"/>
      <c r="S638" s="41"/>
      <c r="U638" s="41"/>
      <c r="V638" s="41"/>
      <c r="X638" s="41"/>
      <c r="Y638" s="716"/>
      <c r="AA638" s="41"/>
      <c r="AB638" s="717"/>
      <c r="AD638" s="79"/>
      <c r="BF638" s="687" t="s">
        <v>3017</v>
      </c>
      <c r="BJ638" s="86"/>
      <c r="BM638" s="86"/>
    </row>
    <row r="639">
      <c r="A639" s="41"/>
      <c r="C639" s="41"/>
      <c r="D639" s="41"/>
      <c r="F639" s="41"/>
      <c r="G639" s="41"/>
      <c r="I639" s="41"/>
      <c r="J639" s="41"/>
      <c r="L639" s="41"/>
      <c r="M639" s="41"/>
      <c r="O639" s="41"/>
      <c r="P639" s="41"/>
      <c r="R639" s="41"/>
      <c r="S639" s="41"/>
      <c r="U639" s="41"/>
      <c r="V639" s="41"/>
      <c r="X639" s="41"/>
      <c r="Y639" s="716"/>
      <c r="AA639" s="41"/>
      <c r="AB639" s="717"/>
      <c r="AD639" s="79"/>
      <c r="BF639" s="687" t="s">
        <v>3018</v>
      </c>
      <c r="BJ639" s="86"/>
      <c r="BM639" s="86"/>
    </row>
    <row r="640">
      <c r="A640" s="41"/>
      <c r="C640" s="41"/>
      <c r="D640" s="41"/>
      <c r="F640" s="41"/>
      <c r="G640" s="41"/>
      <c r="I640" s="41"/>
      <c r="J640" s="41"/>
      <c r="L640" s="41"/>
      <c r="M640" s="41"/>
      <c r="O640" s="41"/>
      <c r="P640" s="41"/>
      <c r="R640" s="41"/>
      <c r="S640" s="41"/>
      <c r="U640" s="41"/>
      <c r="V640" s="41"/>
      <c r="X640" s="41"/>
      <c r="Y640" s="716"/>
      <c r="AA640" s="41"/>
      <c r="AB640" s="717"/>
      <c r="AD640" s="79"/>
      <c r="BF640" s="687" t="s">
        <v>3019</v>
      </c>
      <c r="BJ640" s="86"/>
      <c r="BM640" s="86"/>
    </row>
    <row r="641">
      <c r="A641" s="41"/>
      <c r="C641" s="41"/>
      <c r="D641" s="41"/>
      <c r="F641" s="41"/>
      <c r="G641" s="41"/>
      <c r="I641" s="41"/>
      <c r="J641" s="41"/>
      <c r="L641" s="41"/>
      <c r="M641" s="41"/>
      <c r="O641" s="41"/>
      <c r="P641" s="41"/>
      <c r="R641" s="41"/>
      <c r="S641" s="41"/>
      <c r="U641" s="41"/>
      <c r="V641" s="41"/>
      <c r="X641" s="41"/>
      <c r="Y641" s="716"/>
      <c r="AA641" s="41"/>
      <c r="AB641" s="717"/>
      <c r="AD641" s="79"/>
      <c r="BF641" s="687" t="s">
        <v>3020</v>
      </c>
      <c r="BJ641" s="86"/>
      <c r="BM641" s="86"/>
    </row>
    <row r="642">
      <c r="A642" s="41"/>
      <c r="C642" s="41"/>
      <c r="D642" s="41"/>
      <c r="F642" s="41"/>
      <c r="G642" s="41"/>
      <c r="I642" s="41"/>
      <c r="J642" s="41"/>
      <c r="L642" s="41"/>
      <c r="M642" s="41"/>
      <c r="O642" s="41"/>
      <c r="P642" s="41"/>
      <c r="R642" s="41"/>
      <c r="S642" s="41"/>
      <c r="U642" s="41"/>
      <c r="V642" s="41"/>
      <c r="X642" s="41"/>
      <c r="Y642" s="716"/>
      <c r="AA642" s="41"/>
      <c r="AB642" s="717"/>
      <c r="AD642" s="79"/>
      <c r="BF642" s="687" t="s">
        <v>1130</v>
      </c>
      <c r="BJ642" s="86"/>
      <c r="BM642" s="86"/>
    </row>
    <row r="643">
      <c r="A643" s="41"/>
      <c r="C643" s="41"/>
      <c r="D643" s="41"/>
      <c r="F643" s="41"/>
      <c r="G643" s="41"/>
      <c r="I643" s="41"/>
      <c r="J643" s="41"/>
      <c r="L643" s="41"/>
      <c r="M643" s="41"/>
      <c r="O643" s="41"/>
      <c r="P643" s="41"/>
      <c r="R643" s="41"/>
      <c r="S643" s="41"/>
      <c r="U643" s="41"/>
      <c r="V643" s="41"/>
      <c r="X643" s="41"/>
      <c r="Y643" s="716"/>
      <c r="AA643" s="41"/>
      <c r="AB643" s="717"/>
      <c r="AD643" s="79"/>
      <c r="BF643" s="687" t="s">
        <v>2347</v>
      </c>
      <c r="BJ643" s="86"/>
      <c r="BM643" s="86"/>
    </row>
    <row r="644">
      <c r="A644" s="41"/>
      <c r="C644" s="41"/>
      <c r="D644" s="41"/>
      <c r="F644" s="41"/>
      <c r="G644" s="41"/>
      <c r="I644" s="41"/>
      <c r="J644" s="41"/>
      <c r="L644" s="41"/>
      <c r="M644" s="41"/>
      <c r="O644" s="41"/>
      <c r="P644" s="41"/>
      <c r="R644" s="41"/>
      <c r="S644" s="41"/>
      <c r="U644" s="41"/>
      <c r="V644" s="41"/>
      <c r="X644" s="41"/>
      <c r="Y644" s="716"/>
      <c r="AA644" s="41"/>
      <c r="AB644" s="717"/>
      <c r="AD644" s="79"/>
      <c r="BF644" s="687" t="s">
        <v>3021</v>
      </c>
      <c r="BJ644" s="86"/>
      <c r="BM644" s="86"/>
    </row>
    <row r="645">
      <c r="A645" s="41"/>
      <c r="C645" s="41"/>
      <c r="D645" s="41"/>
      <c r="F645" s="41"/>
      <c r="G645" s="41"/>
      <c r="I645" s="41"/>
      <c r="J645" s="41"/>
      <c r="L645" s="41"/>
      <c r="M645" s="41"/>
      <c r="O645" s="41"/>
      <c r="P645" s="41"/>
      <c r="R645" s="41"/>
      <c r="S645" s="41"/>
      <c r="U645" s="41"/>
      <c r="V645" s="41"/>
      <c r="X645" s="41"/>
      <c r="Y645" s="716"/>
      <c r="AA645" s="41"/>
      <c r="AB645" s="717"/>
      <c r="AD645" s="79"/>
      <c r="BF645" s="687" t="s">
        <v>3022</v>
      </c>
      <c r="BJ645" s="86"/>
      <c r="BM645" s="86"/>
    </row>
    <row r="646">
      <c r="A646" s="41"/>
      <c r="C646" s="41"/>
      <c r="D646" s="41"/>
      <c r="F646" s="41"/>
      <c r="G646" s="41"/>
      <c r="I646" s="41"/>
      <c r="J646" s="41"/>
      <c r="L646" s="41"/>
      <c r="M646" s="41"/>
      <c r="O646" s="41"/>
      <c r="P646" s="41"/>
      <c r="R646" s="41"/>
      <c r="S646" s="41"/>
      <c r="U646" s="41"/>
      <c r="V646" s="41"/>
      <c r="X646" s="41"/>
      <c r="Y646" s="716"/>
      <c r="AA646" s="41"/>
      <c r="AB646" s="717"/>
      <c r="AD646" s="79"/>
      <c r="BF646" s="687" t="s">
        <v>3023</v>
      </c>
      <c r="BJ646" s="86"/>
      <c r="BM646" s="86"/>
    </row>
    <row r="647">
      <c r="A647" s="41"/>
      <c r="C647" s="41"/>
      <c r="D647" s="41"/>
      <c r="F647" s="41"/>
      <c r="G647" s="41"/>
      <c r="I647" s="41"/>
      <c r="J647" s="41"/>
      <c r="L647" s="41"/>
      <c r="M647" s="41"/>
      <c r="O647" s="41"/>
      <c r="P647" s="41"/>
      <c r="R647" s="41"/>
      <c r="S647" s="41"/>
      <c r="U647" s="41"/>
      <c r="V647" s="41"/>
      <c r="X647" s="41"/>
      <c r="Y647" s="716"/>
      <c r="AA647" s="41"/>
      <c r="AB647" s="717"/>
      <c r="AD647" s="79"/>
      <c r="BF647" s="687" t="s">
        <v>2707</v>
      </c>
      <c r="BJ647" s="86"/>
      <c r="BM647" s="86"/>
    </row>
    <row r="648">
      <c r="A648" s="41"/>
      <c r="C648" s="41"/>
      <c r="D648" s="41"/>
      <c r="F648" s="41"/>
      <c r="G648" s="41"/>
      <c r="I648" s="41"/>
      <c r="J648" s="41"/>
      <c r="L648" s="41"/>
      <c r="M648" s="41"/>
      <c r="O648" s="41"/>
      <c r="P648" s="41"/>
      <c r="R648" s="41"/>
      <c r="S648" s="41"/>
      <c r="U648" s="41"/>
      <c r="V648" s="41"/>
      <c r="X648" s="41"/>
      <c r="Y648" s="716"/>
      <c r="AA648" s="41"/>
      <c r="AB648" s="717"/>
      <c r="AD648" s="79"/>
      <c r="BF648" s="687" t="s">
        <v>3024</v>
      </c>
      <c r="BJ648" s="86"/>
      <c r="BM648" s="86"/>
    </row>
    <row r="649">
      <c r="A649" s="41"/>
      <c r="C649" s="41"/>
      <c r="D649" s="41"/>
      <c r="F649" s="41"/>
      <c r="G649" s="41"/>
      <c r="I649" s="41"/>
      <c r="J649" s="41"/>
      <c r="L649" s="41"/>
      <c r="M649" s="41"/>
      <c r="O649" s="41"/>
      <c r="P649" s="41"/>
      <c r="R649" s="41"/>
      <c r="S649" s="41"/>
      <c r="U649" s="41"/>
      <c r="V649" s="41"/>
      <c r="X649" s="41"/>
      <c r="Y649" s="716"/>
      <c r="AA649" s="41"/>
      <c r="AB649" s="717"/>
      <c r="AD649" s="79"/>
      <c r="BF649" s="700" t="s">
        <v>3025</v>
      </c>
      <c r="BJ649" s="86"/>
      <c r="BM649" s="86"/>
    </row>
    <row r="650">
      <c r="A650" s="41"/>
      <c r="C650" s="41"/>
      <c r="D650" s="41"/>
      <c r="F650" s="41"/>
      <c r="G650" s="41"/>
      <c r="I650" s="41"/>
      <c r="J650" s="41"/>
      <c r="L650" s="41"/>
      <c r="M650" s="41"/>
      <c r="O650" s="41"/>
      <c r="P650" s="41"/>
      <c r="R650" s="41"/>
      <c r="S650" s="41"/>
      <c r="U650" s="41"/>
      <c r="V650" s="41"/>
      <c r="X650" s="41"/>
      <c r="Y650" s="716"/>
      <c r="AA650" s="41"/>
      <c r="AB650" s="717"/>
      <c r="AD650" s="79"/>
      <c r="BF650" s="687" t="s">
        <v>2485</v>
      </c>
      <c r="BJ650" s="86"/>
      <c r="BM650" s="86"/>
    </row>
    <row r="651">
      <c r="A651" s="41"/>
      <c r="C651" s="41"/>
      <c r="D651" s="41"/>
      <c r="F651" s="41"/>
      <c r="G651" s="41"/>
      <c r="I651" s="41"/>
      <c r="J651" s="41"/>
      <c r="L651" s="41"/>
      <c r="M651" s="41"/>
      <c r="O651" s="41"/>
      <c r="P651" s="41"/>
      <c r="R651" s="41"/>
      <c r="S651" s="41"/>
      <c r="U651" s="41"/>
      <c r="V651" s="41"/>
      <c r="X651" s="41"/>
      <c r="Y651" s="716"/>
      <c r="AA651" s="41"/>
      <c r="AB651" s="717"/>
      <c r="AD651" s="79"/>
      <c r="BF651" s="687" t="s">
        <v>3026</v>
      </c>
      <c r="BJ651" s="86"/>
      <c r="BM651" s="86"/>
    </row>
    <row r="652">
      <c r="A652" s="41"/>
      <c r="C652" s="41"/>
      <c r="D652" s="41"/>
      <c r="F652" s="41"/>
      <c r="G652" s="41"/>
      <c r="I652" s="41"/>
      <c r="J652" s="41"/>
      <c r="L652" s="41"/>
      <c r="M652" s="41"/>
      <c r="O652" s="41"/>
      <c r="P652" s="41"/>
      <c r="R652" s="41"/>
      <c r="S652" s="41"/>
      <c r="U652" s="41"/>
      <c r="V652" s="41"/>
      <c r="X652" s="41"/>
      <c r="Y652" s="716"/>
      <c r="AA652" s="41"/>
      <c r="AB652" s="717"/>
      <c r="AD652" s="79"/>
      <c r="BF652" s="687" t="s">
        <v>3027</v>
      </c>
      <c r="BJ652" s="86"/>
      <c r="BM652" s="86"/>
    </row>
    <row r="653">
      <c r="A653" s="41"/>
      <c r="C653" s="41"/>
      <c r="D653" s="41"/>
      <c r="F653" s="41"/>
      <c r="G653" s="41"/>
      <c r="I653" s="41"/>
      <c r="J653" s="41"/>
      <c r="L653" s="41"/>
      <c r="M653" s="41"/>
      <c r="O653" s="41"/>
      <c r="P653" s="41"/>
      <c r="R653" s="41"/>
      <c r="S653" s="41"/>
      <c r="U653" s="41"/>
      <c r="V653" s="41"/>
      <c r="X653" s="41"/>
      <c r="Y653" s="716"/>
      <c r="AA653" s="41"/>
      <c r="AB653" s="717"/>
      <c r="AD653" s="79"/>
      <c r="BF653" s="687" t="s">
        <v>3028</v>
      </c>
      <c r="BJ653" s="86"/>
      <c r="BM653" s="86"/>
    </row>
    <row r="654">
      <c r="A654" s="41"/>
      <c r="C654" s="41"/>
      <c r="D654" s="41"/>
      <c r="F654" s="41"/>
      <c r="G654" s="41"/>
      <c r="I654" s="41"/>
      <c r="J654" s="41"/>
      <c r="L654" s="41"/>
      <c r="M654" s="41"/>
      <c r="O654" s="41"/>
      <c r="P654" s="41"/>
      <c r="R654" s="41"/>
      <c r="S654" s="41"/>
      <c r="U654" s="41"/>
      <c r="V654" s="41"/>
      <c r="X654" s="41"/>
      <c r="Y654" s="716"/>
      <c r="AA654" s="41"/>
      <c r="AB654" s="717"/>
      <c r="AD654" s="79"/>
      <c r="BF654" s="687" t="s">
        <v>3029</v>
      </c>
      <c r="BJ654" s="86"/>
      <c r="BM654" s="86"/>
    </row>
    <row r="655">
      <c r="A655" s="41"/>
      <c r="C655" s="41"/>
      <c r="D655" s="41"/>
      <c r="F655" s="41"/>
      <c r="G655" s="41"/>
      <c r="I655" s="41"/>
      <c r="J655" s="41"/>
      <c r="L655" s="41"/>
      <c r="M655" s="41"/>
      <c r="O655" s="41"/>
      <c r="P655" s="41"/>
      <c r="R655" s="41"/>
      <c r="S655" s="41"/>
      <c r="U655" s="41"/>
      <c r="V655" s="41"/>
      <c r="X655" s="41"/>
      <c r="Y655" s="716"/>
      <c r="AA655" s="41"/>
      <c r="AB655" s="717"/>
      <c r="AD655" s="79"/>
      <c r="BF655" s="687" t="s">
        <v>3030</v>
      </c>
      <c r="BJ655" s="86"/>
      <c r="BM655" s="86"/>
    </row>
    <row r="656">
      <c r="A656" s="41"/>
      <c r="C656" s="41"/>
      <c r="D656" s="41"/>
      <c r="F656" s="41"/>
      <c r="G656" s="41"/>
      <c r="I656" s="41"/>
      <c r="J656" s="41"/>
      <c r="L656" s="41"/>
      <c r="M656" s="41"/>
      <c r="O656" s="41"/>
      <c r="P656" s="41"/>
      <c r="R656" s="41"/>
      <c r="S656" s="41"/>
      <c r="U656" s="41"/>
      <c r="V656" s="41"/>
      <c r="X656" s="41"/>
      <c r="Y656" s="716"/>
      <c r="AA656" s="41"/>
      <c r="AB656" s="717"/>
      <c r="AD656" s="79"/>
      <c r="BF656" s="694" t="s">
        <v>2914</v>
      </c>
      <c r="BJ656" s="86"/>
      <c r="BM656" s="86"/>
    </row>
    <row r="657">
      <c r="A657" s="41"/>
      <c r="C657" s="41"/>
      <c r="D657" s="41"/>
      <c r="F657" s="41"/>
      <c r="G657" s="41"/>
      <c r="I657" s="41"/>
      <c r="J657" s="41"/>
      <c r="L657" s="41"/>
      <c r="M657" s="41"/>
      <c r="O657" s="41"/>
      <c r="P657" s="41"/>
      <c r="R657" s="41"/>
      <c r="S657" s="41"/>
      <c r="U657" s="41"/>
      <c r="V657" s="41"/>
      <c r="X657" s="41"/>
      <c r="Y657" s="716"/>
      <c r="AA657" s="41"/>
      <c r="AB657" s="717"/>
      <c r="AD657" s="79"/>
      <c r="BF657" s="687" t="s">
        <v>2308</v>
      </c>
      <c r="BJ657" s="86"/>
      <c r="BM657" s="86"/>
    </row>
    <row r="658">
      <c r="A658" s="41"/>
      <c r="C658" s="41"/>
      <c r="D658" s="41"/>
      <c r="F658" s="41"/>
      <c r="G658" s="41"/>
      <c r="I658" s="41"/>
      <c r="J658" s="41"/>
      <c r="L658" s="41"/>
      <c r="M658" s="41"/>
      <c r="O658" s="41"/>
      <c r="P658" s="41"/>
      <c r="R658" s="41"/>
      <c r="S658" s="41"/>
      <c r="U658" s="41"/>
      <c r="V658" s="41"/>
      <c r="X658" s="41"/>
      <c r="Y658" s="716"/>
      <c r="AA658" s="41"/>
      <c r="AB658" s="717"/>
      <c r="AD658" s="79"/>
      <c r="BF658" s="687" t="s">
        <v>2401</v>
      </c>
      <c r="BJ658" s="86"/>
      <c r="BM658" s="86"/>
    </row>
    <row r="659">
      <c r="A659" s="41"/>
      <c r="C659" s="41"/>
      <c r="D659" s="41"/>
      <c r="F659" s="41"/>
      <c r="G659" s="41"/>
      <c r="I659" s="41"/>
      <c r="J659" s="41"/>
      <c r="L659" s="41"/>
      <c r="M659" s="41"/>
      <c r="O659" s="41"/>
      <c r="P659" s="41"/>
      <c r="R659" s="41"/>
      <c r="S659" s="41"/>
      <c r="U659" s="41"/>
      <c r="V659" s="41"/>
      <c r="X659" s="41"/>
      <c r="Y659" s="716"/>
      <c r="AA659" s="41"/>
      <c r="AB659" s="717"/>
      <c r="AD659" s="79"/>
      <c r="BF659" s="687" t="s">
        <v>3031</v>
      </c>
      <c r="BJ659" s="86"/>
      <c r="BM659" s="86"/>
    </row>
    <row r="660">
      <c r="A660" s="41"/>
      <c r="C660" s="41"/>
      <c r="D660" s="41"/>
      <c r="F660" s="41"/>
      <c r="G660" s="41"/>
      <c r="I660" s="41"/>
      <c r="J660" s="41"/>
      <c r="L660" s="41"/>
      <c r="M660" s="41"/>
      <c r="O660" s="41"/>
      <c r="P660" s="41"/>
      <c r="R660" s="41"/>
      <c r="S660" s="41"/>
      <c r="U660" s="41"/>
      <c r="V660" s="41"/>
      <c r="X660" s="41"/>
      <c r="Y660" s="716"/>
      <c r="AA660" s="41"/>
      <c r="AB660" s="717"/>
      <c r="AD660" s="79"/>
      <c r="BF660" s="687" t="s">
        <v>2461</v>
      </c>
      <c r="BJ660" s="86"/>
      <c r="BM660" s="86"/>
    </row>
    <row r="661">
      <c r="A661" s="41"/>
      <c r="C661" s="41"/>
      <c r="D661" s="41"/>
      <c r="F661" s="41"/>
      <c r="G661" s="41"/>
      <c r="I661" s="41"/>
      <c r="J661" s="41"/>
      <c r="L661" s="41"/>
      <c r="M661" s="41"/>
      <c r="O661" s="41"/>
      <c r="P661" s="41"/>
      <c r="R661" s="41"/>
      <c r="S661" s="41"/>
      <c r="U661" s="41"/>
      <c r="V661" s="41"/>
      <c r="X661" s="41"/>
      <c r="Y661" s="716"/>
      <c r="AA661" s="41"/>
      <c r="AB661" s="717"/>
      <c r="AD661" s="79"/>
      <c r="BF661" s="687" t="s">
        <v>3032</v>
      </c>
      <c r="BJ661" s="86"/>
      <c r="BM661" s="86"/>
    </row>
    <row r="662">
      <c r="A662" s="41"/>
      <c r="C662" s="41"/>
      <c r="D662" s="41"/>
      <c r="F662" s="41"/>
      <c r="G662" s="41"/>
      <c r="I662" s="41"/>
      <c r="J662" s="41"/>
      <c r="L662" s="41"/>
      <c r="M662" s="41"/>
      <c r="O662" s="41"/>
      <c r="P662" s="41"/>
      <c r="R662" s="41"/>
      <c r="S662" s="41"/>
      <c r="U662" s="41"/>
      <c r="V662" s="41"/>
      <c r="X662" s="41"/>
      <c r="Y662" s="716"/>
      <c r="AA662" s="41"/>
      <c r="AB662" s="717"/>
      <c r="AD662" s="79"/>
      <c r="BF662" s="687" t="s">
        <v>3033</v>
      </c>
      <c r="BJ662" s="86"/>
      <c r="BM662" s="86"/>
    </row>
    <row r="663">
      <c r="A663" s="41"/>
      <c r="C663" s="41"/>
      <c r="D663" s="41"/>
      <c r="F663" s="41"/>
      <c r="G663" s="41"/>
      <c r="I663" s="41"/>
      <c r="J663" s="41"/>
      <c r="L663" s="41"/>
      <c r="M663" s="41"/>
      <c r="O663" s="41"/>
      <c r="P663" s="41"/>
      <c r="R663" s="41"/>
      <c r="S663" s="41"/>
      <c r="U663" s="41"/>
      <c r="V663" s="41"/>
      <c r="X663" s="41"/>
      <c r="Y663" s="716"/>
      <c r="AA663" s="41"/>
      <c r="AB663" s="717"/>
      <c r="AD663" s="79"/>
      <c r="BF663" s="687" t="s">
        <v>3034</v>
      </c>
      <c r="BJ663" s="86"/>
      <c r="BM663" s="86"/>
    </row>
    <row r="664">
      <c r="A664" s="41"/>
      <c r="C664" s="41"/>
      <c r="D664" s="41"/>
      <c r="F664" s="41"/>
      <c r="G664" s="41"/>
      <c r="I664" s="41"/>
      <c r="J664" s="41"/>
      <c r="L664" s="41"/>
      <c r="M664" s="41"/>
      <c r="O664" s="41"/>
      <c r="P664" s="41"/>
      <c r="R664" s="41"/>
      <c r="S664" s="41"/>
      <c r="U664" s="41"/>
      <c r="V664" s="41"/>
      <c r="X664" s="41"/>
      <c r="Y664" s="716"/>
      <c r="AA664" s="41"/>
      <c r="AB664" s="717"/>
      <c r="AD664" s="79"/>
      <c r="BF664" s="687" t="s">
        <v>3035</v>
      </c>
      <c r="BJ664" s="86"/>
      <c r="BM664" s="86"/>
    </row>
    <row r="665">
      <c r="A665" s="41"/>
      <c r="C665" s="41"/>
      <c r="D665" s="41"/>
      <c r="F665" s="41"/>
      <c r="G665" s="41"/>
      <c r="I665" s="41"/>
      <c r="J665" s="41"/>
      <c r="L665" s="41"/>
      <c r="M665" s="41"/>
      <c r="O665" s="41"/>
      <c r="P665" s="41"/>
      <c r="R665" s="41"/>
      <c r="S665" s="41"/>
      <c r="U665" s="41"/>
      <c r="V665" s="41"/>
      <c r="X665" s="41"/>
      <c r="Y665" s="716"/>
      <c r="AA665" s="41"/>
      <c r="AB665" s="717"/>
      <c r="AD665" s="79"/>
      <c r="BF665" s="687" t="s">
        <v>3036</v>
      </c>
      <c r="BJ665" s="86"/>
      <c r="BM665" s="86"/>
    </row>
    <row r="666">
      <c r="A666" s="41"/>
      <c r="C666" s="41"/>
      <c r="D666" s="41"/>
      <c r="F666" s="41"/>
      <c r="G666" s="41"/>
      <c r="I666" s="41"/>
      <c r="J666" s="41"/>
      <c r="L666" s="41"/>
      <c r="M666" s="41"/>
      <c r="O666" s="41"/>
      <c r="P666" s="41"/>
      <c r="R666" s="41"/>
      <c r="S666" s="41"/>
      <c r="U666" s="41"/>
      <c r="V666" s="41"/>
      <c r="X666" s="41"/>
      <c r="Y666" s="716"/>
      <c r="AA666" s="41"/>
      <c r="AB666" s="717"/>
      <c r="AD666" s="79"/>
      <c r="BF666" s="687" t="s">
        <v>3037</v>
      </c>
      <c r="BJ666" s="86"/>
      <c r="BM666" s="86"/>
    </row>
    <row r="667">
      <c r="A667" s="41"/>
      <c r="C667" s="41"/>
      <c r="D667" s="41"/>
      <c r="F667" s="41"/>
      <c r="G667" s="41"/>
      <c r="I667" s="41"/>
      <c r="J667" s="41"/>
      <c r="L667" s="41"/>
      <c r="M667" s="41"/>
      <c r="O667" s="41"/>
      <c r="P667" s="41"/>
      <c r="R667" s="41"/>
      <c r="S667" s="41"/>
      <c r="U667" s="41"/>
      <c r="V667" s="41"/>
      <c r="X667" s="41"/>
      <c r="Y667" s="716"/>
      <c r="AA667" s="41"/>
      <c r="AB667" s="717"/>
      <c r="AD667" s="79"/>
      <c r="BF667" s="687" t="s">
        <v>3038</v>
      </c>
      <c r="BJ667" s="86"/>
      <c r="BM667" s="86"/>
    </row>
    <row r="668">
      <c r="A668" s="41"/>
      <c r="C668" s="41"/>
      <c r="D668" s="41"/>
      <c r="F668" s="41"/>
      <c r="G668" s="41"/>
      <c r="I668" s="41"/>
      <c r="J668" s="41"/>
      <c r="L668" s="41"/>
      <c r="M668" s="41"/>
      <c r="O668" s="41"/>
      <c r="P668" s="41"/>
      <c r="R668" s="41"/>
      <c r="S668" s="41"/>
      <c r="U668" s="41"/>
      <c r="V668" s="41"/>
      <c r="X668" s="41"/>
      <c r="Y668" s="716"/>
      <c r="AA668" s="41"/>
      <c r="AB668" s="717"/>
      <c r="AD668" s="79"/>
      <c r="BF668" s="687" t="s">
        <v>3039</v>
      </c>
      <c r="BJ668" s="86"/>
      <c r="BM668" s="86"/>
    </row>
    <row r="669">
      <c r="A669" s="41"/>
      <c r="C669" s="41"/>
      <c r="D669" s="41"/>
      <c r="F669" s="41"/>
      <c r="G669" s="41"/>
      <c r="I669" s="41"/>
      <c r="J669" s="41"/>
      <c r="L669" s="41"/>
      <c r="M669" s="41"/>
      <c r="O669" s="41"/>
      <c r="P669" s="41"/>
      <c r="R669" s="41"/>
      <c r="S669" s="41"/>
      <c r="U669" s="41"/>
      <c r="V669" s="41"/>
      <c r="X669" s="41"/>
      <c r="Y669" s="716"/>
      <c r="AA669" s="41"/>
      <c r="AB669" s="717"/>
      <c r="AD669" s="79"/>
      <c r="BF669" s="687" t="s">
        <v>3040</v>
      </c>
      <c r="BJ669" s="86"/>
      <c r="BM669" s="86"/>
    </row>
    <row r="670">
      <c r="A670" s="41"/>
      <c r="C670" s="41"/>
      <c r="D670" s="41"/>
      <c r="F670" s="41"/>
      <c r="G670" s="41"/>
      <c r="I670" s="41"/>
      <c r="J670" s="41"/>
      <c r="L670" s="41"/>
      <c r="M670" s="41"/>
      <c r="O670" s="41"/>
      <c r="P670" s="41"/>
      <c r="R670" s="41"/>
      <c r="S670" s="41"/>
      <c r="U670" s="41"/>
      <c r="V670" s="41"/>
      <c r="X670" s="41"/>
      <c r="Y670" s="716"/>
      <c r="AA670" s="41"/>
      <c r="AB670" s="717"/>
      <c r="AD670" s="79"/>
      <c r="BF670" s="687" t="s">
        <v>2817</v>
      </c>
      <c r="BJ670" s="86"/>
      <c r="BM670" s="86"/>
    </row>
    <row r="671">
      <c r="A671" s="41"/>
      <c r="C671" s="41"/>
      <c r="D671" s="41"/>
      <c r="F671" s="41"/>
      <c r="G671" s="41"/>
      <c r="I671" s="41"/>
      <c r="J671" s="41"/>
      <c r="L671" s="41"/>
      <c r="M671" s="41"/>
      <c r="O671" s="41"/>
      <c r="P671" s="41"/>
      <c r="R671" s="41"/>
      <c r="S671" s="41"/>
      <c r="U671" s="41"/>
      <c r="V671" s="41"/>
      <c r="X671" s="41"/>
      <c r="Y671" s="716"/>
      <c r="AA671" s="41"/>
      <c r="AB671" s="717"/>
      <c r="AD671" s="79"/>
      <c r="BF671" s="687" t="s">
        <v>3041</v>
      </c>
      <c r="BJ671" s="86"/>
      <c r="BM671" s="86"/>
    </row>
    <row r="672">
      <c r="A672" s="41"/>
      <c r="C672" s="41"/>
      <c r="D672" s="41"/>
      <c r="F672" s="41"/>
      <c r="G672" s="41"/>
      <c r="I672" s="41"/>
      <c r="J672" s="41"/>
      <c r="L672" s="41"/>
      <c r="M672" s="41"/>
      <c r="O672" s="41"/>
      <c r="P672" s="41"/>
      <c r="R672" s="41"/>
      <c r="S672" s="41"/>
      <c r="U672" s="41"/>
      <c r="V672" s="41"/>
      <c r="X672" s="41"/>
      <c r="Y672" s="716"/>
      <c r="AA672" s="41"/>
      <c r="AB672" s="717"/>
      <c r="AD672" s="79"/>
      <c r="BF672" s="687" t="s">
        <v>3042</v>
      </c>
      <c r="BJ672" s="86"/>
      <c r="BM672" s="86"/>
    </row>
    <row r="673">
      <c r="A673" s="41"/>
      <c r="C673" s="41"/>
      <c r="D673" s="41"/>
      <c r="F673" s="41"/>
      <c r="G673" s="41"/>
      <c r="I673" s="41"/>
      <c r="J673" s="41"/>
      <c r="L673" s="41"/>
      <c r="M673" s="41"/>
      <c r="O673" s="41"/>
      <c r="P673" s="41"/>
      <c r="R673" s="41"/>
      <c r="S673" s="41"/>
      <c r="U673" s="41"/>
      <c r="V673" s="41"/>
      <c r="X673" s="41"/>
      <c r="Y673" s="716"/>
      <c r="AA673" s="41"/>
      <c r="AB673" s="717"/>
      <c r="AD673" s="79"/>
      <c r="BF673" s="687" t="s">
        <v>3043</v>
      </c>
      <c r="BJ673" s="86"/>
      <c r="BM673" s="86"/>
    </row>
    <row r="674">
      <c r="A674" s="41"/>
      <c r="C674" s="41"/>
      <c r="D674" s="41"/>
      <c r="F674" s="41"/>
      <c r="G674" s="41"/>
      <c r="I674" s="41"/>
      <c r="J674" s="41"/>
      <c r="L674" s="41"/>
      <c r="M674" s="41"/>
      <c r="O674" s="41"/>
      <c r="P674" s="41"/>
      <c r="R674" s="41"/>
      <c r="S674" s="41"/>
      <c r="U674" s="41"/>
      <c r="V674" s="41"/>
      <c r="X674" s="41"/>
      <c r="Y674" s="716"/>
      <c r="AA674" s="41"/>
      <c r="AB674" s="717"/>
      <c r="AD674" s="79"/>
      <c r="BF674" s="687" t="s">
        <v>3044</v>
      </c>
      <c r="BJ674" s="86"/>
      <c r="BM674" s="86"/>
    </row>
    <row r="675">
      <c r="A675" s="41"/>
      <c r="C675" s="41"/>
      <c r="D675" s="41"/>
      <c r="F675" s="41"/>
      <c r="G675" s="41"/>
      <c r="I675" s="41"/>
      <c r="J675" s="41"/>
      <c r="L675" s="41"/>
      <c r="M675" s="41"/>
      <c r="O675" s="41"/>
      <c r="P675" s="41"/>
      <c r="R675" s="41"/>
      <c r="S675" s="41"/>
      <c r="U675" s="41"/>
      <c r="V675" s="41"/>
      <c r="X675" s="41"/>
      <c r="Y675" s="716"/>
      <c r="AA675" s="41"/>
      <c r="AB675" s="717"/>
      <c r="AD675" s="79"/>
      <c r="BF675" s="687" t="s">
        <v>3045</v>
      </c>
      <c r="BJ675" s="86"/>
      <c r="BM675" s="86"/>
    </row>
    <row r="676">
      <c r="A676" s="41"/>
      <c r="C676" s="41"/>
      <c r="D676" s="41"/>
      <c r="F676" s="41"/>
      <c r="G676" s="41"/>
      <c r="I676" s="41"/>
      <c r="J676" s="41"/>
      <c r="L676" s="41"/>
      <c r="M676" s="41"/>
      <c r="O676" s="41"/>
      <c r="P676" s="41"/>
      <c r="R676" s="41"/>
      <c r="S676" s="41"/>
      <c r="U676" s="41"/>
      <c r="V676" s="41"/>
      <c r="X676" s="41"/>
      <c r="Y676" s="716"/>
      <c r="AA676" s="41"/>
      <c r="AB676" s="717"/>
      <c r="AD676" s="79"/>
      <c r="BF676" s="687" t="s">
        <v>3046</v>
      </c>
      <c r="BJ676" s="86"/>
      <c r="BM676" s="86"/>
    </row>
    <row r="677">
      <c r="A677" s="41"/>
      <c r="C677" s="41"/>
      <c r="D677" s="41"/>
      <c r="F677" s="41"/>
      <c r="G677" s="41"/>
      <c r="I677" s="41"/>
      <c r="J677" s="41"/>
      <c r="L677" s="41"/>
      <c r="M677" s="41"/>
      <c r="O677" s="41"/>
      <c r="P677" s="41"/>
      <c r="R677" s="41"/>
      <c r="S677" s="41"/>
      <c r="U677" s="41"/>
      <c r="V677" s="41"/>
      <c r="X677" s="41"/>
      <c r="Y677" s="716"/>
      <c r="AA677" s="41"/>
      <c r="AB677" s="717"/>
      <c r="AD677" s="79"/>
      <c r="BF677" s="687" t="s">
        <v>3047</v>
      </c>
      <c r="BJ677" s="86"/>
      <c r="BM677" s="86"/>
    </row>
    <row r="678">
      <c r="A678" s="41"/>
      <c r="C678" s="41"/>
      <c r="D678" s="41"/>
      <c r="F678" s="41"/>
      <c r="G678" s="41"/>
      <c r="I678" s="41"/>
      <c r="J678" s="41"/>
      <c r="L678" s="41"/>
      <c r="M678" s="41"/>
      <c r="O678" s="41"/>
      <c r="P678" s="41"/>
      <c r="R678" s="41"/>
      <c r="S678" s="41"/>
      <c r="U678" s="41"/>
      <c r="V678" s="41"/>
      <c r="X678" s="41"/>
      <c r="Y678" s="716"/>
      <c r="AA678" s="41"/>
      <c r="AB678" s="717"/>
      <c r="AD678" s="79"/>
      <c r="BF678" s="687" t="s">
        <v>3048</v>
      </c>
      <c r="BJ678" s="86"/>
      <c r="BM678" s="86"/>
    </row>
    <row r="679">
      <c r="A679" s="41"/>
      <c r="C679" s="41"/>
      <c r="D679" s="41"/>
      <c r="F679" s="41"/>
      <c r="G679" s="41"/>
      <c r="I679" s="41"/>
      <c r="J679" s="41"/>
      <c r="L679" s="41"/>
      <c r="M679" s="41"/>
      <c r="O679" s="41"/>
      <c r="P679" s="41"/>
      <c r="R679" s="41"/>
      <c r="S679" s="41"/>
      <c r="U679" s="41"/>
      <c r="V679" s="41"/>
      <c r="X679" s="41"/>
      <c r="Y679" s="716"/>
      <c r="AA679" s="41"/>
      <c r="AB679" s="717"/>
      <c r="AD679" s="79"/>
      <c r="BF679" s="687" t="s">
        <v>3049</v>
      </c>
      <c r="BJ679" s="86"/>
      <c r="BM679" s="86"/>
    </row>
    <row r="680">
      <c r="A680" s="41"/>
      <c r="C680" s="41"/>
      <c r="D680" s="41"/>
      <c r="F680" s="41"/>
      <c r="G680" s="41"/>
      <c r="I680" s="41"/>
      <c r="J680" s="41"/>
      <c r="L680" s="41"/>
      <c r="M680" s="41"/>
      <c r="O680" s="41"/>
      <c r="P680" s="41"/>
      <c r="R680" s="41"/>
      <c r="S680" s="41"/>
      <c r="U680" s="41"/>
      <c r="V680" s="41"/>
      <c r="X680" s="41"/>
      <c r="Y680" s="716"/>
      <c r="AA680" s="41"/>
      <c r="AB680" s="717"/>
      <c r="AD680" s="79"/>
      <c r="BF680" s="687" t="s">
        <v>3050</v>
      </c>
      <c r="BJ680" s="86"/>
      <c r="BM680" s="86"/>
    </row>
    <row r="681">
      <c r="A681" s="41"/>
      <c r="C681" s="41"/>
      <c r="D681" s="41"/>
      <c r="F681" s="41"/>
      <c r="G681" s="41"/>
      <c r="I681" s="41"/>
      <c r="J681" s="41"/>
      <c r="L681" s="41"/>
      <c r="M681" s="41"/>
      <c r="O681" s="41"/>
      <c r="P681" s="41"/>
      <c r="R681" s="41"/>
      <c r="S681" s="41"/>
      <c r="U681" s="41"/>
      <c r="V681" s="41"/>
      <c r="X681" s="41"/>
      <c r="Y681" s="716"/>
      <c r="AA681" s="41"/>
      <c r="AB681" s="717"/>
      <c r="AD681" s="79"/>
      <c r="BF681" s="687" t="s">
        <v>2328</v>
      </c>
      <c r="BJ681" s="86"/>
      <c r="BM681" s="86"/>
    </row>
    <row r="682">
      <c r="A682" s="41"/>
      <c r="C682" s="41"/>
      <c r="D682" s="41"/>
      <c r="F682" s="41"/>
      <c r="G682" s="41"/>
      <c r="I682" s="41"/>
      <c r="J682" s="41"/>
      <c r="L682" s="41"/>
      <c r="M682" s="41"/>
      <c r="O682" s="41"/>
      <c r="P682" s="41"/>
      <c r="R682" s="41"/>
      <c r="S682" s="41"/>
      <c r="U682" s="41"/>
      <c r="V682" s="41"/>
      <c r="X682" s="41"/>
      <c r="Y682" s="716"/>
      <c r="AA682" s="41"/>
      <c r="AB682" s="717"/>
      <c r="AD682" s="79"/>
      <c r="BF682" s="694" t="s">
        <v>3051</v>
      </c>
      <c r="BJ682" s="86"/>
      <c r="BM682" s="86"/>
    </row>
    <row r="683">
      <c r="A683" s="41"/>
      <c r="C683" s="41"/>
      <c r="D683" s="41"/>
      <c r="F683" s="41"/>
      <c r="G683" s="41"/>
      <c r="I683" s="41"/>
      <c r="J683" s="41"/>
      <c r="L683" s="41"/>
      <c r="M683" s="41"/>
      <c r="O683" s="41"/>
      <c r="P683" s="41"/>
      <c r="R683" s="41"/>
      <c r="S683" s="41"/>
      <c r="U683" s="41"/>
      <c r="V683" s="41"/>
      <c r="X683" s="41"/>
      <c r="Y683" s="716"/>
      <c r="AA683" s="41"/>
      <c r="AB683" s="717"/>
      <c r="AD683" s="79"/>
      <c r="BF683" s="687" t="s">
        <v>2905</v>
      </c>
      <c r="BJ683" s="86"/>
      <c r="BM683" s="86"/>
    </row>
    <row r="684">
      <c r="A684" s="41"/>
      <c r="C684" s="41"/>
      <c r="D684" s="41"/>
      <c r="F684" s="41"/>
      <c r="G684" s="41"/>
      <c r="I684" s="41"/>
      <c r="J684" s="41"/>
      <c r="L684" s="41"/>
      <c r="M684" s="41"/>
      <c r="O684" s="41"/>
      <c r="P684" s="41"/>
      <c r="R684" s="41"/>
      <c r="S684" s="41"/>
      <c r="U684" s="41"/>
      <c r="V684" s="41"/>
      <c r="X684" s="41"/>
      <c r="Y684" s="716"/>
      <c r="AA684" s="41"/>
      <c r="AB684" s="717"/>
      <c r="AD684" s="79"/>
      <c r="BF684" s="687" t="s">
        <v>3052</v>
      </c>
      <c r="BJ684" s="86"/>
      <c r="BM684" s="86"/>
    </row>
    <row r="685">
      <c r="A685" s="41"/>
      <c r="C685" s="41"/>
      <c r="D685" s="41"/>
      <c r="F685" s="41"/>
      <c r="G685" s="41"/>
      <c r="I685" s="41"/>
      <c r="J685" s="41"/>
      <c r="L685" s="41"/>
      <c r="M685" s="41"/>
      <c r="O685" s="41"/>
      <c r="P685" s="41"/>
      <c r="R685" s="41"/>
      <c r="S685" s="41"/>
      <c r="U685" s="41"/>
      <c r="V685" s="41"/>
      <c r="X685" s="41"/>
      <c r="Y685" s="716"/>
      <c r="AA685" s="41"/>
      <c r="AB685" s="717"/>
      <c r="AD685" s="79"/>
      <c r="BF685" s="687" t="s">
        <v>3053</v>
      </c>
      <c r="BJ685" s="86"/>
      <c r="BM685" s="86"/>
    </row>
    <row r="686">
      <c r="A686" s="41"/>
      <c r="C686" s="41"/>
      <c r="D686" s="41"/>
      <c r="F686" s="41"/>
      <c r="G686" s="41"/>
      <c r="I686" s="41"/>
      <c r="J686" s="41"/>
      <c r="L686" s="41"/>
      <c r="M686" s="41"/>
      <c r="O686" s="41"/>
      <c r="P686" s="41"/>
      <c r="R686" s="41"/>
      <c r="S686" s="41"/>
      <c r="U686" s="41"/>
      <c r="V686" s="41"/>
      <c r="X686" s="41"/>
      <c r="Y686" s="716"/>
      <c r="AA686" s="41"/>
      <c r="AB686" s="717"/>
      <c r="AD686" s="79"/>
      <c r="BF686" s="687" t="s">
        <v>3054</v>
      </c>
      <c r="BJ686" s="86"/>
      <c r="BM686" s="86"/>
    </row>
    <row r="687">
      <c r="A687" s="41"/>
      <c r="C687" s="41"/>
      <c r="D687" s="41"/>
      <c r="F687" s="41"/>
      <c r="G687" s="41"/>
      <c r="I687" s="41"/>
      <c r="J687" s="41"/>
      <c r="L687" s="41"/>
      <c r="M687" s="41"/>
      <c r="O687" s="41"/>
      <c r="P687" s="41"/>
      <c r="R687" s="41"/>
      <c r="S687" s="41"/>
      <c r="U687" s="41"/>
      <c r="V687" s="41"/>
      <c r="X687" s="41"/>
      <c r="Y687" s="716"/>
      <c r="AA687" s="41"/>
      <c r="AB687" s="717"/>
      <c r="AD687" s="79"/>
      <c r="BF687" s="687" t="s">
        <v>3055</v>
      </c>
      <c r="BJ687" s="86"/>
      <c r="BM687" s="86"/>
    </row>
    <row r="688">
      <c r="A688" s="41"/>
      <c r="C688" s="41"/>
      <c r="D688" s="41"/>
      <c r="F688" s="41"/>
      <c r="G688" s="41"/>
      <c r="I688" s="41"/>
      <c r="J688" s="41"/>
      <c r="L688" s="41"/>
      <c r="M688" s="41"/>
      <c r="O688" s="41"/>
      <c r="P688" s="41"/>
      <c r="R688" s="41"/>
      <c r="S688" s="41"/>
      <c r="U688" s="41"/>
      <c r="V688" s="41"/>
      <c r="X688" s="41"/>
      <c r="Y688" s="716"/>
      <c r="AA688" s="41"/>
      <c r="AB688" s="717"/>
      <c r="AD688" s="79"/>
      <c r="BF688" s="687" t="s">
        <v>3056</v>
      </c>
      <c r="BJ688" s="86"/>
      <c r="BM688" s="86"/>
    </row>
    <row r="689">
      <c r="A689" s="41"/>
      <c r="C689" s="41"/>
      <c r="D689" s="41"/>
      <c r="F689" s="41"/>
      <c r="G689" s="41"/>
      <c r="I689" s="41"/>
      <c r="J689" s="41"/>
      <c r="L689" s="41"/>
      <c r="M689" s="41"/>
      <c r="O689" s="41"/>
      <c r="P689" s="41"/>
      <c r="R689" s="41"/>
      <c r="S689" s="41"/>
      <c r="U689" s="41"/>
      <c r="V689" s="41"/>
      <c r="X689" s="41"/>
      <c r="Y689" s="716"/>
      <c r="AA689" s="41"/>
      <c r="AB689" s="717"/>
      <c r="AD689" s="79"/>
      <c r="BF689" s="687" t="s">
        <v>2862</v>
      </c>
      <c r="BJ689" s="86"/>
      <c r="BM689" s="86"/>
    </row>
    <row r="690">
      <c r="A690" s="41"/>
      <c r="C690" s="41"/>
      <c r="D690" s="41"/>
      <c r="F690" s="41"/>
      <c r="G690" s="41"/>
      <c r="I690" s="41"/>
      <c r="J690" s="41"/>
      <c r="L690" s="41"/>
      <c r="M690" s="41"/>
      <c r="O690" s="41"/>
      <c r="P690" s="41"/>
      <c r="R690" s="41"/>
      <c r="S690" s="41"/>
      <c r="U690" s="41"/>
      <c r="V690" s="41"/>
      <c r="X690" s="41"/>
      <c r="Y690" s="716"/>
      <c r="AA690" s="41"/>
      <c r="AB690" s="717"/>
      <c r="AD690" s="79"/>
      <c r="BF690" s="687" t="s">
        <v>3057</v>
      </c>
      <c r="BJ690" s="86"/>
      <c r="BM690" s="86"/>
    </row>
    <row r="691">
      <c r="A691" s="41"/>
      <c r="C691" s="41"/>
      <c r="D691" s="41"/>
      <c r="F691" s="41"/>
      <c r="G691" s="41"/>
      <c r="I691" s="41"/>
      <c r="J691" s="41"/>
      <c r="L691" s="41"/>
      <c r="M691" s="41"/>
      <c r="O691" s="41"/>
      <c r="P691" s="41"/>
      <c r="R691" s="41"/>
      <c r="S691" s="41"/>
      <c r="U691" s="41"/>
      <c r="V691" s="41"/>
      <c r="X691" s="41"/>
      <c r="Y691" s="716"/>
      <c r="AA691" s="41"/>
      <c r="AB691" s="717"/>
      <c r="AD691" s="79"/>
      <c r="BF691" s="687" t="s">
        <v>3058</v>
      </c>
      <c r="BJ691" s="86"/>
      <c r="BM691" s="86"/>
    </row>
    <row r="692">
      <c r="A692" s="41"/>
      <c r="C692" s="41"/>
      <c r="D692" s="41"/>
      <c r="F692" s="41"/>
      <c r="G692" s="41"/>
      <c r="I692" s="41"/>
      <c r="J692" s="41"/>
      <c r="L692" s="41"/>
      <c r="M692" s="41"/>
      <c r="O692" s="41"/>
      <c r="P692" s="41"/>
      <c r="R692" s="41"/>
      <c r="S692" s="41"/>
      <c r="U692" s="41"/>
      <c r="V692" s="41"/>
      <c r="X692" s="41"/>
      <c r="Y692" s="716"/>
      <c r="AA692" s="41"/>
      <c r="AB692" s="717"/>
      <c r="AD692" s="79"/>
      <c r="BF692" s="687" t="s">
        <v>3059</v>
      </c>
      <c r="BJ692" s="86"/>
      <c r="BM692" s="86"/>
    </row>
    <row r="693">
      <c r="A693" s="41"/>
      <c r="C693" s="41"/>
      <c r="D693" s="41"/>
      <c r="F693" s="41"/>
      <c r="G693" s="41"/>
      <c r="I693" s="41"/>
      <c r="J693" s="41"/>
      <c r="L693" s="41"/>
      <c r="M693" s="41"/>
      <c r="O693" s="41"/>
      <c r="P693" s="41"/>
      <c r="R693" s="41"/>
      <c r="S693" s="41"/>
      <c r="U693" s="41"/>
      <c r="V693" s="41"/>
      <c r="X693" s="41"/>
      <c r="Y693" s="716"/>
      <c r="AA693" s="41"/>
      <c r="AB693" s="717"/>
      <c r="AD693" s="79"/>
      <c r="BF693" s="687" t="s">
        <v>3060</v>
      </c>
      <c r="BJ693" s="86"/>
      <c r="BM693" s="86"/>
    </row>
    <row r="694">
      <c r="A694" s="41"/>
      <c r="C694" s="41"/>
      <c r="D694" s="41"/>
      <c r="F694" s="41"/>
      <c r="G694" s="41"/>
      <c r="I694" s="41"/>
      <c r="J694" s="41"/>
      <c r="L694" s="41"/>
      <c r="M694" s="41"/>
      <c r="O694" s="41"/>
      <c r="P694" s="41"/>
      <c r="R694" s="41"/>
      <c r="S694" s="41"/>
      <c r="U694" s="41"/>
      <c r="V694" s="41"/>
      <c r="X694" s="41"/>
      <c r="Y694" s="716"/>
      <c r="AA694" s="41"/>
      <c r="AB694" s="717"/>
      <c r="AD694" s="79"/>
      <c r="BF694" s="687" t="s">
        <v>3061</v>
      </c>
      <c r="BJ694" s="86"/>
      <c r="BM694" s="86"/>
    </row>
    <row r="695">
      <c r="A695" s="41"/>
      <c r="C695" s="41"/>
      <c r="D695" s="41"/>
      <c r="F695" s="41"/>
      <c r="G695" s="41"/>
      <c r="I695" s="41"/>
      <c r="J695" s="41"/>
      <c r="L695" s="41"/>
      <c r="M695" s="41"/>
      <c r="O695" s="41"/>
      <c r="P695" s="41"/>
      <c r="R695" s="41"/>
      <c r="S695" s="41"/>
      <c r="U695" s="41"/>
      <c r="V695" s="41"/>
      <c r="X695" s="41"/>
      <c r="Y695" s="716"/>
      <c r="AA695" s="41"/>
      <c r="AB695" s="717"/>
      <c r="AD695" s="79"/>
      <c r="BF695" s="687" t="s">
        <v>3062</v>
      </c>
      <c r="BJ695" s="86"/>
      <c r="BM695" s="86"/>
    </row>
    <row r="696">
      <c r="A696" s="41"/>
      <c r="C696" s="41"/>
      <c r="D696" s="41"/>
      <c r="F696" s="41"/>
      <c r="G696" s="41"/>
      <c r="I696" s="41"/>
      <c r="J696" s="41"/>
      <c r="L696" s="41"/>
      <c r="M696" s="41"/>
      <c r="O696" s="41"/>
      <c r="P696" s="41"/>
      <c r="R696" s="41"/>
      <c r="S696" s="41"/>
      <c r="U696" s="41"/>
      <c r="V696" s="41"/>
      <c r="X696" s="41"/>
      <c r="Y696" s="716"/>
      <c r="AA696" s="41"/>
      <c r="AB696" s="717"/>
      <c r="AD696" s="79"/>
      <c r="BF696" s="687" t="s">
        <v>3063</v>
      </c>
      <c r="BJ696" s="86"/>
      <c r="BM696" s="86"/>
    </row>
    <row r="697">
      <c r="A697" s="41"/>
      <c r="C697" s="41"/>
      <c r="D697" s="41"/>
      <c r="F697" s="41"/>
      <c r="G697" s="41"/>
      <c r="I697" s="41"/>
      <c r="J697" s="41"/>
      <c r="L697" s="41"/>
      <c r="M697" s="41"/>
      <c r="O697" s="41"/>
      <c r="P697" s="41"/>
      <c r="R697" s="41"/>
      <c r="S697" s="41"/>
      <c r="U697" s="41"/>
      <c r="V697" s="41"/>
      <c r="X697" s="41"/>
      <c r="Y697" s="716"/>
      <c r="AA697" s="41"/>
      <c r="AB697" s="717"/>
      <c r="AD697" s="79"/>
      <c r="BF697" s="687" t="s">
        <v>3064</v>
      </c>
      <c r="BJ697" s="86"/>
      <c r="BM697" s="86"/>
    </row>
    <row r="698">
      <c r="A698" s="41"/>
      <c r="C698" s="41"/>
      <c r="D698" s="41"/>
      <c r="F698" s="41"/>
      <c r="G698" s="41"/>
      <c r="I698" s="41"/>
      <c r="J698" s="41"/>
      <c r="L698" s="41"/>
      <c r="M698" s="41"/>
      <c r="O698" s="41"/>
      <c r="P698" s="41"/>
      <c r="R698" s="41"/>
      <c r="S698" s="41"/>
      <c r="U698" s="41"/>
      <c r="V698" s="41"/>
      <c r="X698" s="41"/>
      <c r="Y698" s="716"/>
      <c r="AA698" s="41"/>
      <c r="AB698" s="717"/>
      <c r="AD698" s="79"/>
      <c r="BF698" s="687" t="s">
        <v>3065</v>
      </c>
      <c r="BJ698" s="86"/>
      <c r="BM698" s="86"/>
    </row>
    <row r="699">
      <c r="A699" s="41"/>
      <c r="C699" s="41"/>
      <c r="D699" s="41"/>
      <c r="F699" s="41"/>
      <c r="G699" s="41"/>
      <c r="I699" s="41"/>
      <c r="J699" s="41"/>
      <c r="L699" s="41"/>
      <c r="M699" s="41"/>
      <c r="O699" s="41"/>
      <c r="P699" s="41"/>
      <c r="R699" s="41"/>
      <c r="S699" s="41"/>
      <c r="U699" s="41"/>
      <c r="V699" s="41"/>
      <c r="X699" s="41"/>
      <c r="Y699" s="716"/>
      <c r="AA699" s="41"/>
      <c r="AB699" s="717"/>
      <c r="AD699" s="79"/>
      <c r="BF699" s="687" t="s">
        <v>3066</v>
      </c>
      <c r="BJ699" s="86"/>
      <c r="BM699" s="86"/>
    </row>
    <row r="700">
      <c r="A700" s="41"/>
      <c r="C700" s="41"/>
      <c r="D700" s="41"/>
      <c r="F700" s="41"/>
      <c r="G700" s="41"/>
      <c r="I700" s="41"/>
      <c r="J700" s="41"/>
      <c r="L700" s="41"/>
      <c r="M700" s="41"/>
      <c r="O700" s="41"/>
      <c r="P700" s="41"/>
      <c r="R700" s="41"/>
      <c r="S700" s="41"/>
      <c r="U700" s="41"/>
      <c r="V700" s="41"/>
      <c r="X700" s="41"/>
      <c r="Y700" s="716"/>
      <c r="AA700" s="41"/>
      <c r="AB700" s="717"/>
      <c r="AD700" s="79"/>
      <c r="BF700" s="687" t="s">
        <v>2301</v>
      </c>
      <c r="BJ700" s="86"/>
      <c r="BM700" s="86"/>
    </row>
    <row r="701">
      <c r="A701" s="41"/>
      <c r="C701" s="41"/>
      <c r="D701" s="41"/>
      <c r="F701" s="41"/>
      <c r="G701" s="41"/>
      <c r="I701" s="41"/>
      <c r="J701" s="41"/>
      <c r="L701" s="41"/>
      <c r="M701" s="41"/>
      <c r="O701" s="41"/>
      <c r="P701" s="41"/>
      <c r="R701" s="41"/>
      <c r="S701" s="41"/>
      <c r="U701" s="41"/>
      <c r="V701" s="41"/>
      <c r="X701" s="41"/>
      <c r="Y701" s="716"/>
      <c r="AA701" s="41"/>
      <c r="AB701" s="717"/>
      <c r="AD701" s="79"/>
      <c r="BF701" s="687" t="s">
        <v>3067</v>
      </c>
      <c r="BJ701" s="86"/>
      <c r="BM701" s="86"/>
    </row>
    <row r="702">
      <c r="A702" s="41"/>
      <c r="C702" s="41"/>
      <c r="D702" s="41"/>
      <c r="F702" s="41"/>
      <c r="G702" s="41"/>
      <c r="I702" s="41"/>
      <c r="J702" s="41"/>
      <c r="L702" s="41"/>
      <c r="M702" s="41"/>
      <c r="O702" s="41"/>
      <c r="P702" s="41"/>
      <c r="R702" s="41"/>
      <c r="S702" s="41"/>
      <c r="U702" s="41"/>
      <c r="V702" s="41"/>
      <c r="X702" s="41"/>
      <c r="Y702" s="716"/>
      <c r="AA702" s="41"/>
      <c r="AB702" s="717"/>
      <c r="AD702" s="79"/>
      <c r="BF702" s="687" t="s">
        <v>3068</v>
      </c>
      <c r="BJ702" s="86"/>
      <c r="BM702" s="86"/>
    </row>
    <row r="703">
      <c r="A703" s="41"/>
      <c r="C703" s="41"/>
      <c r="D703" s="41"/>
      <c r="F703" s="41"/>
      <c r="G703" s="41"/>
      <c r="I703" s="41"/>
      <c r="J703" s="41"/>
      <c r="L703" s="41"/>
      <c r="M703" s="41"/>
      <c r="O703" s="41"/>
      <c r="P703" s="41"/>
      <c r="R703" s="41"/>
      <c r="S703" s="41"/>
      <c r="U703" s="41"/>
      <c r="V703" s="41"/>
      <c r="X703" s="41"/>
      <c r="Y703" s="716"/>
      <c r="AA703" s="41"/>
      <c r="AB703" s="717"/>
      <c r="AD703" s="79"/>
      <c r="BF703" s="687" t="s">
        <v>3069</v>
      </c>
      <c r="BJ703" s="86"/>
      <c r="BM703" s="86"/>
    </row>
    <row r="704">
      <c r="A704" s="41"/>
      <c r="C704" s="41"/>
      <c r="D704" s="41"/>
      <c r="F704" s="41"/>
      <c r="G704" s="41"/>
      <c r="I704" s="41"/>
      <c r="J704" s="41"/>
      <c r="L704" s="41"/>
      <c r="M704" s="41"/>
      <c r="O704" s="41"/>
      <c r="P704" s="41"/>
      <c r="R704" s="41"/>
      <c r="S704" s="41"/>
      <c r="U704" s="41"/>
      <c r="V704" s="41"/>
      <c r="X704" s="41"/>
      <c r="Y704" s="716"/>
      <c r="AA704" s="41"/>
      <c r="AB704" s="717"/>
      <c r="AD704" s="79"/>
      <c r="BF704" s="687" t="s">
        <v>3070</v>
      </c>
      <c r="BJ704" s="86"/>
      <c r="BM704" s="86"/>
    </row>
    <row r="705">
      <c r="A705" s="41"/>
      <c r="C705" s="41"/>
      <c r="D705" s="41"/>
      <c r="F705" s="41"/>
      <c r="G705" s="41"/>
      <c r="I705" s="41"/>
      <c r="J705" s="41"/>
      <c r="L705" s="41"/>
      <c r="M705" s="41"/>
      <c r="O705" s="41"/>
      <c r="P705" s="41"/>
      <c r="R705" s="41"/>
      <c r="S705" s="41"/>
      <c r="U705" s="41"/>
      <c r="V705" s="41"/>
      <c r="X705" s="41"/>
      <c r="Y705" s="716"/>
      <c r="AA705" s="41"/>
      <c r="AB705" s="717"/>
      <c r="AD705" s="79"/>
      <c r="BF705" s="687" t="s">
        <v>3071</v>
      </c>
      <c r="BJ705" s="86"/>
      <c r="BM705" s="86"/>
    </row>
    <row r="706">
      <c r="A706" s="41"/>
      <c r="C706" s="41"/>
      <c r="D706" s="41"/>
      <c r="F706" s="41"/>
      <c r="G706" s="41"/>
      <c r="I706" s="41"/>
      <c r="J706" s="41"/>
      <c r="L706" s="41"/>
      <c r="M706" s="41"/>
      <c r="O706" s="41"/>
      <c r="P706" s="41"/>
      <c r="R706" s="41"/>
      <c r="S706" s="41"/>
      <c r="U706" s="41"/>
      <c r="V706" s="41"/>
      <c r="X706" s="41"/>
      <c r="Y706" s="716"/>
      <c r="AA706" s="41"/>
      <c r="AB706" s="717"/>
      <c r="AD706" s="79"/>
      <c r="BF706" s="687" t="s">
        <v>3072</v>
      </c>
      <c r="BJ706" s="86"/>
      <c r="BM706" s="86"/>
    </row>
    <row r="707">
      <c r="A707" s="41"/>
      <c r="C707" s="41"/>
      <c r="D707" s="41"/>
      <c r="F707" s="41"/>
      <c r="G707" s="41"/>
      <c r="I707" s="41"/>
      <c r="J707" s="41"/>
      <c r="L707" s="41"/>
      <c r="M707" s="41"/>
      <c r="O707" s="41"/>
      <c r="P707" s="41"/>
      <c r="R707" s="41"/>
      <c r="S707" s="41"/>
      <c r="U707" s="41"/>
      <c r="V707" s="41"/>
      <c r="X707" s="41"/>
      <c r="Y707" s="716"/>
      <c r="AA707" s="41"/>
      <c r="AB707" s="717"/>
      <c r="AD707" s="79"/>
      <c r="BF707" s="687" t="s">
        <v>2350</v>
      </c>
      <c r="BJ707" s="86"/>
      <c r="BM707" s="86"/>
    </row>
    <row r="708">
      <c r="A708" s="41"/>
      <c r="C708" s="41"/>
      <c r="D708" s="41"/>
      <c r="F708" s="41"/>
      <c r="G708" s="41"/>
      <c r="I708" s="41"/>
      <c r="J708" s="41"/>
      <c r="L708" s="41"/>
      <c r="M708" s="41"/>
      <c r="O708" s="41"/>
      <c r="P708" s="41"/>
      <c r="R708" s="41"/>
      <c r="S708" s="41"/>
      <c r="U708" s="41"/>
      <c r="V708" s="41"/>
      <c r="X708" s="41"/>
      <c r="Y708" s="716"/>
      <c r="AA708" s="41"/>
      <c r="AB708" s="717"/>
      <c r="AD708" s="79"/>
      <c r="BF708" s="687" t="s">
        <v>3073</v>
      </c>
      <c r="BJ708" s="86"/>
      <c r="BM708" s="86"/>
    </row>
    <row r="709">
      <c r="A709" s="41"/>
      <c r="C709" s="41"/>
      <c r="D709" s="41"/>
      <c r="F709" s="41"/>
      <c r="G709" s="41"/>
      <c r="I709" s="41"/>
      <c r="J709" s="41"/>
      <c r="L709" s="41"/>
      <c r="M709" s="41"/>
      <c r="O709" s="41"/>
      <c r="P709" s="41"/>
      <c r="R709" s="41"/>
      <c r="S709" s="41"/>
      <c r="U709" s="41"/>
      <c r="V709" s="41"/>
      <c r="X709" s="41"/>
      <c r="Y709" s="716"/>
      <c r="AA709" s="41"/>
      <c r="AB709" s="717"/>
      <c r="AD709" s="79"/>
      <c r="BF709" s="687" t="s">
        <v>3074</v>
      </c>
      <c r="BJ709" s="86"/>
      <c r="BM709" s="86"/>
    </row>
    <row r="710">
      <c r="A710" s="41"/>
      <c r="C710" s="41"/>
      <c r="D710" s="41"/>
      <c r="F710" s="41"/>
      <c r="G710" s="41"/>
      <c r="I710" s="41"/>
      <c r="J710" s="41"/>
      <c r="L710" s="41"/>
      <c r="M710" s="41"/>
      <c r="O710" s="41"/>
      <c r="P710" s="41"/>
      <c r="R710" s="41"/>
      <c r="S710" s="41"/>
      <c r="U710" s="41"/>
      <c r="V710" s="41"/>
      <c r="X710" s="41"/>
      <c r="Y710" s="716"/>
      <c r="AA710" s="41"/>
      <c r="AB710" s="717"/>
      <c r="AD710" s="79"/>
      <c r="BF710" s="687" t="s">
        <v>3075</v>
      </c>
      <c r="BJ710" s="86"/>
      <c r="BM710" s="86"/>
    </row>
    <row r="711">
      <c r="A711" s="41"/>
      <c r="C711" s="41"/>
      <c r="D711" s="41"/>
      <c r="F711" s="41"/>
      <c r="G711" s="41"/>
      <c r="I711" s="41"/>
      <c r="J711" s="41"/>
      <c r="L711" s="41"/>
      <c r="M711" s="41"/>
      <c r="O711" s="41"/>
      <c r="P711" s="41"/>
      <c r="R711" s="41"/>
      <c r="S711" s="41"/>
      <c r="U711" s="41"/>
      <c r="V711" s="41"/>
      <c r="X711" s="41"/>
      <c r="Y711" s="716"/>
      <c r="AA711" s="41"/>
      <c r="AB711" s="717"/>
      <c r="AD711" s="79"/>
      <c r="BF711" s="687" t="s">
        <v>2306</v>
      </c>
      <c r="BJ711" s="86"/>
      <c r="BM711" s="86"/>
    </row>
    <row r="712">
      <c r="A712" s="41"/>
      <c r="C712" s="41"/>
      <c r="D712" s="41"/>
      <c r="F712" s="41"/>
      <c r="G712" s="41"/>
      <c r="I712" s="41"/>
      <c r="J712" s="41"/>
      <c r="L712" s="41"/>
      <c r="M712" s="41"/>
      <c r="O712" s="41"/>
      <c r="P712" s="41"/>
      <c r="R712" s="41"/>
      <c r="S712" s="41"/>
      <c r="U712" s="41"/>
      <c r="V712" s="41"/>
      <c r="X712" s="41"/>
      <c r="Y712" s="716"/>
      <c r="AA712" s="41"/>
      <c r="AB712" s="717"/>
      <c r="AD712" s="79"/>
      <c r="BF712" s="687" t="s">
        <v>3076</v>
      </c>
      <c r="BJ712" s="86"/>
      <c r="BM712" s="86"/>
    </row>
    <row r="713">
      <c r="A713" s="41"/>
      <c r="C713" s="41"/>
      <c r="D713" s="41"/>
      <c r="F713" s="41"/>
      <c r="G713" s="41"/>
      <c r="I713" s="41"/>
      <c r="J713" s="41"/>
      <c r="L713" s="41"/>
      <c r="M713" s="41"/>
      <c r="O713" s="41"/>
      <c r="P713" s="41"/>
      <c r="R713" s="41"/>
      <c r="S713" s="41"/>
      <c r="U713" s="41"/>
      <c r="V713" s="41"/>
      <c r="X713" s="41"/>
      <c r="Y713" s="716"/>
      <c r="AA713" s="41"/>
      <c r="AB713" s="717"/>
      <c r="AD713" s="79"/>
      <c r="BF713" s="687" t="s">
        <v>3077</v>
      </c>
      <c r="BJ713" s="86"/>
      <c r="BM713" s="86"/>
    </row>
    <row r="714">
      <c r="A714" s="41"/>
      <c r="C714" s="41"/>
      <c r="D714" s="41"/>
      <c r="F714" s="41"/>
      <c r="G714" s="41"/>
      <c r="I714" s="41"/>
      <c r="J714" s="41"/>
      <c r="L714" s="41"/>
      <c r="M714" s="41"/>
      <c r="O714" s="41"/>
      <c r="P714" s="41"/>
      <c r="R714" s="41"/>
      <c r="S714" s="41"/>
      <c r="U714" s="41"/>
      <c r="V714" s="41"/>
      <c r="X714" s="41"/>
      <c r="Y714" s="716"/>
      <c r="AA714" s="41"/>
      <c r="AB714" s="717"/>
      <c r="AD714" s="79"/>
      <c r="BF714" s="687" t="s">
        <v>3078</v>
      </c>
      <c r="BJ714" s="86"/>
      <c r="BM714" s="86"/>
    </row>
    <row r="715">
      <c r="A715" s="41"/>
      <c r="C715" s="41"/>
      <c r="D715" s="41"/>
      <c r="F715" s="41"/>
      <c r="G715" s="41"/>
      <c r="I715" s="41"/>
      <c r="J715" s="41"/>
      <c r="L715" s="41"/>
      <c r="M715" s="41"/>
      <c r="O715" s="41"/>
      <c r="P715" s="41"/>
      <c r="R715" s="41"/>
      <c r="S715" s="41"/>
      <c r="U715" s="41"/>
      <c r="V715" s="41"/>
      <c r="X715" s="41"/>
      <c r="Y715" s="716"/>
      <c r="AA715" s="41"/>
      <c r="AB715" s="717"/>
      <c r="AD715" s="79"/>
      <c r="BF715" s="687" t="s">
        <v>3079</v>
      </c>
      <c r="BJ715" s="86"/>
      <c r="BM715" s="86"/>
    </row>
    <row r="716">
      <c r="A716" s="41"/>
      <c r="C716" s="41"/>
      <c r="D716" s="41"/>
      <c r="F716" s="41"/>
      <c r="G716" s="41"/>
      <c r="I716" s="41"/>
      <c r="J716" s="41"/>
      <c r="L716" s="41"/>
      <c r="M716" s="41"/>
      <c r="O716" s="41"/>
      <c r="P716" s="41"/>
      <c r="R716" s="41"/>
      <c r="S716" s="41"/>
      <c r="U716" s="41"/>
      <c r="V716" s="41"/>
      <c r="X716" s="41"/>
      <c r="Y716" s="716"/>
      <c r="AA716" s="41"/>
      <c r="AB716" s="717"/>
      <c r="AD716" s="79"/>
      <c r="BF716" s="687" t="s">
        <v>3080</v>
      </c>
      <c r="BJ716" s="86"/>
      <c r="BM716" s="86"/>
    </row>
    <row r="717">
      <c r="A717" s="41"/>
      <c r="C717" s="41"/>
      <c r="D717" s="41"/>
      <c r="F717" s="41"/>
      <c r="G717" s="41"/>
      <c r="I717" s="41"/>
      <c r="J717" s="41"/>
      <c r="L717" s="41"/>
      <c r="M717" s="41"/>
      <c r="O717" s="41"/>
      <c r="P717" s="41"/>
      <c r="R717" s="41"/>
      <c r="S717" s="41"/>
      <c r="U717" s="41"/>
      <c r="V717" s="41"/>
      <c r="X717" s="41"/>
      <c r="Y717" s="716"/>
      <c r="AA717" s="41"/>
      <c r="AB717" s="717"/>
      <c r="AD717" s="79"/>
      <c r="BF717" s="687" t="s">
        <v>3081</v>
      </c>
      <c r="BJ717" s="86"/>
      <c r="BM717" s="86"/>
    </row>
    <row r="718">
      <c r="A718" s="41"/>
      <c r="C718" s="41"/>
      <c r="D718" s="41"/>
      <c r="F718" s="41"/>
      <c r="G718" s="41"/>
      <c r="I718" s="41"/>
      <c r="J718" s="41"/>
      <c r="L718" s="41"/>
      <c r="M718" s="41"/>
      <c r="O718" s="41"/>
      <c r="P718" s="41"/>
      <c r="R718" s="41"/>
      <c r="S718" s="41"/>
      <c r="U718" s="41"/>
      <c r="V718" s="41"/>
      <c r="X718" s="41"/>
      <c r="Y718" s="716"/>
      <c r="AA718" s="41"/>
      <c r="AB718" s="717"/>
      <c r="AD718" s="79"/>
      <c r="BF718" s="687" t="s">
        <v>3082</v>
      </c>
      <c r="BJ718" s="86"/>
      <c r="BM718" s="86"/>
    </row>
    <row r="719">
      <c r="A719" s="41"/>
      <c r="C719" s="41"/>
      <c r="D719" s="41"/>
      <c r="F719" s="41"/>
      <c r="G719" s="41"/>
      <c r="I719" s="41"/>
      <c r="J719" s="41"/>
      <c r="L719" s="41"/>
      <c r="M719" s="41"/>
      <c r="O719" s="41"/>
      <c r="P719" s="41"/>
      <c r="R719" s="41"/>
      <c r="S719" s="41"/>
      <c r="U719" s="41"/>
      <c r="V719" s="41"/>
      <c r="X719" s="41"/>
      <c r="Y719" s="716"/>
      <c r="AA719" s="41"/>
      <c r="AB719" s="717"/>
      <c r="AD719" s="79"/>
      <c r="BF719" s="687" t="s">
        <v>3083</v>
      </c>
      <c r="BJ719" s="86"/>
      <c r="BM719" s="86"/>
    </row>
    <row r="720">
      <c r="A720" s="41"/>
      <c r="C720" s="41"/>
      <c r="D720" s="41"/>
      <c r="F720" s="41"/>
      <c r="G720" s="41"/>
      <c r="I720" s="41"/>
      <c r="J720" s="41"/>
      <c r="L720" s="41"/>
      <c r="M720" s="41"/>
      <c r="O720" s="41"/>
      <c r="P720" s="41"/>
      <c r="R720" s="41"/>
      <c r="S720" s="41"/>
      <c r="U720" s="41"/>
      <c r="V720" s="41"/>
      <c r="X720" s="41"/>
      <c r="Y720" s="716"/>
      <c r="AA720" s="41"/>
      <c r="AB720" s="717"/>
      <c r="AD720" s="79"/>
      <c r="BF720" s="687" t="s">
        <v>3084</v>
      </c>
      <c r="BJ720" s="86"/>
      <c r="BM720" s="86"/>
    </row>
    <row r="721">
      <c r="A721" s="41"/>
      <c r="C721" s="41"/>
      <c r="D721" s="41"/>
      <c r="F721" s="41"/>
      <c r="G721" s="41"/>
      <c r="I721" s="41"/>
      <c r="J721" s="41"/>
      <c r="L721" s="41"/>
      <c r="M721" s="41"/>
      <c r="O721" s="41"/>
      <c r="P721" s="41"/>
      <c r="R721" s="41"/>
      <c r="S721" s="41"/>
      <c r="U721" s="41"/>
      <c r="V721" s="41"/>
      <c r="X721" s="41"/>
      <c r="Y721" s="716"/>
      <c r="AA721" s="41"/>
      <c r="AB721" s="717"/>
      <c r="AD721" s="79"/>
      <c r="BF721" s="687" t="s">
        <v>3085</v>
      </c>
      <c r="BJ721" s="86"/>
      <c r="BM721" s="86"/>
    </row>
    <row r="722">
      <c r="A722" s="41"/>
      <c r="C722" s="41"/>
      <c r="D722" s="41"/>
      <c r="F722" s="41"/>
      <c r="G722" s="41"/>
      <c r="I722" s="41"/>
      <c r="J722" s="41"/>
      <c r="L722" s="41"/>
      <c r="M722" s="41"/>
      <c r="O722" s="41"/>
      <c r="P722" s="41"/>
      <c r="R722" s="41"/>
      <c r="S722" s="41"/>
      <c r="U722" s="41"/>
      <c r="V722" s="41"/>
      <c r="X722" s="41"/>
      <c r="Y722" s="716"/>
      <c r="AA722" s="41"/>
      <c r="AB722" s="717"/>
      <c r="AD722" s="79"/>
      <c r="BF722" s="687" t="s">
        <v>3086</v>
      </c>
      <c r="BJ722" s="86"/>
      <c r="BM722" s="86"/>
    </row>
    <row r="723">
      <c r="A723" s="41"/>
      <c r="C723" s="41"/>
      <c r="D723" s="41"/>
      <c r="F723" s="41"/>
      <c r="G723" s="41"/>
      <c r="I723" s="41"/>
      <c r="J723" s="41"/>
      <c r="L723" s="41"/>
      <c r="M723" s="41"/>
      <c r="O723" s="41"/>
      <c r="P723" s="41"/>
      <c r="R723" s="41"/>
      <c r="S723" s="41"/>
      <c r="U723" s="41"/>
      <c r="V723" s="41"/>
      <c r="X723" s="41"/>
      <c r="Y723" s="716"/>
      <c r="AA723" s="41"/>
      <c r="AB723" s="717"/>
      <c r="AD723" s="79"/>
      <c r="BF723" s="687" t="s">
        <v>3087</v>
      </c>
      <c r="BJ723" s="86"/>
      <c r="BM723" s="86"/>
    </row>
    <row r="724">
      <c r="A724" s="41"/>
      <c r="C724" s="41"/>
      <c r="D724" s="41"/>
      <c r="F724" s="41"/>
      <c r="G724" s="41"/>
      <c r="I724" s="41"/>
      <c r="J724" s="41"/>
      <c r="L724" s="41"/>
      <c r="M724" s="41"/>
      <c r="O724" s="41"/>
      <c r="P724" s="41"/>
      <c r="R724" s="41"/>
      <c r="S724" s="41"/>
      <c r="U724" s="41"/>
      <c r="V724" s="41"/>
      <c r="X724" s="41"/>
      <c r="Y724" s="716"/>
      <c r="AA724" s="41"/>
      <c r="AB724" s="717"/>
      <c r="AD724" s="79"/>
      <c r="BF724" s="687" t="s">
        <v>3088</v>
      </c>
      <c r="BJ724" s="86"/>
      <c r="BM724" s="86"/>
    </row>
    <row r="725">
      <c r="A725" s="41"/>
      <c r="C725" s="41"/>
      <c r="D725" s="41"/>
      <c r="F725" s="41"/>
      <c r="G725" s="41"/>
      <c r="I725" s="41"/>
      <c r="J725" s="41"/>
      <c r="L725" s="41"/>
      <c r="M725" s="41"/>
      <c r="O725" s="41"/>
      <c r="P725" s="41"/>
      <c r="R725" s="41"/>
      <c r="S725" s="41"/>
      <c r="U725" s="41"/>
      <c r="V725" s="41"/>
      <c r="X725" s="41"/>
      <c r="Y725" s="716"/>
      <c r="AA725" s="41"/>
      <c r="AB725" s="717"/>
      <c r="AD725" s="79"/>
      <c r="BF725" s="687" t="s">
        <v>3089</v>
      </c>
      <c r="BJ725" s="86"/>
      <c r="BM725" s="86"/>
    </row>
    <row r="726">
      <c r="A726" s="41"/>
      <c r="C726" s="41"/>
      <c r="D726" s="41"/>
      <c r="F726" s="41"/>
      <c r="G726" s="41"/>
      <c r="I726" s="41"/>
      <c r="J726" s="41"/>
      <c r="L726" s="41"/>
      <c r="M726" s="41"/>
      <c r="O726" s="41"/>
      <c r="P726" s="41"/>
      <c r="R726" s="41"/>
      <c r="S726" s="41"/>
      <c r="U726" s="41"/>
      <c r="V726" s="41"/>
      <c r="X726" s="41"/>
      <c r="Y726" s="716"/>
      <c r="AA726" s="41"/>
      <c r="AB726" s="717"/>
      <c r="AD726" s="79"/>
      <c r="BF726" s="687" t="s">
        <v>3090</v>
      </c>
      <c r="BJ726" s="86"/>
      <c r="BM726" s="86"/>
    </row>
    <row r="727">
      <c r="A727" s="41"/>
      <c r="C727" s="41"/>
      <c r="D727" s="41"/>
      <c r="F727" s="41"/>
      <c r="G727" s="41"/>
      <c r="I727" s="41"/>
      <c r="J727" s="41"/>
      <c r="L727" s="41"/>
      <c r="M727" s="41"/>
      <c r="O727" s="41"/>
      <c r="P727" s="41"/>
      <c r="R727" s="41"/>
      <c r="S727" s="41"/>
      <c r="U727" s="41"/>
      <c r="V727" s="41"/>
      <c r="X727" s="41"/>
      <c r="Y727" s="716"/>
      <c r="AA727" s="41"/>
      <c r="AB727" s="717"/>
      <c r="AD727" s="79"/>
      <c r="BF727" s="687" t="s">
        <v>3091</v>
      </c>
      <c r="BJ727" s="86"/>
      <c r="BM727" s="86"/>
    </row>
    <row r="728">
      <c r="A728" s="41"/>
      <c r="C728" s="41"/>
      <c r="D728" s="41"/>
      <c r="F728" s="41"/>
      <c r="G728" s="41"/>
      <c r="I728" s="41"/>
      <c r="J728" s="41"/>
      <c r="L728" s="41"/>
      <c r="M728" s="41"/>
      <c r="O728" s="41"/>
      <c r="P728" s="41"/>
      <c r="R728" s="41"/>
      <c r="S728" s="41"/>
      <c r="U728" s="41"/>
      <c r="V728" s="41"/>
      <c r="X728" s="41"/>
      <c r="Y728" s="716"/>
      <c r="AA728" s="41"/>
      <c r="AB728" s="717"/>
      <c r="AD728" s="79"/>
      <c r="BF728" s="687" t="s">
        <v>2504</v>
      </c>
      <c r="BJ728" s="86"/>
      <c r="BM728" s="86"/>
    </row>
    <row r="729">
      <c r="A729" s="41"/>
      <c r="C729" s="41"/>
      <c r="D729" s="41"/>
      <c r="F729" s="41"/>
      <c r="G729" s="41"/>
      <c r="I729" s="41"/>
      <c r="J729" s="41"/>
      <c r="L729" s="41"/>
      <c r="M729" s="41"/>
      <c r="O729" s="41"/>
      <c r="P729" s="41"/>
      <c r="R729" s="41"/>
      <c r="S729" s="41"/>
      <c r="U729" s="41"/>
      <c r="V729" s="41"/>
      <c r="X729" s="41"/>
      <c r="Y729" s="716"/>
      <c r="AA729" s="41"/>
      <c r="AB729" s="717"/>
      <c r="AD729" s="79"/>
      <c r="BF729" s="694" t="s">
        <v>3092</v>
      </c>
      <c r="BJ729" s="86"/>
      <c r="BM729" s="86"/>
    </row>
    <row r="730">
      <c r="A730" s="41"/>
      <c r="C730" s="41"/>
      <c r="D730" s="41"/>
      <c r="F730" s="41"/>
      <c r="G730" s="41"/>
      <c r="I730" s="41"/>
      <c r="J730" s="41"/>
      <c r="L730" s="41"/>
      <c r="M730" s="41"/>
      <c r="O730" s="41"/>
      <c r="P730" s="41"/>
      <c r="R730" s="41"/>
      <c r="S730" s="41"/>
      <c r="U730" s="41"/>
      <c r="V730" s="41"/>
      <c r="X730" s="41"/>
      <c r="Y730" s="716"/>
      <c r="AA730" s="41"/>
      <c r="AB730" s="717"/>
      <c r="AD730" s="79"/>
      <c r="BF730" s="687" t="s">
        <v>3093</v>
      </c>
      <c r="BJ730" s="86"/>
      <c r="BM730" s="86"/>
    </row>
    <row r="731">
      <c r="A731" s="41"/>
      <c r="C731" s="41"/>
      <c r="D731" s="41"/>
      <c r="F731" s="41"/>
      <c r="G731" s="41"/>
      <c r="I731" s="41"/>
      <c r="J731" s="41"/>
      <c r="L731" s="41"/>
      <c r="M731" s="41"/>
      <c r="O731" s="41"/>
      <c r="P731" s="41"/>
      <c r="R731" s="41"/>
      <c r="S731" s="41"/>
      <c r="U731" s="41"/>
      <c r="V731" s="41"/>
      <c r="X731" s="41"/>
      <c r="Y731" s="716"/>
      <c r="AA731" s="41"/>
      <c r="AB731" s="717"/>
      <c r="AD731" s="79"/>
      <c r="BF731" s="687" t="s">
        <v>3094</v>
      </c>
      <c r="BJ731" s="86"/>
      <c r="BM731" s="86"/>
    </row>
    <row r="732">
      <c r="A732" s="41"/>
      <c r="C732" s="41"/>
      <c r="D732" s="41"/>
      <c r="F732" s="41"/>
      <c r="G732" s="41"/>
      <c r="I732" s="41"/>
      <c r="J732" s="41"/>
      <c r="L732" s="41"/>
      <c r="M732" s="41"/>
      <c r="O732" s="41"/>
      <c r="P732" s="41"/>
      <c r="R732" s="41"/>
      <c r="S732" s="41"/>
      <c r="U732" s="41"/>
      <c r="V732" s="41"/>
      <c r="X732" s="41"/>
      <c r="Y732" s="716"/>
      <c r="AA732" s="41"/>
      <c r="AB732" s="717"/>
      <c r="AD732" s="79"/>
      <c r="BF732" s="687" t="s">
        <v>3095</v>
      </c>
      <c r="BJ732" s="86"/>
      <c r="BM732" s="86"/>
    </row>
    <row r="733">
      <c r="A733" s="41"/>
      <c r="C733" s="41"/>
      <c r="D733" s="41"/>
      <c r="F733" s="41"/>
      <c r="G733" s="41"/>
      <c r="I733" s="41"/>
      <c r="J733" s="41"/>
      <c r="L733" s="41"/>
      <c r="M733" s="41"/>
      <c r="O733" s="41"/>
      <c r="P733" s="41"/>
      <c r="R733" s="41"/>
      <c r="S733" s="41"/>
      <c r="U733" s="41"/>
      <c r="V733" s="41"/>
      <c r="X733" s="41"/>
      <c r="Y733" s="716"/>
      <c r="AA733" s="41"/>
      <c r="AB733" s="717"/>
      <c r="AD733" s="79"/>
      <c r="BF733" s="687" t="s">
        <v>3096</v>
      </c>
      <c r="BJ733" s="86"/>
      <c r="BM733" s="86"/>
    </row>
    <row r="734">
      <c r="A734" s="41"/>
      <c r="C734" s="41"/>
      <c r="D734" s="41"/>
      <c r="F734" s="41"/>
      <c r="G734" s="41"/>
      <c r="I734" s="41"/>
      <c r="J734" s="41"/>
      <c r="L734" s="41"/>
      <c r="M734" s="41"/>
      <c r="O734" s="41"/>
      <c r="P734" s="41"/>
      <c r="R734" s="41"/>
      <c r="S734" s="41"/>
      <c r="U734" s="41"/>
      <c r="V734" s="41"/>
      <c r="X734" s="41"/>
      <c r="Y734" s="716"/>
      <c r="AA734" s="41"/>
      <c r="AB734" s="717"/>
      <c r="AD734" s="79"/>
      <c r="BF734" s="687" t="s">
        <v>3097</v>
      </c>
      <c r="BJ734" s="86"/>
      <c r="BM734" s="86"/>
    </row>
    <row r="735">
      <c r="A735" s="41"/>
      <c r="C735" s="41"/>
      <c r="D735" s="41"/>
      <c r="F735" s="41"/>
      <c r="G735" s="41"/>
      <c r="I735" s="41"/>
      <c r="J735" s="41"/>
      <c r="L735" s="41"/>
      <c r="M735" s="41"/>
      <c r="O735" s="41"/>
      <c r="P735" s="41"/>
      <c r="R735" s="41"/>
      <c r="S735" s="41"/>
      <c r="U735" s="41"/>
      <c r="V735" s="41"/>
      <c r="X735" s="41"/>
      <c r="Y735" s="716"/>
      <c r="AA735" s="41"/>
      <c r="AB735" s="717"/>
      <c r="AD735" s="79"/>
      <c r="BF735" s="687" t="s">
        <v>3098</v>
      </c>
      <c r="BJ735" s="86"/>
      <c r="BM735" s="86"/>
    </row>
    <row r="736">
      <c r="A736" s="41"/>
      <c r="C736" s="41"/>
      <c r="D736" s="41"/>
      <c r="F736" s="41"/>
      <c r="G736" s="41"/>
      <c r="I736" s="41"/>
      <c r="J736" s="41"/>
      <c r="L736" s="41"/>
      <c r="M736" s="41"/>
      <c r="O736" s="41"/>
      <c r="P736" s="41"/>
      <c r="R736" s="41"/>
      <c r="S736" s="41"/>
      <c r="U736" s="41"/>
      <c r="V736" s="41"/>
      <c r="X736" s="41"/>
      <c r="Y736" s="716"/>
      <c r="AA736" s="41"/>
      <c r="AB736" s="717"/>
      <c r="AD736" s="79"/>
      <c r="BF736" s="687" t="s">
        <v>3099</v>
      </c>
      <c r="BJ736" s="86"/>
      <c r="BM736" s="86"/>
    </row>
    <row r="737">
      <c r="A737" s="41"/>
      <c r="C737" s="41"/>
      <c r="D737" s="41"/>
      <c r="F737" s="41"/>
      <c r="G737" s="41"/>
      <c r="I737" s="41"/>
      <c r="J737" s="41"/>
      <c r="L737" s="41"/>
      <c r="M737" s="41"/>
      <c r="O737" s="41"/>
      <c r="P737" s="41"/>
      <c r="R737" s="41"/>
      <c r="S737" s="41"/>
      <c r="U737" s="41"/>
      <c r="V737" s="41"/>
      <c r="X737" s="41"/>
      <c r="Y737" s="716"/>
      <c r="AA737" s="41"/>
      <c r="AB737" s="717"/>
      <c r="AD737" s="79"/>
      <c r="BF737" s="694" t="s">
        <v>3100</v>
      </c>
      <c r="BJ737" s="86"/>
      <c r="BM737" s="86"/>
    </row>
    <row r="738">
      <c r="A738" s="41"/>
      <c r="C738" s="41"/>
      <c r="D738" s="41"/>
      <c r="F738" s="41"/>
      <c r="G738" s="41"/>
      <c r="I738" s="41"/>
      <c r="J738" s="41"/>
      <c r="L738" s="41"/>
      <c r="M738" s="41"/>
      <c r="O738" s="41"/>
      <c r="P738" s="41"/>
      <c r="R738" s="41"/>
      <c r="S738" s="41"/>
      <c r="U738" s="41"/>
      <c r="V738" s="41"/>
      <c r="X738" s="41"/>
      <c r="Y738" s="716"/>
      <c r="AA738" s="41"/>
      <c r="AB738" s="717"/>
      <c r="AD738" s="79"/>
      <c r="BF738" s="687" t="s">
        <v>3101</v>
      </c>
      <c r="BJ738" s="86"/>
      <c r="BM738" s="86"/>
    </row>
    <row r="739">
      <c r="A739" s="41"/>
      <c r="C739" s="41"/>
      <c r="D739" s="41"/>
      <c r="F739" s="41"/>
      <c r="G739" s="41"/>
      <c r="I739" s="41"/>
      <c r="J739" s="41"/>
      <c r="L739" s="41"/>
      <c r="M739" s="41"/>
      <c r="O739" s="41"/>
      <c r="P739" s="41"/>
      <c r="R739" s="41"/>
      <c r="S739" s="41"/>
      <c r="U739" s="41"/>
      <c r="V739" s="41"/>
      <c r="X739" s="41"/>
      <c r="Y739" s="716"/>
      <c r="AA739" s="41"/>
      <c r="AB739" s="717"/>
      <c r="AD739" s="79"/>
      <c r="BF739" s="687" t="s">
        <v>3102</v>
      </c>
      <c r="BJ739" s="86"/>
      <c r="BM739" s="86"/>
    </row>
    <row r="740">
      <c r="A740" s="41"/>
      <c r="C740" s="41"/>
      <c r="D740" s="41"/>
      <c r="F740" s="41"/>
      <c r="G740" s="41"/>
      <c r="I740" s="41"/>
      <c r="J740" s="41"/>
      <c r="L740" s="41"/>
      <c r="M740" s="41"/>
      <c r="O740" s="41"/>
      <c r="P740" s="41"/>
      <c r="R740" s="41"/>
      <c r="S740" s="41"/>
      <c r="U740" s="41"/>
      <c r="V740" s="41"/>
      <c r="X740" s="41"/>
      <c r="Y740" s="716"/>
      <c r="AA740" s="41"/>
      <c r="AB740" s="717"/>
      <c r="AD740" s="79"/>
      <c r="BF740" s="687" t="s">
        <v>2441</v>
      </c>
      <c r="BJ740" s="86"/>
      <c r="BM740" s="86"/>
    </row>
    <row r="741">
      <c r="A741" s="41"/>
      <c r="C741" s="41"/>
      <c r="D741" s="41"/>
      <c r="F741" s="41"/>
      <c r="G741" s="41"/>
      <c r="I741" s="41"/>
      <c r="J741" s="41"/>
      <c r="L741" s="41"/>
      <c r="M741" s="41"/>
      <c r="O741" s="41"/>
      <c r="P741" s="41"/>
      <c r="R741" s="41"/>
      <c r="S741" s="41"/>
      <c r="U741" s="41"/>
      <c r="V741" s="41"/>
      <c r="X741" s="41"/>
      <c r="Y741" s="716"/>
      <c r="AA741" s="41"/>
      <c r="AB741" s="717"/>
      <c r="AD741" s="79"/>
      <c r="BF741" s="687" t="s">
        <v>3103</v>
      </c>
      <c r="BJ741" s="86"/>
      <c r="BM741" s="86"/>
    </row>
    <row r="742">
      <c r="A742" s="41"/>
      <c r="C742" s="41"/>
      <c r="D742" s="41"/>
      <c r="F742" s="41"/>
      <c r="G742" s="41"/>
      <c r="I742" s="41"/>
      <c r="J742" s="41"/>
      <c r="L742" s="41"/>
      <c r="M742" s="41"/>
      <c r="O742" s="41"/>
      <c r="P742" s="41"/>
      <c r="R742" s="41"/>
      <c r="S742" s="41"/>
      <c r="U742" s="41"/>
      <c r="V742" s="41"/>
      <c r="X742" s="41"/>
      <c r="Y742" s="716"/>
      <c r="AA742" s="41"/>
      <c r="AB742" s="717"/>
      <c r="AD742" s="79"/>
      <c r="BF742" s="687" t="s">
        <v>3104</v>
      </c>
      <c r="BJ742" s="86"/>
      <c r="BM742" s="86"/>
    </row>
    <row r="743">
      <c r="A743" s="41"/>
      <c r="C743" s="41"/>
      <c r="D743" s="41"/>
      <c r="F743" s="41"/>
      <c r="G743" s="41"/>
      <c r="I743" s="41"/>
      <c r="J743" s="41"/>
      <c r="L743" s="41"/>
      <c r="M743" s="41"/>
      <c r="O743" s="41"/>
      <c r="P743" s="41"/>
      <c r="R743" s="41"/>
      <c r="S743" s="41"/>
      <c r="U743" s="41"/>
      <c r="V743" s="41"/>
      <c r="X743" s="41"/>
      <c r="Y743" s="716"/>
      <c r="AA743" s="41"/>
      <c r="AB743" s="717"/>
      <c r="AD743" s="79"/>
      <c r="BF743" s="687" t="s">
        <v>3105</v>
      </c>
      <c r="BJ743" s="86"/>
      <c r="BM743" s="86"/>
    </row>
    <row r="744">
      <c r="A744" s="41"/>
      <c r="C744" s="41"/>
      <c r="D744" s="41"/>
      <c r="F744" s="41"/>
      <c r="G744" s="41"/>
      <c r="I744" s="41"/>
      <c r="J744" s="41"/>
      <c r="L744" s="41"/>
      <c r="M744" s="41"/>
      <c r="O744" s="41"/>
      <c r="P744" s="41"/>
      <c r="R744" s="41"/>
      <c r="S744" s="41"/>
      <c r="U744" s="41"/>
      <c r="V744" s="41"/>
      <c r="X744" s="41"/>
      <c r="Y744" s="716"/>
      <c r="AA744" s="41"/>
      <c r="AB744" s="717"/>
      <c r="AD744" s="79"/>
      <c r="BF744" s="687" t="s">
        <v>3106</v>
      </c>
      <c r="BJ744" s="86"/>
      <c r="BM744" s="86"/>
    </row>
    <row r="745">
      <c r="A745" s="41"/>
      <c r="C745" s="41"/>
      <c r="D745" s="41"/>
      <c r="F745" s="41"/>
      <c r="G745" s="41"/>
      <c r="I745" s="41"/>
      <c r="J745" s="41"/>
      <c r="L745" s="41"/>
      <c r="M745" s="41"/>
      <c r="O745" s="41"/>
      <c r="P745" s="41"/>
      <c r="R745" s="41"/>
      <c r="S745" s="41"/>
      <c r="U745" s="41"/>
      <c r="V745" s="41"/>
      <c r="X745" s="41"/>
      <c r="Y745" s="716"/>
      <c r="AA745" s="41"/>
      <c r="AB745" s="717"/>
      <c r="AD745" s="79"/>
      <c r="BF745" s="687" t="s">
        <v>2343</v>
      </c>
      <c r="BJ745" s="86"/>
      <c r="BM745" s="86"/>
    </row>
    <row r="746">
      <c r="A746" s="41"/>
      <c r="C746" s="41"/>
      <c r="D746" s="41"/>
      <c r="F746" s="41"/>
      <c r="G746" s="41"/>
      <c r="I746" s="41"/>
      <c r="J746" s="41"/>
      <c r="L746" s="41"/>
      <c r="M746" s="41"/>
      <c r="O746" s="41"/>
      <c r="P746" s="41"/>
      <c r="R746" s="41"/>
      <c r="S746" s="41"/>
      <c r="U746" s="41"/>
      <c r="V746" s="41"/>
      <c r="X746" s="41"/>
      <c r="Y746" s="716"/>
      <c r="AA746" s="41"/>
      <c r="AB746" s="717"/>
      <c r="AD746" s="79"/>
      <c r="BF746" s="687" t="s">
        <v>3107</v>
      </c>
      <c r="BJ746" s="86"/>
      <c r="BM746" s="86"/>
    </row>
    <row r="747">
      <c r="A747" s="41"/>
      <c r="C747" s="41"/>
      <c r="D747" s="41"/>
      <c r="F747" s="41"/>
      <c r="G747" s="41"/>
      <c r="I747" s="41"/>
      <c r="J747" s="41"/>
      <c r="L747" s="41"/>
      <c r="M747" s="41"/>
      <c r="O747" s="41"/>
      <c r="P747" s="41"/>
      <c r="R747" s="41"/>
      <c r="S747" s="41"/>
      <c r="U747" s="41"/>
      <c r="V747" s="41"/>
      <c r="X747" s="41"/>
      <c r="Y747" s="716"/>
      <c r="AA747" s="41"/>
      <c r="AB747" s="717"/>
      <c r="AD747" s="79"/>
      <c r="BF747" s="687" t="s">
        <v>3108</v>
      </c>
      <c r="BJ747" s="86"/>
      <c r="BM747" s="86"/>
    </row>
    <row r="748">
      <c r="A748" s="41"/>
      <c r="C748" s="41"/>
      <c r="D748" s="41"/>
      <c r="F748" s="41"/>
      <c r="G748" s="41"/>
      <c r="I748" s="41"/>
      <c r="J748" s="41"/>
      <c r="L748" s="41"/>
      <c r="M748" s="41"/>
      <c r="O748" s="41"/>
      <c r="P748" s="41"/>
      <c r="R748" s="41"/>
      <c r="S748" s="41"/>
      <c r="U748" s="41"/>
      <c r="V748" s="41"/>
      <c r="X748" s="41"/>
      <c r="Y748" s="716"/>
      <c r="AA748" s="41"/>
      <c r="AB748" s="717"/>
      <c r="AD748" s="79"/>
      <c r="BF748" s="687" t="s">
        <v>3109</v>
      </c>
      <c r="BJ748" s="86"/>
      <c r="BM748" s="86"/>
    </row>
    <row r="749">
      <c r="A749" s="41"/>
      <c r="C749" s="41"/>
      <c r="D749" s="41"/>
      <c r="F749" s="41"/>
      <c r="G749" s="41"/>
      <c r="I749" s="41"/>
      <c r="J749" s="41"/>
      <c r="L749" s="41"/>
      <c r="M749" s="41"/>
      <c r="O749" s="41"/>
      <c r="P749" s="41"/>
      <c r="R749" s="41"/>
      <c r="S749" s="41"/>
      <c r="U749" s="41"/>
      <c r="V749" s="41"/>
      <c r="X749" s="41"/>
      <c r="Y749" s="716"/>
      <c r="AA749" s="41"/>
      <c r="AB749" s="717"/>
      <c r="AD749" s="79"/>
      <c r="BF749" s="687" t="s">
        <v>3110</v>
      </c>
      <c r="BJ749" s="86"/>
      <c r="BM749" s="86"/>
    </row>
    <row r="750">
      <c r="A750" s="41"/>
      <c r="C750" s="41"/>
      <c r="D750" s="41"/>
      <c r="F750" s="41"/>
      <c r="G750" s="41"/>
      <c r="I750" s="41"/>
      <c r="J750" s="41"/>
      <c r="L750" s="41"/>
      <c r="M750" s="41"/>
      <c r="O750" s="41"/>
      <c r="P750" s="41"/>
      <c r="R750" s="41"/>
      <c r="S750" s="41"/>
      <c r="U750" s="41"/>
      <c r="V750" s="41"/>
      <c r="X750" s="41"/>
      <c r="Y750" s="716"/>
      <c r="AA750" s="41"/>
      <c r="AB750" s="717"/>
      <c r="AD750" s="79"/>
      <c r="BF750" s="687" t="s">
        <v>3111</v>
      </c>
      <c r="BJ750" s="86"/>
      <c r="BM750" s="86"/>
    </row>
    <row r="751">
      <c r="A751" s="41"/>
      <c r="C751" s="41"/>
      <c r="D751" s="41"/>
      <c r="F751" s="41"/>
      <c r="G751" s="41"/>
      <c r="I751" s="41"/>
      <c r="J751" s="41"/>
      <c r="L751" s="41"/>
      <c r="M751" s="41"/>
      <c r="O751" s="41"/>
      <c r="P751" s="41"/>
      <c r="R751" s="41"/>
      <c r="S751" s="41"/>
      <c r="U751" s="41"/>
      <c r="V751" s="41"/>
      <c r="X751" s="41"/>
      <c r="Y751" s="716"/>
      <c r="AA751" s="41"/>
      <c r="AB751" s="717"/>
      <c r="AD751" s="79"/>
      <c r="BF751" s="687" t="s">
        <v>2304</v>
      </c>
      <c r="BJ751" s="86"/>
      <c r="BM751" s="86"/>
    </row>
    <row r="752">
      <c r="A752" s="41"/>
      <c r="C752" s="41"/>
      <c r="D752" s="41"/>
      <c r="F752" s="41"/>
      <c r="G752" s="41"/>
      <c r="I752" s="41"/>
      <c r="J752" s="41"/>
      <c r="L752" s="41"/>
      <c r="M752" s="41"/>
      <c r="O752" s="41"/>
      <c r="P752" s="41"/>
      <c r="R752" s="41"/>
      <c r="S752" s="41"/>
      <c r="U752" s="41"/>
      <c r="V752" s="41"/>
      <c r="X752" s="41"/>
      <c r="Y752" s="716"/>
      <c r="AA752" s="41"/>
      <c r="AB752" s="717"/>
      <c r="AD752" s="79"/>
      <c r="BF752" s="687" t="s">
        <v>3112</v>
      </c>
      <c r="BJ752" s="86"/>
      <c r="BM752" s="86"/>
    </row>
    <row r="753">
      <c r="A753" s="41"/>
      <c r="C753" s="41"/>
      <c r="D753" s="41"/>
      <c r="F753" s="41"/>
      <c r="G753" s="41"/>
      <c r="I753" s="41"/>
      <c r="J753" s="41"/>
      <c r="L753" s="41"/>
      <c r="M753" s="41"/>
      <c r="O753" s="41"/>
      <c r="P753" s="41"/>
      <c r="R753" s="41"/>
      <c r="S753" s="41"/>
      <c r="U753" s="41"/>
      <c r="V753" s="41"/>
      <c r="X753" s="41"/>
      <c r="Y753" s="716"/>
      <c r="AA753" s="41"/>
      <c r="AB753" s="717"/>
      <c r="AD753" s="79"/>
      <c r="BF753" s="687" t="s">
        <v>3113</v>
      </c>
      <c r="BJ753" s="86"/>
      <c r="BM753" s="86"/>
    </row>
    <row r="754">
      <c r="A754" s="41"/>
      <c r="C754" s="41"/>
      <c r="D754" s="41"/>
      <c r="F754" s="41"/>
      <c r="G754" s="41"/>
      <c r="I754" s="41"/>
      <c r="J754" s="41"/>
      <c r="L754" s="41"/>
      <c r="M754" s="41"/>
      <c r="O754" s="41"/>
      <c r="P754" s="41"/>
      <c r="R754" s="41"/>
      <c r="S754" s="41"/>
      <c r="U754" s="41"/>
      <c r="V754" s="41"/>
      <c r="X754" s="41"/>
      <c r="Y754" s="716"/>
      <c r="AA754" s="41"/>
      <c r="AB754" s="717"/>
      <c r="AD754" s="79"/>
      <c r="BF754" s="687" t="s">
        <v>3114</v>
      </c>
      <c r="BJ754" s="86"/>
      <c r="BM754" s="86"/>
    </row>
    <row r="755">
      <c r="A755" s="41"/>
      <c r="C755" s="41"/>
      <c r="D755" s="41"/>
      <c r="F755" s="41"/>
      <c r="G755" s="41"/>
      <c r="I755" s="41"/>
      <c r="J755" s="41"/>
      <c r="L755" s="41"/>
      <c r="M755" s="41"/>
      <c r="O755" s="41"/>
      <c r="P755" s="41"/>
      <c r="R755" s="41"/>
      <c r="S755" s="41"/>
      <c r="U755" s="41"/>
      <c r="V755" s="41"/>
      <c r="X755" s="41"/>
      <c r="Y755" s="716"/>
      <c r="AA755" s="41"/>
      <c r="AB755" s="717"/>
      <c r="AD755" s="79"/>
      <c r="BF755" s="687" t="s">
        <v>3115</v>
      </c>
      <c r="BJ755" s="86"/>
      <c r="BM755" s="86"/>
    </row>
    <row r="756">
      <c r="A756" s="41"/>
      <c r="C756" s="41"/>
      <c r="D756" s="41"/>
      <c r="F756" s="41"/>
      <c r="G756" s="41"/>
      <c r="I756" s="41"/>
      <c r="J756" s="41"/>
      <c r="L756" s="41"/>
      <c r="M756" s="41"/>
      <c r="O756" s="41"/>
      <c r="P756" s="41"/>
      <c r="R756" s="41"/>
      <c r="S756" s="41"/>
      <c r="U756" s="41"/>
      <c r="V756" s="41"/>
      <c r="X756" s="41"/>
      <c r="Y756" s="716"/>
      <c r="AA756" s="41"/>
      <c r="AB756" s="717"/>
      <c r="AD756" s="79"/>
      <c r="BF756" s="687" t="s">
        <v>2327</v>
      </c>
      <c r="BJ756" s="86"/>
      <c r="BM756" s="86"/>
    </row>
    <row r="757">
      <c r="A757" s="41"/>
      <c r="C757" s="41"/>
      <c r="D757" s="41"/>
      <c r="F757" s="41"/>
      <c r="G757" s="41"/>
      <c r="I757" s="41"/>
      <c r="J757" s="41"/>
      <c r="L757" s="41"/>
      <c r="M757" s="41"/>
      <c r="O757" s="41"/>
      <c r="P757" s="41"/>
      <c r="R757" s="41"/>
      <c r="S757" s="41"/>
      <c r="U757" s="41"/>
      <c r="V757" s="41"/>
      <c r="X757" s="41"/>
      <c r="Y757" s="716"/>
      <c r="AA757" s="41"/>
      <c r="AB757" s="717"/>
      <c r="AD757" s="79"/>
      <c r="BF757" s="687" t="s">
        <v>3116</v>
      </c>
      <c r="BJ757" s="86"/>
      <c r="BM757" s="86"/>
    </row>
    <row r="758">
      <c r="A758" s="41"/>
      <c r="C758" s="41"/>
      <c r="D758" s="41"/>
      <c r="F758" s="41"/>
      <c r="G758" s="41"/>
      <c r="I758" s="41"/>
      <c r="J758" s="41"/>
      <c r="L758" s="41"/>
      <c r="M758" s="41"/>
      <c r="O758" s="41"/>
      <c r="P758" s="41"/>
      <c r="R758" s="41"/>
      <c r="S758" s="41"/>
      <c r="U758" s="41"/>
      <c r="V758" s="41"/>
      <c r="X758" s="41"/>
      <c r="Y758" s="716"/>
      <c r="AA758" s="41"/>
      <c r="AB758" s="717"/>
      <c r="AD758" s="79"/>
      <c r="BF758" s="687" t="s">
        <v>3117</v>
      </c>
      <c r="BJ758" s="86"/>
      <c r="BM758" s="86"/>
    </row>
    <row r="759">
      <c r="A759" s="41"/>
      <c r="C759" s="41"/>
      <c r="D759" s="41"/>
      <c r="F759" s="41"/>
      <c r="G759" s="41"/>
      <c r="I759" s="41"/>
      <c r="J759" s="41"/>
      <c r="L759" s="41"/>
      <c r="M759" s="41"/>
      <c r="O759" s="41"/>
      <c r="P759" s="41"/>
      <c r="R759" s="41"/>
      <c r="S759" s="41"/>
      <c r="U759" s="41"/>
      <c r="V759" s="41"/>
      <c r="X759" s="41"/>
      <c r="Y759" s="716"/>
      <c r="AA759" s="41"/>
      <c r="AB759" s="717"/>
      <c r="AD759" s="79"/>
      <c r="BF759" s="687" t="s">
        <v>3118</v>
      </c>
      <c r="BJ759" s="86"/>
      <c r="BM759" s="86"/>
    </row>
    <row r="760">
      <c r="A760" s="41"/>
      <c r="C760" s="41"/>
      <c r="D760" s="41"/>
      <c r="F760" s="41"/>
      <c r="G760" s="41"/>
      <c r="I760" s="41"/>
      <c r="J760" s="41"/>
      <c r="L760" s="41"/>
      <c r="M760" s="41"/>
      <c r="O760" s="41"/>
      <c r="P760" s="41"/>
      <c r="R760" s="41"/>
      <c r="S760" s="41"/>
      <c r="U760" s="41"/>
      <c r="V760" s="41"/>
      <c r="X760" s="41"/>
      <c r="Y760" s="716"/>
      <c r="AA760" s="41"/>
      <c r="AB760" s="717"/>
      <c r="AD760" s="79"/>
      <c r="BF760" s="687" t="s">
        <v>3119</v>
      </c>
      <c r="BJ760" s="86"/>
      <c r="BM760" s="86"/>
    </row>
    <row r="761">
      <c r="A761" s="41"/>
      <c r="C761" s="41"/>
      <c r="D761" s="41"/>
      <c r="F761" s="41"/>
      <c r="G761" s="41"/>
      <c r="I761" s="41"/>
      <c r="J761" s="41"/>
      <c r="L761" s="41"/>
      <c r="M761" s="41"/>
      <c r="O761" s="41"/>
      <c r="P761" s="41"/>
      <c r="R761" s="41"/>
      <c r="S761" s="41"/>
      <c r="U761" s="41"/>
      <c r="V761" s="41"/>
      <c r="X761" s="41"/>
      <c r="Y761" s="716"/>
      <c r="AA761" s="41"/>
      <c r="AB761" s="717"/>
      <c r="AD761" s="79"/>
      <c r="BF761" s="687" t="s">
        <v>3120</v>
      </c>
      <c r="BJ761" s="86"/>
      <c r="BM761" s="86"/>
    </row>
    <row r="762">
      <c r="A762" s="41"/>
      <c r="C762" s="41"/>
      <c r="D762" s="41"/>
      <c r="F762" s="41"/>
      <c r="G762" s="41"/>
      <c r="I762" s="41"/>
      <c r="J762" s="41"/>
      <c r="L762" s="41"/>
      <c r="M762" s="41"/>
      <c r="O762" s="41"/>
      <c r="P762" s="41"/>
      <c r="R762" s="41"/>
      <c r="S762" s="41"/>
      <c r="U762" s="41"/>
      <c r="V762" s="41"/>
      <c r="X762" s="41"/>
      <c r="Y762" s="716"/>
      <c r="AA762" s="41"/>
      <c r="AB762" s="717"/>
      <c r="AD762" s="79"/>
      <c r="BF762" s="687" t="s">
        <v>3121</v>
      </c>
      <c r="BJ762" s="86"/>
      <c r="BM762" s="86"/>
    </row>
    <row r="763">
      <c r="A763" s="41"/>
      <c r="C763" s="41"/>
      <c r="D763" s="41"/>
      <c r="F763" s="41"/>
      <c r="G763" s="41"/>
      <c r="I763" s="41"/>
      <c r="J763" s="41"/>
      <c r="L763" s="41"/>
      <c r="M763" s="41"/>
      <c r="O763" s="41"/>
      <c r="P763" s="41"/>
      <c r="R763" s="41"/>
      <c r="S763" s="41"/>
      <c r="U763" s="41"/>
      <c r="V763" s="41"/>
      <c r="X763" s="41"/>
      <c r="Y763" s="716"/>
      <c r="AA763" s="41"/>
      <c r="AB763" s="717"/>
      <c r="AD763" s="79"/>
      <c r="BF763" s="687" t="s">
        <v>3122</v>
      </c>
      <c r="BJ763" s="86"/>
      <c r="BM763" s="86"/>
    </row>
    <row r="764">
      <c r="A764" s="41"/>
      <c r="C764" s="41"/>
      <c r="D764" s="41"/>
      <c r="F764" s="41"/>
      <c r="G764" s="41"/>
      <c r="I764" s="41"/>
      <c r="J764" s="41"/>
      <c r="L764" s="41"/>
      <c r="M764" s="41"/>
      <c r="O764" s="41"/>
      <c r="P764" s="41"/>
      <c r="R764" s="41"/>
      <c r="S764" s="41"/>
      <c r="U764" s="41"/>
      <c r="V764" s="41"/>
      <c r="X764" s="41"/>
      <c r="Y764" s="716"/>
      <c r="AA764" s="41"/>
      <c r="AB764" s="717"/>
      <c r="AD764" s="79"/>
      <c r="BF764" s="687" t="s">
        <v>3123</v>
      </c>
      <c r="BJ764" s="86"/>
      <c r="BM764" s="86"/>
    </row>
    <row r="765">
      <c r="A765" s="41"/>
      <c r="C765" s="41"/>
      <c r="D765" s="41"/>
      <c r="F765" s="41"/>
      <c r="G765" s="41"/>
      <c r="I765" s="41"/>
      <c r="J765" s="41"/>
      <c r="L765" s="41"/>
      <c r="M765" s="41"/>
      <c r="O765" s="41"/>
      <c r="P765" s="41"/>
      <c r="R765" s="41"/>
      <c r="S765" s="41"/>
      <c r="U765" s="41"/>
      <c r="V765" s="41"/>
      <c r="X765" s="41"/>
      <c r="Y765" s="716"/>
      <c r="AA765" s="41"/>
      <c r="AB765" s="717"/>
      <c r="AD765" s="79"/>
      <c r="BF765" s="687" t="s">
        <v>3124</v>
      </c>
      <c r="BJ765" s="86"/>
      <c r="BM765" s="86"/>
    </row>
    <row r="766">
      <c r="A766" s="41"/>
      <c r="C766" s="41"/>
      <c r="D766" s="41"/>
      <c r="F766" s="41"/>
      <c r="G766" s="41"/>
      <c r="I766" s="41"/>
      <c r="J766" s="41"/>
      <c r="L766" s="41"/>
      <c r="M766" s="41"/>
      <c r="O766" s="41"/>
      <c r="P766" s="41"/>
      <c r="R766" s="41"/>
      <c r="S766" s="41"/>
      <c r="U766" s="41"/>
      <c r="V766" s="41"/>
      <c r="X766" s="41"/>
      <c r="Y766" s="716"/>
      <c r="AA766" s="41"/>
      <c r="AB766" s="717"/>
      <c r="AD766" s="79"/>
      <c r="BF766" s="687" t="s">
        <v>3125</v>
      </c>
      <c r="BJ766" s="86"/>
      <c r="BM766" s="86"/>
    </row>
    <row r="767">
      <c r="A767" s="41"/>
      <c r="C767" s="41"/>
      <c r="D767" s="41"/>
      <c r="F767" s="41"/>
      <c r="G767" s="41"/>
      <c r="I767" s="41"/>
      <c r="J767" s="41"/>
      <c r="L767" s="41"/>
      <c r="M767" s="41"/>
      <c r="O767" s="41"/>
      <c r="P767" s="41"/>
      <c r="R767" s="41"/>
      <c r="S767" s="41"/>
      <c r="U767" s="41"/>
      <c r="V767" s="41"/>
      <c r="X767" s="41"/>
      <c r="Y767" s="716"/>
      <c r="AA767" s="41"/>
      <c r="AB767" s="717"/>
      <c r="AD767" s="79"/>
      <c r="BF767" s="687" t="s">
        <v>3126</v>
      </c>
      <c r="BJ767" s="86"/>
      <c r="BM767" s="86"/>
    </row>
    <row r="768">
      <c r="A768" s="41"/>
      <c r="C768" s="41"/>
      <c r="D768" s="41"/>
      <c r="F768" s="41"/>
      <c r="G768" s="41"/>
      <c r="I768" s="41"/>
      <c r="J768" s="41"/>
      <c r="L768" s="41"/>
      <c r="M768" s="41"/>
      <c r="O768" s="41"/>
      <c r="P768" s="41"/>
      <c r="R768" s="41"/>
      <c r="S768" s="41"/>
      <c r="U768" s="41"/>
      <c r="V768" s="41"/>
      <c r="X768" s="41"/>
      <c r="Y768" s="716"/>
      <c r="AA768" s="41"/>
      <c r="AB768" s="717"/>
      <c r="AD768" s="79"/>
      <c r="BF768" s="687" t="s">
        <v>3127</v>
      </c>
      <c r="BJ768" s="86"/>
      <c r="BM768" s="86"/>
    </row>
    <row r="769">
      <c r="A769" s="41"/>
      <c r="C769" s="41"/>
      <c r="D769" s="41"/>
      <c r="F769" s="41"/>
      <c r="G769" s="41"/>
      <c r="I769" s="41"/>
      <c r="J769" s="41"/>
      <c r="L769" s="41"/>
      <c r="M769" s="41"/>
      <c r="O769" s="41"/>
      <c r="P769" s="41"/>
      <c r="R769" s="41"/>
      <c r="S769" s="41"/>
      <c r="U769" s="41"/>
      <c r="V769" s="41"/>
      <c r="X769" s="41"/>
      <c r="Y769" s="716"/>
      <c r="AA769" s="41"/>
      <c r="AB769" s="717"/>
      <c r="AD769" s="79"/>
      <c r="BF769" s="687" t="s">
        <v>3128</v>
      </c>
      <c r="BJ769" s="86"/>
      <c r="BM769" s="86"/>
    </row>
    <row r="770">
      <c r="A770" s="41"/>
      <c r="C770" s="41"/>
      <c r="D770" s="41"/>
      <c r="F770" s="41"/>
      <c r="G770" s="41"/>
      <c r="I770" s="41"/>
      <c r="J770" s="41"/>
      <c r="L770" s="41"/>
      <c r="M770" s="41"/>
      <c r="O770" s="41"/>
      <c r="P770" s="41"/>
      <c r="R770" s="41"/>
      <c r="S770" s="41"/>
      <c r="U770" s="41"/>
      <c r="V770" s="41"/>
      <c r="X770" s="41"/>
      <c r="Y770" s="716"/>
      <c r="AA770" s="41"/>
      <c r="AB770" s="717"/>
      <c r="AD770" s="79"/>
      <c r="BF770" s="687" t="s">
        <v>3129</v>
      </c>
      <c r="BJ770" s="86"/>
      <c r="BM770" s="86"/>
    </row>
    <row r="771">
      <c r="A771" s="41"/>
      <c r="C771" s="41"/>
      <c r="D771" s="41"/>
      <c r="F771" s="41"/>
      <c r="G771" s="41"/>
      <c r="I771" s="41"/>
      <c r="J771" s="41"/>
      <c r="L771" s="41"/>
      <c r="M771" s="41"/>
      <c r="O771" s="41"/>
      <c r="P771" s="41"/>
      <c r="R771" s="41"/>
      <c r="S771" s="41"/>
      <c r="U771" s="41"/>
      <c r="V771" s="41"/>
      <c r="X771" s="41"/>
      <c r="Y771" s="716"/>
      <c r="AA771" s="41"/>
      <c r="AB771" s="717"/>
      <c r="AD771" s="79"/>
      <c r="BF771" s="687" t="s">
        <v>3130</v>
      </c>
      <c r="BJ771" s="86"/>
      <c r="BM771" s="86"/>
    </row>
    <row r="772">
      <c r="A772" s="41"/>
      <c r="C772" s="41"/>
      <c r="D772" s="41"/>
      <c r="F772" s="41"/>
      <c r="G772" s="41"/>
      <c r="I772" s="41"/>
      <c r="J772" s="41"/>
      <c r="L772" s="41"/>
      <c r="M772" s="41"/>
      <c r="O772" s="41"/>
      <c r="P772" s="41"/>
      <c r="R772" s="41"/>
      <c r="S772" s="41"/>
      <c r="U772" s="41"/>
      <c r="V772" s="41"/>
      <c r="X772" s="41"/>
      <c r="Y772" s="716"/>
      <c r="AA772" s="41"/>
      <c r="AB772" s="717"/>
      <c r="AD772" s="79"/>
      <c r="BF772" s="687" t="s">
        <v>3131</v>
      </c>
      <c r="BJ772" s="86"/>
      <c r="BM772" s="86"/>
    </row>
    <row r="773">
      <c r="A773" s="41"/>
      <c r="C773" s="41"/>
      <c r="D773" s="41"/>
      <c r="F773" s="41"/>
      <c r="G773" s="41"/>
      <c r="I773" s="41"/>
      <c r="J773" s="41"/>
      <c r="L773" s="41"/>
      <c r="M773" s="41"/>
      <c r="O773" s="41"/>
      <c r="P773" s="41"/>
      <c r="R773" s="41"/>
      <c r="S773" s="41"/>
      <c r="U773" s="41"/>
      <c r="V773" s="41"/>
      <c r="X773" s="41"/>
      <c r="Y773" s="716"/>
      <c r="AA773" s="41"/>
      <c r="AB773" s="717"/>
      <c r="AD773" s="79"/>
      <c r="BF773" s="687" t="s">
        <v>3132</v>
      </c>
      <c r="BJ773" s="86"/>
      <c r="BM773" s="86"/>
    </row>
    <row r="774">
      <c r="A774" s="41"/>
      <c r="C774" s="41"/>
      <c r="D774" s="41"/>
      <c r="F774" s="41"/>
      <c r="G774" s="41"/>
      <c r="I774" s="41"/>
      <c r="J774" s="41"/>
      <c r="L774" s="41"/>
      <c r="M774" s="41"/>
      <c r="O774" s="41"/>
      <c r="P774" s="41"/>
      <c r="R774" s="41"/>
      <c r="S774" s="41"/>
      <c r="U774" s="41"/>
      <c r="V774" s="41"/>
      <c r="X774" s="41"/>
      <c r="Y774" s="716"/>
      <c r="AA774" s="41"/>
      <c r="AB774" s="717"/>
      <c r="AD774" s="79"/>
      <c r="BF774" s="687" t="s">
        <v>3133</v>
      </c>
      <c r="BJ774" s="86"/>
      <c r="BM774" s="86"/>
    </row>
    <row r="775">
      <c r="A775" s="41"/>
      <c r="C775" s="41"/>
      <c r="D775" s="41"/>
      <c r="F775" s="41"/>
      <c r="G775" s="41"/>
      <c r="I775" s="41"/>
      <c r="J775" s="41"/>
      <c r="L775" s="41"/>
      <c r="M775" s="41"/>
      <c r="O775" s="41"/>
      <c r="P775" s="41"/>
      <c r="R775" s="41"/>
      <c r="S775" s="41"/>
      <c r="U775" s="41"/>
      <c r="V775" s="41"/>
      <c r="X775" s="41"/>
      <c r="Y775" s="716"/>
      <c r="AA775" s="41"/>
      <c r="AB775" s="717"/>
      <c r="AD775" s="79"/>
      <c r="BF775" s="687" t="s">
        <v>3134</v>
      </c>
      <c r="BJ775" s="86"/>
      <c r="BM775" s="86"/>
    </row>
    <row r="776">
      <c r="A776" s="41"/>
      <c r="C776" s="41"/>
      <c r="D776" s="41"/>
      <c r="F776" s="41"/>
      <c r="G776" s="41"/>
      <c r="I776" s="41"/>
      <c r="J776" s="41"/>
      <c r="L776" s="41"/>
      <c r="M776" s="41"/>
      <c r="O776" s="41"/>
      <c r="P776" s="41"/>
      <c r="R776" s="41"/>
      <c r="S776" s="41"/>
      <c r="U776" s="41"/>
      <c r="V776" s="41"/>
      <c r="X776" s="41"/>
      <c r="Y776" s="716"/>
      <c r="AA776" s="41"/>
      <c r="AB776" s="717"/>
      <c r="AD776" s="79"/>
      <c r="BF776" s="687" t="s">
        <v>3135</v>
      </c>
      <c r="BJ776" s="86"/>
      <c r="BM776" s="86"/>
    </row>
    <row r="777">
      <c r="A777" s="41"/>
      <c r="C777" s="41"/>
      <c r="D777" s="41"/>
      <c r="F777" s="41"/>
      <c r="G777" s="41"/>
      <c r="I777" s="41"/>
      <c r="J777" s="41"/>
      <c r="L777" s="41"/>
      <c r="M777" s="41"/>
      <c r="O777" s="41"/>
      <c r="P777" s="41"/>
      <c r="R777" s="41"/>
      <c r="S777" s="41"/>
      <c r="U777" s="41"/>
      <c r="V777" s="41"/>
      <c r="X777" s="41"/>
      <c r="Y777" s="716"/>
      <c r="AA777" s="41"/>
      <c r="AB777" s="717"/>
      <c r="AD777" s="79"/>
      <c r="BF777" s="687" t="s">
        <v>3136</v>
      </c>
      <c r="BJ777" s="86"/>
      <c r="BM777" s="86"/>
    </row>
    <row r="778">
      <c r="A778" s="41"/>
      <c r="C778" s="41"/>
      <c r="D778" s="41"/>
      <c r="F778" s="41"/>
      <c r="G778" s="41"/>
      <c r="I778" s="41"/>
      <c r="J778" s="41"/>
      <c r="L778" s="41"/>
      <c r="M778" s="41"/>
      <c r="O778" s="41"/>
      <c r="P778" s="41"/>
      <c r="R778" s="41"/>
      <c r="S778" s="41"/>
      <c r="U778" s="41"/>
      <c r="V778" s="41"/>
      <c r="X778" s="41"/>
      <c r="Y778" s="716"/>
      <c r="AA778" s="41"/>
      <c r="AB778" s="717"/>
      <c r="AD778" s="79"/>
      <c r="BF778" s="687" t="s">
        <v>3137</v>
      </c>
      <c r="BJ778" s="86"/>
      <c r="BM778" s="86"/>
    </row>
    <row r="779">
      <c r="A779" s="41"/>
      <c r="C779" s="41"/>
      <c r="D779" s="41"/>
      <c r="F779" s="41"/>
      <c r="G779" s="41"/>
      <c r="I779" s="41"/>
      <c r="J779" s="41"/>
      <c r="L779" s="41"/>
      <c r="M779" s="41"/>
      <c r="O779" s="41"/>
      <c r="P779" s="41"/>
      <c r="R779" s="41"/>
      <c r="S779" s="41"/>
      <c r="U779" s="41"/>
      <c r="V779" s="41"/>
      <c r="X779" s="41"/>
      <c r="Y779" s="716"/>
      <c r="AA779" s="41"/>
      <c r="AB779" s="717"/>
      <c r="AD779" s="79"/>
      <c r="BF779" s="687" t="s">
        <v>3138</v>
      </c>
      <c r="BJ779" s="86"/>
      <c r="BM779" s="86"/>
    </row>
    <row r="780">
      <c r="A780" s="41"/>
      <c r="C780" s="41"/>
      <c r="D780" s="41"/>
      <c r="F780" s="41"/>
      <c r="G780" s="41"/>
      <c r="I780" s="41"/>
      <c r="J780" s="41"/>
      <c r="L780" s="41"/>
      <c r="M780" s="41"/>
      <c r="O780" s="41"/>
      <c r="P780" s="41"/>
      <c r="R780" s="41"/>
      <c r="S780" s="41"/>
      <c r="U780" s="41"/>
      <c r="V780" s="41"/>
      <c r="X780" s="41"/>
      <c r="Y780" s="716"/>
      <c r="AA780" s="41"/>
      <c r="AB780" s="717"/>
      <c r="AD780" s="79"/>
      <c r="BF780" s="687" t="s">
        <v>3139</v>
      </c>
      <c r="BJ780" s="86"/>
      <c r="BM780" s="86"/>
    </row>
    <row r="781">
      <c r="A781" s="41"/>
      <c r="C781" s="41"/>
      <c r="D781" s="41"/>
      <c r="F781" s="41"/>
      <c r="G781" s="41"/>
      <c r="I781" s="41"/>
      <c r="J781" s="41"/>
      <c r="L781" s="41"/>
      <c r="M781" s="41"/>
      <c r="O781" s="41"/>
      <c r="P781" s="41"/>
      <c r="R781" s="41"/>
      <c r="S781" s="41"/>
      <c r="U781" s="41"/>
      <c r="V781" s="41"/>
      <c r="X781" s="41"/>
      <c r="Y781" s="716"/>
      <c r="AA781" s="41"/>
      <c r="AB781" s="717"/>
      <c r="AD781" s="79"/>
      <c r="BF781" s="687" t="s">
        <v>3140</v>
      </c>
      <c r="BJ781" s="86"/>
      <c r="BM781" s="86"/>
    </row>
    <row r="782">
      <c r="A782" s="41"/>
      <c r="C782" s="41"/>
      <c r="D782" s="41"/>
      <c r="F782" s="41"/>
      <c r="G782" s="41"/>
      <c r="I782" s="41"/>
      <c r="J782" s="41"/>
      <c r="L782" s="41"/>
      <c r="M782" s="41"/>
      <c r="O782" s="41"/>
      <c r="P782" s="41"/>
      <c r="R782" s="41"/>
      <c r="S782" s="41"/>
      <c r="U782" s="41"/>
      <c r="V782" s="41"/>
      <c r="X782" s="41"/>
      <c r="Y782" s="716"/>
      <c r="AA782" s="41"/>
      <c r="AB782" s="717"/>
      <c r="AD782" s="79"/>
      <c r="BF782" s="687" t="s">
        <v>3141</v>
      </c>
      <c r="BJ782" s="86"/>
      <c r="BM782" s="86"/>
    </row>
    <row r="783">
      <c r="A783" s="41"/>
      <c r="C783" s="41"/>
      <c r="D783" s="41"/>
      <c r="F783" s="41"/>
      <c r="G783" s="41"/>
      <c r="I783" s="41"/>
      <c r="J783" s="41"/>
      <c r="L783" s="41"/>
      <c r="M783" s="41"/>
      <c r="O783" s="41"/>
      <c r="P783" s="41"/>
      <c r="R783" s="41"/>
      <c r="S783" s="41"/>
      <c r="U783" s="41"/>
      <c r="V783" s="41"/>
      <c r="X783" s="41"/>
      <c r="Y783" s="716"/>
      <c r="AA783" s="41"/>
      <c r="AB783" s="717"/>
      <c r="AD783" s="79"/>
      <c r="BF783" s="687" t="s">
        <v>3142</v>
      </c>
      <c r="BJ783" s="86"/>
      <c r="BM783" s="86"/>
    </row>
    <row r="784">
      <c r="A784" s="41"/>
      <c r="C784" s="41"/>
      <c r="D784" s="41"/>
      <c r="F784" s="41"/>
      <c r="G784" s="41"/>
      <c r="I784" s="41"/>
      <c r="J784" s="41"/>
      <c r="L784" s="41"/>
      <c r="M784" s="41"/>
      <c r="O784" s="41"/>
      <c r="P784" s="41"/>
      <c r="R784" s="41"/>
      <c r="S784" s="41"/>
      <c r="U784" s="41"/>
      <c r="V784" s="41"/>
      <c r="X784" s="41"/>
      <c r="Y784" s="716"/>
      <c r="AA784" s="41"/>
      <c r="AB784" s="717"/>
      <c r="AD784" s="79"/>
      <c r="BF784" s="687" t="s">
        <v>3143</v>
      </c>
      <c r="BJ784" s="86"/>
      <c r="BM784" s="86"/>
    </row>
    <row r="785">
      <c r="A785" s="41"/>
      <c r="C785" s="41"/>
      <c r="D785" s="41"/>
      <c r="F785" s="41"/>
      <c r="G785" s="41"/>
      <c r="I785" s="41"/>
      <c r="J785" s="41"/>
      <c r="L785" s="41"/>
      <c r="M785" s="41"/>
      <c r="O785" s="41"/>
      <c r="P785" s="41"/>
      <c r="R785" s="41"/>
      <c r="S785" s="41"/>
      <c r="U785" s="41"/>
      <c r="V785" s="41"/>
      <c r="X785" s="41"/>
      <c r="Y785" s="716"/>
      <c r="AA785" s="41"/>
      <c r="AB785" s="717"/>
      <c r="AD785" s="79"/>
      <c r="BF785" s="687" t="s">
        <v>3144</v>
      </c>
      <c r="BJ785" s="86"/>
      <c r="BM785" s="86"/>
    </row>
    <row r="786">
      <c r="A786" s="41"/>
      <c r="C786" s="41"/>
      <c r="D786" s="41"/>
      <c r="F786" s="41"/>
      <c r="G786" s="41"/>
      <c r="I786" s="41"/>
      <c r="J786" s="41"/>
      <c r="L786" s="41"/>
      <c r="M786" s="41"/>
      <c r="O786" s="41"/>
      <c r="P786" s="41"/>
      <c r="R786" s="41"/>
      <c r="S786" s="41"/>
      <c r="U786" s="41"/>
      <c r="V786" s="41"/>
      <c r="X786" s="41"/>
      <c r="Y786" s="716"/>
      <c r="AA786" s="41"/>
      <c r="AB786" s="717"/>
      <c r="AD786" s="79"/>
      <c r="BF786" s="687" t="s">
        <v>3145</v>
      </c>
      <c r="BJ786" s="86"/>
      <c r="BM786" s="86"/>
    </row>
    <row r="787">
      <c r="A787" s="41"/>
      <c r="C787" s="41"/>
      <c r="D787" s="41"/>
      <c r="F787" s="41"/>
      <c r="G787" s="41"/>
      <c r="I787" s="41"/>
      <c r="J787" s="41"/>
      <c r="L787" s="41"/>
      <c r="M787" s="41"/>
      <c r="O787" s="41"/>
      <c r="P787" s="41"/>
      <c r="R787" s="41"/>
      <c r="S787" s="41"/>
      <c r="U787" s="41"/>
      <c r="V787" s="41"/>
      <c r="X787" s="41"/>
      <c r="Y787" s="716"/>
      <c r="AA787" s="41"/>
      <c r="AB787" s="717"/>
      <c r="AD787" s="79"/>
      <c r="BF787" s="687" t="s">
        <v>3146</v>
      </c>
      <c r="BJ787" s="86"/>
      <c r="BM787" s="86"/>
    </row>
    <row r="788">
      <c r="A788" s="41"/>
      <c r="C788" s="41"/>
      <c r="D788" s="41"/>
      <c r="F788" s="41"/>
      <c r="G788" s="41"/>
      <c r="I788" s="41"/>
      <c r="J788" s="41"/>
      <c r="L788" s="41"/>
      <c r="M788" s="41"/>
      <c r="O788" s="41"/>
      <c r="P788" s="41"/>
      <c r="R788" s="41"/>
      <c r="S788" s="41"/>
      <c r="U788" s="41"/>
      <c r="V788" s="41"/>
      <c r="X788" s="41"/>
      <c r="Y788" s="716"/>
      <c r="AA788" s="41"/>
      <c r="AB788" s="717"/>
      <c r="AD788" s="79"/>
      <c r="BF788" s="687" t="s">
        <v>3147</v>
      </c>
      <c r="BJ788" s="86"/>
      <c r="BM788" s="86"/>
    </row>
    <row r="789">
      <c r="A789" s="41"/>
      <c r="C789" s="41"/>
      <c r="D789" s="41"/>
      <c r="F789" s="41"/>
      <c r="G789" s="41"/>
      <c r="I789" s="41"/>
      <c r="J789" s="41"/>
      <c r="L789" s="41"/>
      <c r="M789" s="41"/>
      <c r="O789" s="41"/>
      <c r="P789" s="41"/>
      <c r="R789" s="41"/>
      <c r="S789" s="41"/>
      <c r="U789" s="41"/>
      <c r="V789" s="41"/>
      <c r="X789" s="41"/>
      <c r="Y789" s="716"/>
      <c r="AA789" s="41"/>
      <c r="AB789" s="717"/>
      <c r="AD789" s="79"/>
      <c r="BF789" s="687" t="s">
        <v>3148</v>
      </c>
      <c r="BJ789" s="86"/>
      <c r="BM789" s="86"/>
    </row>
    <row r="790">
      <c r="A790" s="41"/>
      <c r="C790" s="41"/>
      <c r="D790" s="41"/>
      <c r="F790" s="41"/>
      <c r="G790" s="41"/>
      <c r="I790" s="41"/>
      <c r="J790" s="41"/>
      <c r="L790" s="41"/>
      <c r="M790" s="41"/>
      <c r="O790" s="41"/>
      <c r="P790" s="41"/>
      <c r="R790" s="41"/>
      <c r="S790" s="41"/>
      <c r="U790" s="41"/>
      <c r="V790" s="41"/>
      <c r="X790" s="41"/>
      <c r="Y790" s="716"/>
      <c r="AA790" s="41"/>
      <c r="AB790" s="717"/>
      <c r="AD790" s="79"/>
      <c r="BF790" s="687" t="s">
        <v>3149</v>
      </c>
      <c r="BJ790" s="86"/>
      <c r="BM790" s="86"/>
    </row>
    <row r="791">
      <c r="A791" s="41"/>
      <c r="C791" s="41"/>
      <c r="D791" s="41"/>
      <c r="F791" s="41"/>
      <c r="G791" s="41"/>
      <c r="I791" s="41"/>
      <c r="J791" s="41"/>
      <c r="L791" s="41"/>
      <c r="M791" s="41"/>
      <c r="O791" s="41"/>
      <c r="P791" s="41"/>
      <c r="R791" s="41"/>
      <c r="S791" s="41"/>
      <c r="U791" s="41"/>
      <c r="V791" s="41"/>
      <c r="X791" s="41"/>
      <c r="Y791" s="716"/>
      <c r="AA791" s="41"/>
      <c r="AB791" s="717"/>
      <c r="AD791" s="79"/>
      <c r="BF791" s="687" t="s">
        <v>3150</v>
      </c>
      <c r="BJ791" s="86"/>
      <c r="BM791" s="86"/>
    </row>
    <row r="792">
      <c r="A792" s="41"/>
      <c r="C792" s="41"/>
      <c r="D792" s="41"/>
      <c r="F792" s="41"/>
      <c r="G792" s="41"/>
      <c r="I792" s="41"/>
      <c r="J792" s="41"/>
      <c r="L792" s="41"/>
      <c r="M792" s="41"/>
      <c r="O792" s="41"/>
      <c r="P792" s="41"/>
      <c r="R792" s="41"/>
      <c r="S792" s="41"/>
      <c r="U792" s="41"/>
      <c r="V792" s="41"/>
      <c r="X792" s="41"/>
      <c r="Y792" s="716"/>
      <c r="AA792" s="41"/>
      <c r="AB792" s="717"/>
      <c r="AD792" s="79"/>
      <c r="BF792" s="687" t="s">
        <v>3151</v>
      </c>
      <c r="BJ792" s="86"/>
      <c r="BM792" s="86"/>
    </row>
    <row r="793">
      <c r="A793" s="41"/>
      <c r="C793" s="41"/>
      <c r="D793" s="41"/>
      <c r="F793" s="41"/>
      <c r="G793" s="41"/>
      <c r="I793" s="41"/>
      <c r="J793" s="41"/>
      <c r="L793" s="41"/>
      <c r="M793" s="41"/>
      <c r="O793" s="41"/>
      <c r="P793" s="41"/>
      <c r="R793" s="41"/>
      <c r="S793" s="41"/>
      <c r="U793" s="41"/>
      <c r="V793" s="41"/>
      <c r="X793" s="41"/>
      <c r="Y793" s="716"/>
      <c r="AA793" s="41"/>
      <c r="AB793" s="717"/>
      <c r="AD793" s="79"/>
      <c r="BF793" s="687" t="s">
        <v>3152</v>
      </c>
      <c r="BJ793" s="86"/>
      <c r="BM793" s="86"/>
    </row>
    <row r="794">
      <c r="A794" s="41"/>
      <c r="C794" s="41"/>
      <c r="D794" s="41"/>
      <c r="F794" s="41"/>
      <c r="G794" s="41"/>
      <c r="I794" s="41"/>
      <c r="J794" s="41"/>
      <c r="L794" s="41"/>
      <c r="M794" s="41"/>
      <c r="O794" s="41"/>
      <c r="P794" s="41"/>
      <c r="R794" s="41"/>
      <c r="S794" s="41"/>
      <c r="U794" s="41"/>
      <c r="V794" s="41"/>
      <c r="X794" s="41"/>
      <c r="Y794" s="716"/>
      <c r="AA794" s="41"/>
      <c r="AB794" s="717"/>
      <c r="AD794" s="79"/>
      <c r="BF794" s="687" t="s">
        <v>3153</v>
      </c>
      <c r="BJ794" s="86"/>
      <c r="BM794" s="86"/>
    </row>
    <row r="795">
      <c r="A795" s="41"/>
      <c r="C795" s="41"/>
      <c r="D795" s="41"/>
      <c r="F795" s="41"/>
      <c r="G795" s="41"/>
      <c r="I795" s="41"/>
      <c r="J795" s="41"/>
      <c r="L795" s="41"/>
      <c r="M795" s="41"/>
      <c r="O795" s="41"/>
      <c r="P795" s="41"/>
      <c r="R795" s="41"/>
      <c r="S795" s="41"/>
      <c r="U795" s="41"/>
      <c r="V795" s="41"/>
      <c r="X795" s="41"/>
      <c r="Y795" s="716"/>
      <c r="AA795" s="41"/>
      <c r="AB795" s="717"/>
      <c r="AD795" s="79"/>
      <c r="BF795" s="687" t="s">
        <v>3154</v>
      </c>
      <c r="BJ795" s="86"/>
      <c r="BM795" s="86"/>
    </row>
    <row r="796">
      <c r="A796" s="41"/>
      <c r="C796" s="41"/>
      <c r="D796" s="41"/>
      <c r="F796" s="41"/>
      <c r="G796" s="41"/>
      <c r="I796" s="41"/>
      <c r="J796" s="41"/>
      <c r="L796" s="41"/>
      <c r="M796" s="41"/>
      <c r="O796" s="41"/>
      <c r="P796" s="41"/>
      <c r="R796" s="41"/>
      <c r="S796" s="41"/>
      <c r="U796" s="41"/>
      <c r="V796" s="41"/>
      <c r="X796" s="41"/>
      <c r="Y796" s="716"/>
      <c r="AA796" s="41"/>
      <c r="AB796" s="717"/>
      <c r="AD796" s="79"/>
      <c r="BF796" s="687" t="s">
        <v>3155</v>
      </c>
      <c r="BJ796" s="86"/>
      <c r="BM796" s="86"/>
    </row>
    <row r="797">
      <c r="A797" s="41"/>
      <c r="C797" s="41"/>
      <c r="D797" s="41"/>
      <c r="F797" s="41"/>
      <c r="G797" s="41"/>
      <c r="I797" s="41"/>
      <c r="J797" s="41"/>
      <c r="L797" s="41"/>
      <c r="M797" s="41"/>
      <c r="O797" s="41"/>
      <c r="P797" s="41"/>
      <c r="R797" s="41"/>
      <c r="S797" s="41"/>
      <c r="U797" s="41"/>
      <c r="V797" s="41"/>
      <c r="X797" s="41"/>
      <c r="Y797" s="716"/>
      <c r="AA797" s="41"/>
      <c r="AB797" s="717"/>
      <c r="AD797" s="79"/>
      <c r="BF797" s="687" t="s">
        <v>3156</v>
      </c>
      <c r="BJ797" s="86"/>
      <c r="BM797" s="86"/>
    </row>
    <row r="798">
      <c r="A798" s="41"/>
      <c r="C798" s="41"/>
      <c r="D798" s="41"/>
      <c r="F798" s="41"/>
      <c r="G798" s="41"/>
      <c r="I798" s="41"/>
      <c r="J798" s="41"/>
      <c r="L798" s="41"/>
      <c r="M798" s="41"/>
      <c r="O798" s="41"/>
      <c r="P798" s="41"/>
      <c r="R798" s="41"/>
      <c r="S798" s="41"/>
      <c r="U798" s="41"/>
      <c r="V798" s="41"/>
      <c r="X798" s="41"/>
      <c r="Y798" s="716"/>
      <c r="AA798" s="41"/>
      <c r="AB798" s="717"/>
      <c r="AD798" s="79"/>
      <c r="BF798" s="687" t="s">
        <v>3157</v>
      </c>
      <c r="BJ798" s="86"/>
      <c r="BM798" s="86"/>
    </row>
    <row r="799">
      <c r="A799" s="41"/>
      <c r="C799" s="41"/>
      <c r="D799" s="41"/>
      <c r="F799" s="41"/>
      <c r="G799" s="41"/>
      <c r="I799" s="41"/>
      <c r="J799" s="41"/>
      <c r="L799" s="41"/>
      <c r="M799" s="41"/>
      <c r="O799" s="41"/>
      <c r="P799" s="41"/>
      <c r="R799" s="41"/>
      <c r="S799" s="41"/>
      <c r="U799" s="41"/>
      <c r="V799" s="41"/>
      <c r="X799" s="41"/>
      <c r="Y799" s="716"/>
      <c r="AA799" s="41"/>
      <c r="AB799" s="717"/>
      <c r="AD799" s="79"/>
      <c r="BF799" s="687" t="s">
        <v>3158</v>
      </c>
      <c r="BJ799" s="86"/>
      <c r="BM799" s="86"/>
    </row>
    <row r="800">
      <c r="A800" s="41"/>
      <c r="C800" s="41"/>
      <c r="D800" s="41"/>
      <c r="F800" s="41"/>
      <c r="G800" s="41"/>
      <c r="I800" s="41"/>
      <c r="J800" s="41"/>
      <c r="L800" s="41"/>
      <c r="M800" s="41"/>
      <c r="O800" s="41"/>
      <c r="P800" s="41"/>
      <c r="R800" s="41"/>
      <c r="S800" s="41"/>
      <c r="U800" s="41"/>
      <c r="V800" s="41"/>
      <c r="X800" s="41"/>
      <c r="Y800" s="716"/>
      <c r="AA800" s="41"/>
      <c r="AB800" s="717"/>
      <c r="AD800" s="79"/>
      <c r="BF800" s="687" t="s">
        <v>3159</v>
      </c>
      <c r="BJ800" s="86"/>
      <c r="BM800" s="86"/>
    </row>
    <row r="801">
      <c r="A801" s="41"/>
      <c r="C801" s="41"/>
      <c r="D801" s="41"/>
      <c r="F801" s="41"/>
      <c r="G801" s="41"/>
      <c r="I801" s="41"/>
      <c r="J801" s="41"/>
      <c r="L801" s="41"/>
      <c r="M801" s="41"/>
      <c r="O801" s="41"/>
      <c r="P801" s="41"/>
      <c r="R801" s="41"/>
      <c r="S801" s="41"/>
      <c r="U801" s="41"/>
      <c r="V801" s="41"/>
      <c r="X801" s="41"/>
      <c r="Y801" s="716"/>
      <c r="AA801" s="41"/>
      <c r="AB801" s="717"/>
      <c r="AD801" s="79"/>
      <c r="BF801" s="687" t="s">
        <v>3160</v>
      </c>
      <c r="BJ801" s="86"/>
      <c r="BM801" s="86"/>
    </row>
    <row r="802">
      <c r="A802" s="41"/>
      <c r="C802" s="41"/>
      <c r="D802" s="41"/>
      <c r="F802" s="41"/>
      <c r="G802" s="41"/>
      <c r="I802" s="41"/>
      <c r="J802" s="41"/>
      <c r="L802" s="41"/>
      <c r="M802" s="41"/>
      <c r="O802" s="41"/>
      <c r="P802" s="41"/>
      <c r="R802" s="41"/>
      <c r="S802" s="41"/>
      <c r="U802" s="41"/>
      <c r="V802" s="41"/>
      <c r="X802" s="41"/>
      <c r="Y802" s="716"/>
      <c r="AA802" s="41"/>
      <c r="AB802" s="717"/>
      <c r="AD802" s="79"/>
      <c r="BF802" s="687" t="s">
        <v>3161</v>
      </c>
      <c r="BJ802" s="86"/>
      <c r="BM802" s="86"/>
    </row>
    <row r="803">
      <c r="A803" s="41"/>
      <c r="C803" s="41"/>
      <c r="D803" s="41"/>
      <c r="F803" s="41"/>
      <c r="G803" s="41"/>
      <c r="I803" s="41"/>
      <c r="J803" s="41"/>
      <c r="L803" s="41"/>
      <c r="M803" s="41"/>
      <c r="O803" s="41"/>
      <c r="P803" s="41"/>
      <c r="R803" s="41"/>
      <c r="S803" s="41"/>
      <c r="U803" s="41"/>
      <c r="V803" s="41"/>
      <c r="X803" s="41"/>
      <c r="Y803" s="716"/>
      <c r="AA803" s="41"/>
      <c r="AB803" s="717"/>
      <c r="AD803" s="79"/>
      <c r="BF803" s="687" t="s">
        <v>3162</v>
      </c>
      <c r="BJ803" s="86"/>
      <c r="BM803" s="86"/>
    </row>
    <row r="804">
      <c r="A804" s="41"/>
      <c r="C804" s="41"/>
      <c r="D804" s="41"/>
      <c r="F804" s="41"/>
      <c r="G804" s="41"/>
      <c r="I804" s="41"/>
      <c r="J804" s="41"/>
      <c r="L804" s="41"/>
      <c r="M804" s="41"/>
      <c r="O804" s="41"/>
      <c r="P804" s="41"/>
      <c r="R804" s="41"/>
      <c r="S804" s="41"/>
      <c r="U804" s="41"/>
      <c r="V804" s="41"/>
      <c r="X804" s="41"/>
      <c r="Y804" s="716"/>
      <c r="AA804" s="41"/>
      <c r="AB804" s="717"/>
      <c r="AD804" s="79"/>
      <c r="BF804" s="687" t="s">
        <v>3163</v>
      </c>
      <c r="BJ804" s="86"/>
      <c r="BM804" s="86"/>
    </row>
    <row r="805">
      <c r="A805" s="41"/>
      <c r="C805" s="41"/>
      <c r="D805" s="41"/>
      <c r="F805" s="41"/>
      <c r="G805" s="41"/>
      <c r="I805" s="41"/>
      <c r="J805" s="41"/>
      <c r="L805" s="41"/>
      <c r="M805" s="41"/>
      <c r="O805" s="41"/>
      <c r="P805" s="41"/>
      <c r="R805" s="41"/>
      <c r="S805" s="41"/>
      <c r="U805" s="41"/>
      <c r="V805" s="41"/>
      <c r="X805" s="41"/>
      <c r="Y805" s="716"/>
      <c r="AA805" s="41"/>
      <c r="AB805" s="717"/>
      <c r="AD805" s="79"/>
      <c r="BF805" s="687" t="s">
        <v>3164</v>
      </c>
      <c r="BJ805" s="86"/>
      <c r="BM805" s="86"/>
    </row>
    <row r="806">
      <c r="A806" s="41"/>
      <c r="C806" s="41"/>
      <c r="D806" s="41"/>
      <c r="F806" s="41"/>
      <c r="G806" s="41"/>
      <c r="I806" s="41"/>
      <c r="J806" s="41"/>
      <c r="L806" s="41"/>
      <c r="M806" s="41"/>
      <c r="O806" s="41"/>
      <c r="P806" s="41"/>
      <c r="R806" s="41"/>
      <c r="S806" s="41"/>
      <c r="U806" s="41"/>
      <c r="V806" s="41"/>
      <c r="X806" s="41"/>
      <c r="Y806" s="716"/>
      <c r="AA806" s="41"/>
      <c r="AB806" s="717"/>
      <c r="AD806" s="79"/>
      <c r="BF806" s="687" t="s">
        <v>2898</v>
      </c>
      <c r="BJ806" s="86"/>
      <c r="BM806" s="86"/>
    </row>
    <row r="807">
      <c r="A807" s="41"/>
      <c r="C807" s="41"/>
      <c r="D807" s="41"/>
      <c r="F807" s="41"/>
      <c r="G807" s="41"/>
      <c r="I807" s="41"/>
      <c r="J807" s="41"/>
      <c r="L807" s="41"/>
      <c r="M807" s="41"/>
      <c r="O807" s="41"/>
      <c r="P807" s="41"/>
      <c r="R807" s="41"/>
      <c r="S807" s="41"/>
      <c r="U807" s="41"/>
      <c r="V807" s="41"/>
      <c r="X807" s="41"/>
      <c r="Y807" s="716"/>
      <c r="AA807" s="41"/>
      <c r="AB807" s="717"/>
      <c r="AD807" s="79"/>
      <c r="BF807" s="687" t="s">
        <v>3165</v>
      </c>
      <c r="BJ807" s="86"/>
      <c r="BM807" s="86"/>
    </row>
    <row r="808">
      <c r="A808" s="41"/>
      <c r="C808" s="41"/>
      <c r="D808" s="41"/>
      <c r="F808" s="41"/>
      <c r="G808" s="41"/>
      <c r="I808" s="41"/>
      <c r="J808" s="41"/>
      <c r="L808" s="41"/>
      <c r="M808" s="41"/>
      <c r="O808" s="41"/>
      <c r="P808" s="41"/>
      <c r="R808" s="41"/>
      <c r="S808" s="41"/>
      <c r="U808" s="41"/>
      <c r="V808" s="41"/>
      <c r="X808" s="41"/>
      <c r="Y808" s="716"/>
      <c r="AA808" s="41"/>
      <c r="AB808" s="717"/>
      <c r="AD808" s="79"/>
      <c r="BF808" s="687" t="s">
        <v>3166</v>
      </c>
      <c r="BJ808" s="86"/>
      <c r="BM808" s="86"/>
    </row>
    <row r="809">
      <c r="A809" s="41"/>
      <c r="C809" s="41"/>
      <c r="D809" s="41"/>
      <c r="F809" s="41"/>
      <c r="G809" s="41"/>
      <c r="I809" s="41"/>
      <c r="J809" s="41"/>
      <c r="L809" s="41"/>
      <c r="M809" s="41"/>
      <c r="O809" s="41"/>
      <c r="P809" s="41"/>
      <c r="R809" s="41"/>
      <c r="S809" s="41"/>
      <c r="U809" s="41"/>
      <c r="V809" s="41"/>
      <c r="X809" s="41"/>
      <c r="Y809" s="716"/>
      <c r="AA809" s="41"/>
      <c r="AB809" s="717"/>
      <c r="AD809" s="79"/>
      <c r="BF809" s="687" t="s">
        <v>3167</v>
      </c>
      <c r="BJ809" s="86"/>
      <c r="BM809" s="86"/>
    </row>
    <row r="810">
      <c r="A810" s="41"/>
      <c r="C810" s="41"/>
      <c r="D810" s="41"/>
      <c r="F810" s="41"/>
      <c r="G810" s="41"/>
      <c r="I810" s="41"/>
      <c r="J810" s="41"/>
      <c r="L810" s="41"/>
      <c r="M810" s="41"/>
      <c r="O810" s="41"/>
      <c r="P810" s="41"/>
      <c r="R810" s="41"/>
      <c r="S810" s="41"/>
      <c r="U810" s="41"/>
      <c r="V810" s="41"/>
      <c r="X810" s="41"/>
      <c r="Y810" s="716"/>
      <c r="AA810" s="41"/>
      <c r="AB810" s="717"/>
      <c r="AD810" s="79"/>
      <c r="BF810" s="687" t="s">
        <v>3168</v>
      </c>
      <c r="BJ810" s="86"/>
      <c r="BM810" s="86"/>
    </row>
    <row r="811">
      <c r="A811" s="41"/>
      <c r="C811" s="41"/>
      <c r="D811" s="41"/>
      <c r="F811" s="41"/>
      <c r="G811" s="41"/>
      <c r="I811" s="41"/>
      <c r="J811" s="41"/>
      <c r="L811" s="41"/>
      <c r="M811" s="41"/>
      <c r="O811" s="41"/>
      <c r="P811" s="41"/>
      <c r="R811" s="41"/>
      <c r="S811" s="41"/>
      <c r="U811" s="41"/>
      <c r="V811" s="41"/>
      <c r="X811" s="41"/>
      <c r="Y811" s="716"/>
      <c r="AA811" s="41"/>
      <c r="AB811" s="717"/>
      <c r="AD811" s="79"/>
      <c r="BF811" s="687" t="s">
        <v>3169</v>
      </c>
      <c r="BJ811" s="86"/>
      <c r="BM811" s="86"/>
    </row>
    <row r="812">
      <c r="A812" s="41"/>
      <c r="C812" s="41"/>
      <c r="D812" s="41"/>
      <c r="F812" s="41"/>
      <c r="G812" s="41"/>
      <c r="I812" s="41"/>
      <c r="J812" s="41"/>
      <c r="L812" s="41"/>
      <c r="M812" s="41"/>
      <c r="O812" s="41"/>
      <c r="P812" s="41"/>
      <c r="R812" s="41"/>
      <c r="S812" s="41"/>
      <c r="U812" s="41"/>
      <c r="V812" s="41"/>
      <c r="X812" s="41"/>
      <c r="Y812" s="716"/>
      <c r="AA812" s="41"/>
      <c r="AB812" s="717"/>
      <c r="AD812" s="79"/>
      <c r="BF812" s="687" t="s">
        <v>3170</v>
      </c>
      <c r="BJ812" s="86"/>
      <c r="BM812" s="86"/>
    </row>
    <row r="813">
      <c r="A813" s="41"/>
      <c r="C813" s="41"/>
      <c r="D813" s="41"/>
      <c r="F813" s="41"/>
      <c r="G813" s="41"/>
      <c r="I813" s="41"/>
      <c r="J813" s="41"/>
      <c r="L813" s="41"/>
      <c r="M813" s="41"/>
      <c r="O813" s="41"/>
      <c r="P813" s="41"/>
      <c r="R813" s="41"/>
      <c r="S813" s="41"/>
      <c r="U813" s="41"/>
      <c r="V813" s="41"/>
      <c r="X813" s="41"/>
      <c r="Y813" s="716"/>
      <c r="AA813" s="41"/>
      <c r="AB813" s="717"/>
      <c r="AD813" s="79"/>
      <c r="BF813" s="687" t="s">
        <v>3171</v>
      </c>
      <c r="BJ813" s="86"/>
      <c r="BM813" s="86"/>
    </row>
    <row r="814">
      <c r="A814" s="41"/>
      <c r="C814" s="41"/>
      <c r="D814" s="41"/>
      <c r="F814" s="41"/>
      <c r="G814" s="41"/>
      <c r="I814" s="41"/>
      <c r="J814" s="41"/>
      <c r="L814" s="41"/>
      <c r="M814" s="41"/>
      <c r="O814" s="41"/>
      <c r="P814" s="41"/>
      <c r="R814" s="41"/>
      <c r="S814" s="41"/>
      <c r="U814" s="41"/>
      <c r="V814" s="41"/>
      <c r="X814" s="41"/>
      <c r="Y814" s="716"/>
      <c r="AA814" s="41"/>
      <c r="AB814" s="717"/>
      <c r="AD814" s="79"/>
      <c r="BF814" s="687" t="s">
        <v>3132</v>
      </c>
      <c r="BJ814" s="86"/>
      <c r="BM814" s="86"/>
    </row>
    <row r="815">
      <c r="A815" s="41"/>
      <c r="C815" s="41"/>
      <c r="D815" s="41"/>
      <c r="F815" s="41"/>
      <c r="G815" s="41"/>
      <c r="I815" s="41"/>
      <c r="J815" s="41"/>
      <c r="L815" s="41"/>
      <c r="M815" s="41"/>
      <c r="O815" s="41"/>
      <c r="P815" s="41"/>
      <c r="R815" s="41"/>
      <c r="S815" s="41"/>
      <c r="U815" s="41"/>
      <c r="V815" s="41"/>
      <c r="X815" s="41"/>
      <c r="Y815" s="716"/>
      <c r="AA815" s="41"/>
      <c r="AB815" s="717"/>
      <c r="AD815" s="79"/>
      <c r="BF815" s="687" t="s">
        <v>3172</v>
      </c>
      <c r="BJ815" s="86"/>
      <c r="BM815" s="86"/>
    </row>
    <row r="816">
      <c r="A816" s="41"/>
      <c r="C816" s="41"/>
      <c r="D816" s="41"/>
      <c r="F816" s="41"/>
      <c r="G816" s="41"/>
      <c r="I816" s="41"/>
      <c r="J816" s="41"/>
      <c r="L816" s="41"/>
      <c r="M816" s="41"/>
      <c r="O816" s="41"/>
      <c r="P816" s="41"/>
      <c r="R816" s="41"/>
      <c r="S816" s="41"/>
      <c r="U816" s="41"/>
      <c r="V816" s="41"/>
      <c r="X816" s="41"/>
      <c r="Y816" s="716"/>
      <c r="AA816" s="41"/>
      <c r="AB816" s="717"/>
      <c r="AD816" s="79"/>
      <c r="BF816" s="687" t="s">
        <v>3173</v>
      </c>
      <c r="BJ816" s="86"/>
      <c r="BM816" s="86"/>
    </row>
    <row r="817">
      <c r="A817" s="41"/>
      <c r="C817" s="41"/>
      <c r="D817" s="41"/>
      <c r="F817" s="41"/>
      <c r="G817" s="41"/>
      <c r="I817" s="41"/>
      <c r="J817" s="41"/>
      <c r="L817" s="41"/>
      <c r="M817" s="41"/>
      <c r="O817" s="41"/>
      <c r="P817" s="41"/>
      <c r="R817" s="41"/>
      <c r="S817" s="41"/>
      <c r="U817" s="41"/>
      <c r="V817" s="41"/>
      <c r="X817" s="41"/>
      <c r="Y817" s="716"/>
      <c r="AA817" s="41"/>
      <c r="AB817" s="717"/>
      <c r="AD817" s="79"/>
      <c r="BF817" s="687" t="s">
        <v>3174</v>
      </c>
      <c r="BJ817" s="86"/>
      <c r="BM817" s="86"/>
    </row>
    <row r="818">
      <c r="A818" s="41"/>
      <c r="C818" s="41"/>
      <c r="D818" s="41"/>
      <c r="F818" s="41"/>
      <c r="G818" s="41"/>
      <c r="I818" s="41"/>
      <c r="J818" s="41"/>
      <c r="L818" s="41"/>
      <c r="M818" s="41"/>
      <c r="O818" s="41"/>
      <c r="P818" s="41"/>
      <c r="R818" s="41"/>
      <c r="S818" s="41"/>
      <c r="U818" s="41"/>
      <c r="V818" s="41"/>
      <c r="X818" s="41"/>
      <c r="Y818" s="716"/>
      <c r="AA818" s="41"/>
      <c r="AB818" s="717"/>
      <c r="AD818" s="79"/>
      <c r="BF818" s="687" t="s">
        <v>3175</v>
      </c>
      <c r="BJ818" s="86"/>
      <c r="BM818" s="86"/>
    </row>
    <row r="819">
      <c r="A819" s="41"/>
      <c r="C819" s="41"/>
      <c r="D819" s="41"/>
      <c r="F819" s="41"/>
      <c r="G819" s="41"/>
      <c r="I819" s="41"/>
      <c r="J819" s="41"/>
      <c r="L819" s="41"/>
      <c r="M819" s="41"/>
      <c r="O819" s="41"/>
      <c r="P819" s="41"/>
      <c r="R819" s="41"/>
      <c r="S819" s="41"/>
      <c r="U819" s="41"/>
      <c r="V819" s="41"/>
      <c r="X819" s="41"/>
      <c r="Y819" s="716"/>
      <c r="AA819" s="41"/>
      <c r="AB819" s="717"/>
      <c r="AD819" s="79"/>
      <c r="BF819" s="687" t="s">
        <v>3176</v>
      </c>
      <c r="BJ819" s="86"/>
      <c r="BM819" s="86"/>
    </row>
    <row r="820">
      <c r="A820" s="41"/>
      <c r="C820" s="41"/>
      <c r="D820" s="41"/>
      <c r="F820" s="41"/>
      <c r="G820" s="41"/>
      <c r="I820" s="41"/>
      <c r="J820" s="41"/>
      <c r="L820" s="41"/>
      <c r="M820" s="41"/>
      <c r="O820" s="41"/>
      <c r="P820" s="41"/>
      <c r="R820" s="41"/>
      <c r="S820" s="41"/>
      <c r="U820" s="41"/>
      <c r="V820" s="41"/>
      <c r="X820" s="41"/>
      <c r="Y820" s="716"/>
      <c r="AA820" s="41"/>
      <c r="AB820" s="717"/>
      <c r="AD820" s="79"/>
      <c r="BF820" s="694" t="s">
        <v>3177</v>
      </c>
      <c r="BJ820" s="86"/>
      <c r="BM820" s="86"/>
    </row>
    <row r="821">
      <c r="A821" s="41"/>
      <c r="C821" s="41"/>
      <c r="D821" s="41"/>
      <c r="F821" s="41"/>
      <c r="G821" s="41"/>
      <c r="I821" s="41"/>
      <c r="J821" s="41"/>
      <c r="L821" s="41"/>
      <c r="M821" s="41"/>
      <c r="O821" s="41"/>
      <c r="P821" s="41"/>
      <c r="R821" s="41"/>
      <c r="S821" s="41"/>
      <c r="U821" s="41"/>
      <c r="V821" s="41"/>
      <c r="X821" s="41"/>
      <c r="Y821" s="716"/>
      <c r="AA821" s="41"/>
      <c r="AB821" s="717"/>
      <c r="AD821" s="79"/>
      <c r="BF821" s="687" t="s">
        <v>3178</v>
      </c>
      <c r="BJ821" s="86"/>
      <c r="BM821" s="86"/>
    </row>
    <row r="822">
      <c r="A822" s="41"/>
      <c r="C822" s="41"/>
      <c r="D822" s="41"/>
      <c r="F822" s="41"/>
      <c r="G822" s="41"/>
      <c r="I822" s="41"/>
      <c r="J822" s="41"/>
      <c r="L822" s="41"/>
      <c r="M822" s="41"/>
      <c r="O822" s="41"/>
      <c r="P822" s="41"/>
      <c r="R822" s="41"/>
      <c r="S822" s="41"/>
      <c r="U822" s="41"/>
      <c r="V822" s="41"/>
      <c r="X822" s="41"/>
      <c r="Y822" s="716"/>
      <c r="AA822" s="41"/>
      <c r="AB822" s="717"/>
      <c r="AD822" s="79"/>
      <c r="BF822" s="687" t="s">
        <v>3179</v>
      </c>
      <c r="BJ822" s="86"/>
      <c r="BM822" s="86"/>
    </row>
    <row r="823">
      <c r="A823" s="41"/>
      <c r="C823" s="41"/>
      <c r="D823" s="41"/>
      <c r="F823" s="41"/>
      <c r="G823" s="41"/>
      <c r="I823" s="41"/>
      <c r="J823" s="41"/>
      <c r="L823" s="41"/>
      <c r="M823" s="41"/>
      <c r="O823" s="41"/>
      <c r="P823" s="41"/>
      <c r="R823" s="41"/>
      <c r="S823" s="41"/>
      <c r="U823" s="41"/>
      <c r="V823" s="41"/>
      <c r="X823" s="41"/>
      <c r="Y823" s="716"/>
      <c r="AA823" s="41"/>
      <c r="AB823" s="717"/>
      <c r="AD823" s="79"/>
      <c r="BF823" s="694" t="s">
        <v>3180</v>
      </c>
      <c r="BJ823" s="86"/>
      <c r="BM823" s="86"/>
    </row>
    <row r="824">
      <c r="A824" s="41"/>
      <c r="C824" s="41"/>
      <c r="D824" s="41"/>
      <c r="F824" s="41"/>
      <c r="G824" s="41"/>
      <c r="I824" s="41"/>
      <c r="J824" s="41"/>
      <c r="L824" s="41"/>
      <c r="M824" s="41"/>
      <c r="O824" s="41"/>
      <c r="P824" s="41"/>
      <c r="R824" s="41"/>
      <c r="S824" s="41"/>
      <c r="U824" s="41"/>
      <c r="V824" s="41"/>
      <c r="X824" s="41"/>
      <c r="Y824" s="716"/>
      <c r="AA824" s="41"/>
      <c r="AB824" s="717"/>
      <c r="AD824" s="79"/>
      <c r="BF824" s="687" t="s">
        <v>3181</v>
      </c>
      <c r="BJ824" s="86"/>
      <c r="BM824" s="86"/>
    </row>
    <row r="825">
      <c r="A825" s="41"/>
      <c r="C825" s="41"/>
      <c r="D825" s="41"/>
      <c r="F825" s="41"/>
      <c r="G825" s="41"/>
      <c r="I825" s="41"/>
      <c r="J825" s="41"/>
      <c r="L825" s="41"/>
      <c r="M825" s="41"/>
      <c r="O825" s="41"/>
      <c r="P825" s="41"/>
      <c r="R825" s="41"/>
      <c r="S825" s="41"/>
      <c r="U825" s="41"/>
      <c r="V825" s="41"/>
      <c r="X825" s="41"/>
      <c r="Y825" s="716"/>
      <c r="AA825" s="41"/>
      <c r="AB825" s="717"/>
      <c r="AD825" s="79"/>
      <c r="BF825" s="694" t="s">
        <v>3182</v>
      </c>
      <c r="BJ825" s="86"/>
      <c r="BM825" s="86"/>
    </row>
    <row r="826">
      <c r="A826" s="41"/>
      <c r="C826" s="41"/>
      <c r="D826" s="41"/>
      <c r="F826" s="41"/>
      <c r="G826" s="41"/>
      <c r="I826" s="41"/>
      <c r="J826" s="41"/>
      <c r="L826" s="41"/>
      <c r="M826" s="41"/>
      <c r="O826" s="41"/>
      <c r="P826" s="41"/>
      <c r="R826" s="41"/>
      <c r="S826" s="41"/>
      <c r="U826" s="41"/>
      <c r="V826" s="41"/>
      <c r="X826" s="41"/>
      <c r="Y826" s="716"/>
      <c r="AA826" s="41"/>
      <c r="AB826" s="717"/>
      <c r="AD826" s="79"/>
      <c r="BF826" s="687" t="s">
        <v>3183</v>
      </c>
      <c r="BJ826" s="86"/>
      <c r="BM826" s="86"/>
    </row>
    <row r="827">
      <c r="A827" s="41"/>
      <c r="C827" s="41"/>
      <c r="D827" s="41"/>
      <c r="F827" s="41"/>
      <c r="G827" s="41"/>
      <c r="I827" s="41"/>
      <c r="J827" s="41"/>
      <c r="L827" s="41"/>
      <c r="M827" s="41"/>
      <c r="O827" s="41"/>
      <c r="P827" s="41"/>
      <c r="R827" s="41"/>
      <c r="S827" s="41"/>
      <c r="U827" s="41"/>
      <c r="V827" s="41"/>
      <c r="X827" s="41"/>
      <c r="Y827" s="716"/>
      <c r="AA827" s="41"/>
      <c r="AB827" s="717"/>
      <c r="AD827" s="79"/>
      <c r="BF827" s="694" t="s">
        <v>3184</v>
      </c>
      <c r="BJ827" s="86"/>
      <c r="BM827" s="86"/>
    </row>
    <row r="828">
      <c r="A828" s="41"/>
      <c r="C828" s="41"/>
      <c r="D828" s="41"/>
      <c r="F828" s="41"/>
      <c r="G828" s="41"/>
      <c r="I828" s="41"/>
      <c r="J828" s="41"/>
      <c r="L828" s="41"/>
      <c r="M828" s="41"/>
      <c r="O828" s="41"/>
      <c r="P828" s="41"/>
      <c r="R828" s="41"/>
      <c r="S828" s="41"/>
      <c r="U828" s="41"/>
      <c r="V828" s="41"/>
      <c r="X828" s="41"/>
      <c r="Y828" s="716"/>
      <c r="AA828" s="41"/>
      <c r="AB828" s="717"/>
      <c r="AD828" s="79"/>
      <c r="BF828" s="694" t="s">
        <v>3185</v>
      </c>
      <c r="BJ828" s="86"/>
      <c r="BM828" s="86"/>
    </row>
    <row r="829">
      <c r="A829" s="41"/>
      <c r="C829" s="41"/>
      <c r="D829" s="41"/>
      <c r="F829" s="41"/>
      <c r="G829" s="41"/>
      <c r="I829" s="41"/>
      <c r="J829" s="41"/>
      <c r="L829" s="41"/>
      <c r="M829" s="41"/>
      <c r="O829" s="41"/>
      <c r="P829" s="41"/>
      <c r="R829" s="41"/>
      <c r="S829" s="41"/>
      <c r="U829" s="41"/>
      <c r="V829" s="41"/>
      <c r="X829" s="41"/>
      <c r="Y829" s="716"/>
      <c r="AA829" s="41"/>
      <c r="AB829" s="717"/>
      <c r="AD829" s="79"/>
      <c r="BF829" s="687" t="s">
        <v>3186</v>
      </c>
      <c r="BJ829" s="86"/>
      <c r="BM829" s="86"/>
    </row>
    <row r="830">
      <c r="A830" s="41"/>
      <c r="C830" s="41"/>
      <c r="D830" s="41"/>
      <c r="F830" s="41"/>
      <c r="G830" s="41"/>
      <c r="I830" s="41"/>
      <c r="J830" s="41"/>
      <c r="L830" s="41"/>
      <c r="M830" s="41"/>
      <c r="O830" s="41"/>
      <c r="P830" s="41"/>
      <c r="R830" s="41"/>
      <c r="S830" s="41"/>
      <c r="U830" s="41"/>
      <c r="V830" s="41"/>
      <c r="X830" s="41"/>
      <c r="Y830" s="716"/>
      <c r="AA830" s="41"/>
      <c r="AB830" s="717"/>
      <c r="AD830" s="79"/>
      <c r="BF830" s="687" t="s">
        <v>3187</v>
      </c>
      <c r="BJ830" s="86"/>
      <c r="BM830" s="86"/>
    </row>
    <row r="831">
      <c r="A831" s="41"/>
      <c r="C831" s="41"/>
      <c r="D831" s="41"/>
      <c r="F831" s="41"/>
      <c r="G831" s="41"/>
      <c r="I831" s="41"/>
      <c r="J831" s="41"/>
      <c r="L831" s="41"/>
      <c r="M831" s="41"/>
      <c r="O831" s="41"/>
      <c r="P831" s="41"/>
      <c r="R831" s="41"/>
      <c r="S831" s="41"/>
      <c r="U831" s="41"/>
      <c r="V831" s="41"/>
      <c r="X831" s="41"/>
      <c r="Y831" s="716"/>
      <c r="AA831" s="41"/>
      <c r="AB831" s="717"/>
      <c r="AD831" s="79"/>
      <c r="BF831" s="687" t="s">
        <v>3188</v>
      </c>
      <c r="BJ831" s="86"/>
      <c r="BM831" s="86"/>
    </row>
    <row r="832">
      <c r="A832" s="41"/>
      <c r="C832" s="41"/>
      <c r="D832" s="41"/>
      <c r="F832" s="41"/>
      <c r="G832" s="41"/>
      <c r="I832" s="41"/>
      <c r="J832" s="41"/>
      <c r="L832" s="41"/>
      <c r="M832" s="41"/>
      <c r="O832" s="41"/>
      <c r="P832" s="41"/>
      <c r="R832" s="41"/>
      <c r="S832" s="41"/>
      <c r="U832" s="41"/>
      <c r="V832" s="41"/>
      <c r="X832" s="41"/>
      <c r="Y832" s="716"/>
      <c r="AA832" s="41"/>
      <c r="AB832" s="717"/>
      <c r="AD832" s="79"/>
      <c r="BF832" s="687" t="s">
        <v>2771</v>
      </c>
      <c r="BJ832" s="86"/>
      <c r="BM832" s="86"/>
    </row>
    <row r="833">
      <c r="A833" s="41"/>
      <c r="C833" s="41"/>
      <c r="D833" s="41"/>
      <c r="F833" s="41"/>
      <c r="G833" s="41"/>
      <c r="I833" s="41"/>
      <c r="J833" s="41"/>
      <c r="L833" s="41"/>
      <c r="M833" s="41"/>
      <c r="O833" s="41"/>
      <c r="P833" s="41"/>
      <c r="R833" s="41"/>
      <c r="S833" s="41"/>
      <c r="U833" s="41"/>
      <c r="V833" s="41"/>
      <c r="X833" s="41"/>
      <c r="Y833" s="716"/>
      <c r="AA833" s="41"/>
      <c r="AB833" s="717"/>
      <c r="AD833" s="79"/>
      <c r="BF833" s="687" t="s">
        <v>3189</v>
      </c>
      <c r="BJ833" s="86"/>
      <c r="BM833" s="86"/>
    </row>
    <row r="834">
      <c r="A834" s="41"/>
      <c r="C834" s="41"/>
      <c r="D834" s="41"/>
      <c r="F834" s="41"/>
      <c r="G834" s="41"/>
      <c r="I834" s="41"/>
      <c r="J834" s="41"/>
      <c r="L834" s="41"/>
      <c r="M834" s="41"/>
      <c r="O834" s="41"/>
      <c r="P834" s="41"/>
      <c r="R834" s="41"/>
      <c r="S834" s="41"/>
      <c r="U834" s="41"/>
      <c r="V834" s="41"/>
      <c r="X834" s="41"/>
      <c r="Y834" s="716"/>
      <c r="AA834" s="41"/>
      <c r="AB834" s="717"/>
      <c r="AD834" s="79"/>
      <c r="BF834" s="687" t="s">
        <v>3190</v>
      </c>
      <c r="BJ834" s="86"/>
      <c r="BM834" s="86"/>
    </row>
    <row r="835">
      <c r="A835" s="41"/>
      <c r="C835" s="41"/>
      <c r="D835" s="41"/>
      <c r="F835" s="41"/>
      <c r="G835" s="41"/>
      <c r="I835" s="41"/>
      <c r="J835" s="41"/>
      <c r="L835" s="41"/>
      <c r="M835" s="41"/>
      <c r="O835" s="41"/>
      <c r="P835" s="41"/>
      <c r="R835" s="41"/>
      <c r="S835" s="41"/>
      <c r="U835" s="41"/>
      <c r="V835" s="41"/>
      <c r="X835" s="41"/>
      <c r="Y835" s="716"/>
      <c r="AA835" s="41"/>
      <c r="AB835" s="717"/>
      <c r="AD835" s="79"/>
      <c r="BF835" s="687" t="s">
        <v>3191</v>
      </c>
      <c r="BJ835" s="86"/>
      <c r="BM835" s="86"/>
    </row>
    <row r="836">
      <c r="A836" s="41"/>
      <c r="C836" s="41"/>
      <c r="D836" s="41"/>
      <c r="F836" s="41"/>
      <c r="G836" s="41"/>
      <c r="I836" s="41"/>
      <c r="J836" s="41"/>
      <c r="L836" s="41"/>
      <c r="M836" s="41"/>
      <c r="O836" s="41"/>
      <c r="P836" s="41"/>
      <c r="R836" s="41"/>
      <c r="S836" s="41"/>
      <c r="U836" s="41"/>
      <c r="V836" s="41"/>
      <c r="X836" s="41"/>
      <c r="Y836" s="716"/>
      <c r="AA836" s="41"/>
      <c r="AB836" s="717"/>
      <c r="AD836" s="79"/>
      <c r="BF836" s="687" t="s">
        <v>3192</v>
      </c>
      <c r="BJ836" s="86"/>
      <c r="BM836" s="86"/>
    </row>
    <row r="837">
      <c r="A837" s="41"/>
      <c r="C837" s="41"/>
      <c r="D837" s="41"/>
      <c r="F837" s="41"/>
      <c r="G837" s="41"/>
      <c r="I837" s="41"/>
      <c r="J837" s="41"/>
      <c r="L837" s="41"/>
      <c r="M837" s="41"/>
      <c r="O837" s="41"/>
      <c r="P837" s="41"/>
      <c r="R837" s="41"/>
      <c r="S837" s="41"/>
      <c r="U837" s="41"/>
      <c r="V837" s="41"/>
      <c r="X837" s="41"/>
      <c r="Y837" s="716"/>
      <c r="AA837" s="41"/>
      <c r="AB837" s="717"/>
      <c r="AD837" s="79"/>
      <c r="BF837" s="687" t="s">
        <v>3193</v>
      </c>
      <c r="BJ837" s="86"/>
      <c r="BM837" s="86"/>
    </row>
    <row r="838">
      <c r="A838" s="41"/>
      <c r="C838" s="41"/>
      <c r="D838" s="41"/>
      <c r="F838" s="41"/>
      <c r="G838" s="41"/>
      <c r="I838" s="41"/>
      <c r="J838" s="41"/>
      <c r="L838" s="41"/>
      <c r="M838" s="41"/>
      <c r="O838" s="41"/>
      <c r="P838" s="41"/>
      <c r="R838" s="41"/>
      <c r="S838" s="41"/>
      <c r="U838" s="41"/>
      <c r="V838" s="41"/>
      <c r="X838" s="41"/>
      <c r="Y838" s="716"/>
      <c r="AA838" s="41"/>
      <c r="AB838" s="717"/>
      <c r="AD838" s="79"/>
      <c r="BF838" s="687" t="s">
        <v>3194</v>
      </c>
      <c r="BJ838" s="86"/>
      <c r="BM838" s="86"/>
    </row>
    <row r="839">
      <c r="A839" s="41"/>
      <c r="C839" s="41"/>
      <c r="D839" s="41"/>
      <c r="F839" s="41"/>
      <c r="G839" s="41"/>
      <c r="I839" s="41"/>
      <c r="J839" s="41"/>
      <c r="L839" s="41"/>
      <c r="M839" s="41"/>
      <c r="O839" s="41"/>
      <c r="P839" s="41"/>
      <c r="R839" s="41"/>
      <c r="S839" s="41"/>
      <c r="U839" s="41"/>
      <c r="V839" s="41"/>
      <c r="X839" s="41"/>
      <c r="Y839" s="716"/>
      <c r="AA839" s="41"/>
      <c r="AB839" s="717"/>
      <c r="AD839" s="79"/>
      <c r="BF839" s="687" t="s">
        <v>3195</v>
      </c>
      <c r="BJ839" s="86"/>
      <c r="BM839" s="86"/>
    </row>
    <row r="840">
      <c r="A840" s="41"/>
      <c r="C840" s="41"/>
      <c r="D840" s="41"/>
      <c r="F840" s="41"/>
      <c r="G840" s="41"/>
      <c r="I840" s="41"/>
      <c r="J840" s="41"/>
      <c r="L840" s="41"/>
      <c r="M840" s="41"/>
      <c r="O840" s="41"/>
      <c r="P840" s="41"/>
      <c r="R840" s="41"/>
      <c r="S840" s="41"/>
      <c r="U840" s="41"/>
      <c r="V840" s="41"/>
      <c r="X840" s="41"/>
      <c r="Y840" s="716"/>
      <c r="AA840" s="41"/>
      <c r="AB840" s="717"/>
      <c r="AD840" s="79"/>
      <c r="BF840" s="687" t="s">
        <v>3196</v>
      </c>
      <c r="BJ840" s="86"/>
      <c r="BM840" s="86"/>
    </row>
    <row r="841">
      <c r="A841" s="41"/>
      <c r="C841" s="41"/>
      <c r="D841" s="41"/>
      <c r="F841" s="41"/>
      <c r="G841" s="41"/>
      <c r="I841" s="41"/>
      <c r="J841" s="41"/>
      <c r="L841" s="41"/>
      <c r="M841" s="41"/>
      <c r="O841" s="41"/>
      <c r="P841" s="41"/>
      <c r="R841" s="41"/>
      <c r="S841" s="41"/>
      <c r="U841" s="41"/>
      <c r="V841" s="41"/>
      <c r="X841" s="41"/>
      <c r="Y841" s="716"/>
      <c r="AA841" s="41"/>
      <c r="AB841" s="717"/>
      <c r="AD841" s="79"/>
      <c r="BF841" s="687" t="s">
        <v>3197</v>
      </c>
      <c r="BJ841" s="86"/>
      <c r="BM841" s="86"/>
    </row>
    <row r="842">
      <c r="A842" s="41"/>
      <c r="C842" s="41"/>
      <c r="D842" s="41"/>
      <c r="F842" s="41"/>
      <c r="G842" s="41"/>
      <c r="I842" s="41"/>
      <c r="J842" s="41"/>
      <c r="L842" s="41"/>
      <c r="M842" s="41"/>
      <c r="O842" s="41"/>
      <c r="P842" s="41"/>
      <c r="R842" s="41"/>
      <c r="S842" s="41"/>
      <c r="U842" s="41"/>
      <c r="V842" s="41"/>
      <c r="X842" s="41"/>
      <c r="Y842" s="716"/>
      <c r="AA842" s="41"/>
      <c r="AB842" s="717"/>
      <c r="AD842" s="79"/>
      <c r="BF842" s="687" t="s">
        <v>3198</v>
      </c>
      <c r="BJ842" s="86"/>
      <c r="BM842" s="86"/>
    </row>
    <row r="843">
      <c r="A843" s="41"/>
      <c r="C843" s="41"/>
      <c r="D843" s="41"/>
      <c r="F843" s="41"/>
      <c r="G843" s="41"/>
      <c r="I843" s="41"/>
      <c r="J843" s="41"/>
      <c r="L843" s="41"/>
      <c r="M843" s="41"/>
      <c r="O843" s="41"/>
      <c r="P843" s="41"/>
      <c r="R843" s="41"/>
      <c r="S843" s="41"/>
      <c r="U843" s="41"/>
      <c r="V843" s="41"/>
      <c r="X843" s="41"/>
      <c r="Y843" s="716"/>
      <c r="AA843" s="41"/>
      <c r="AB843" s="717"/>
      <c r="AD843" s="79"/>
      <c r="BF843" s="687" t="s">
        <v>3199</v>
      </c>
      <c r="BJ843" s="86"/>
      <c r="BM843" s="86"/>
    </row>
    <row r="844">
      <c r="A844" s="41"/>
      <c r="C844" s="41"/>
      <c r="D844" s="41"/>
      <c r="F844" s="41"/>
      <c r="G844" s="41"/>
      <c r="I844" s="41"/>
      <c r="J844" s="41"/>
      <c r="L844" s="41"/>
      <c r="M844" s="41"/>
      <c r="O844" s="41"/>
      <c r="P844" s="41"/>
      <c r="R844" s="41"/>
      <c r="S844" s="41"/>
      <c r="U844" s="41"/>
      <c r="V844" s="41"/>
      <c r="X844" s="41"/>
      <c r="Y844" s="716"/>
      <c r="AA844" s="41"/>
      <c r="AB844" s="717"/>
      <c r="AD844" s="79"/>
      <c r="BF844" s="687" t="s">
        <v>3200</v>
      </c>
      <c r="BJ844" s="86"/>
      <c r="BM844" s="86"/>
    </row>
    <row r="845">
      <c r="A845" s="41"/>
      <c r="C845" s="41"/>
      <c r="D845" s="41"/>
      <c r="F845" s="41"/>
      <c r="G845" s="41"/>
      <c r="I845" s="41"/>
      <c r="J845" s="41"/>
      <c r="L845" s="41"/>
      <c r="M845" s="41"/>
      <c r="O845" s="41"/>
      <c r="P845" s="41"/>
      <c r="R845" s="41"/>
      <c r="S845" s="41"/>
      <c r="U845" s="41"/>
      <c r="V845" s="41"/>
      <c r="X845" s="41"/>
      <c r="Y845" s="716"/>
      <c r="AA845" s="41"/>
      <c r="AB845" s="717"/>
      <c r="AD845" s="79"/>
      <c r="BF845" s="687" t="s">
        <v>3201</v>
      </c>
      <c r="BJ845" s="86"/>
      <c r="BM845" s="86"/>
    </row>
    <row r="846">
      <c r="A846" s="41"/>
      <c r="C846" s="41"/>
      <c r="D846" s="41"/>
      <c r="F846" s="41"/>
      <c r="G846" s="41"/>
      <c r="I846" s="41"/>
      <c r="J846" s="41"/>
      <c r="L846" s="41"/>
      <c r="M846" s="41"/>
      <c r="O846" s="41"/>
      <c r="P846" s="41"/>
      <c r="R846" s="41"/>
      <c r="S846" s="41"/>
      <c r="U846" s="41"/>
      <c r="V846" s="41"/>
      <c r="X846" s="41"/>
      <c r="Y846" s="716"/>
      <c r="AA846" s="41"/>
      <c r="AB846" s="717"/>
      <c r="AD846" s="79"/>
      <c r="BF846" s="687" t="s">
        <v>3202</v>
      </c>
      <c r="BJ846" s="86"/>
      <c r="BM846" s="86"/>
    </row>
    <row r="847">
      <c r="A847" s="41"/>
      <c r="C847" s="41"/>
      <c r="D847" s="41"/>
      <c r="F847" s="41"/>
      <c r="G847" s="41"/>
      <c r="I847" s="41"/>
      <c r="J847" s="41"/>
      <c r="L847" s="41"/>
      <c r="M847" s="41"/>
      <c r="O847" s="41"/>
      <c r="P847" s="41"/>
      <c r="R847" s="41"/>
      <c r="S847" s="41"/>
      <c r="U847" s="41"/>
      <c r="V847" s="41"/>
      <c r="X847" s="41"/>
      <c r="Y847" s="716"/>
      <c r="AA847" s="41"/>
      <c r="AB847" s="717"/>
      <c r="AD847" s="79"/>
      <c r="BF847" s="687" t="s">
        <v>3203</v>
      </c>
      <c r="BJ847" s="86"/>
      <c r="BM847" s="86"/>
    </row>
    <row r="848">
      <c r="A848" s="41"/>
      <c r="C848" s="41"/>
      <c r="D848" s="41"/>
      <c r="F848" s="41"/>
      <c r="G848" s="41"/>
      <c r="I848" s="41"/>
      <c r="J848" s="41"/>
      <c r="L848" s="41"/>
      <c r="M848" s="41"/>
      <c r="O848" s="41"/>
      <c r="P848" s="41"/>
      <c r="R848" s="41"/>
      <c r="S848" s="41"/>
      <c r="U848" s="41"/>
      <c r="V848" s="41"/>
      <c r="X848" s="41"/>
      <c r="Y848" s="716"/>
      <c r="AA848" s="41"/>
      <c r="AB848" s="717"/>
      <c r="AD848" s="79"/>
      <c r="BF848" s="687" t="s">
        <v>3204</v>
      </c>
      <c r="BJ848" s="86"/>
      <c r="BM848" s="86"/>
    </row>
    <row r="849">
      <c r="A849" s="41"/>
      <c r="C849" s="41"/>
      <c r="D849" s="41"/>
      <c r="F849" s="41"/>
      <c r="G849" s="41"/>
      <c r="I849" s="41"/>
      <c r="J849" s="41"/>
      <c r="L849" s="41"/>
      <c r="M849" s="41"/>
      <c r="O849" s="41"/>
      <c r="P849" s="41"/>
      <c r="R849" s="41"/>
      <c r="S849" s="41"/>
      <c r="U849" s="41"/>
      <c r="V849" s="41"/>
      <c r="X849" s="41"/>
      <c r="Y849" s="716"/>
      <c r="AA849" s="41"/>
      <c r="AB849" s="717"/>
      <c r="AD849" s="79"/>
      <c r="BF849" s="687" t="s">
        <v>3205</v>
      </c>
      <c r="BJ849" s="86"/>
      <c r="BM849" s="86"/>
    </row>
    <row r="850">
      <c r="A850" s="41"/>
      <c r="C850" s="41"/>
      <c r="D850" s="41"/>
      <c r="F850" s="41"/>
      <c r="G850" s="41"/>
      <c r="I850" s="41"/>
      <c r="J850" s="41"/>
      <c r="L850" s="41"/>
      <c r="M850" s="41"/>
      <c r="O850" s="41"/>
      <c r="P850" s="41"/>
      <c r="R850" s="41"/>
      <c r="S850" s="41"/>
      <c r="U850" s="41"/>
      <c r="V850" s="41"/>
      <c r="X850" s="41"/>
      <c r="Y850" s="716"/>
      <c r="AA850" s="41"/>
      <c r="AB850" s="717"/>
      <c r="AD850" s="79"/>
      <c r="BF850" s="687" t="s">
        <v>3206</v>
      </c>
      <c r="BJ850" s="86"/>
      <c r="BM850" s="86"/>
    </row>
    <row r="851">
      <c r="A851" s="41"/>
      <c r="C851" s="41"/>
      <c r="D851" s="41"/>
      <c r="F851" s="41"/>
      <c r="G851" s="41"/>
      <c r="I851" s="41"/>
      <c r="J851" s="41"/>
      <c r="L851" s="41"/>
      <c r="M851" s="41"/>
      <c r="O851" s="41"/>
      <c r="P851" s="41"/>
      <c r="R851" s="41"/>
      <c r="S851" s="41"/>
      <c r="U851" s="41"/>
      <c r="V851" s="41"/>
      <c r="X851" s="41"/>
      <c r="Y851" s="716"/>
      <c r="AA851" s="41"/>
      <c r="AB851" s="717"/>
      <c r="AD851" s="79"/>
      <c r="BF851" s="687" t="s">
        <v>3207</v>
      </c>
      <c r="BJ851" s="86"/>
      <c r="BM851" s="86"/>
    </row>
    <row r="852">
      <c r="A852" s="41"/>
      <c r="C852" s="41"/>
      <c r="D852" s="41"/>
      <c r="F852" s="41"/>
      <c r="G852" s="41"/>
      <c r="I852" s="41"/>
      <c r="J852" s="41"/>
      <c r="L852" s="41"/>
      <c r="M852" s="41"/>
      <c r="O852" s="41"/>
      <c r="P852" s="41"/>
      <c r="R852" s="41"/>
      <c r="S852" s="41"/>
      <c r="U852" s="41"/>
      <c r="V852" s="41"/>
      <c r="X852" s="41"/>
      <c r="Y852" s="716"/>
      <c r="AA852" s="41"/>
      <c r="AB852" s="717"/>
      <c r="AD852" s="79"/>
      <c r="BF852" s="687" t="s">
        <v>3208</v>
      </c>
      <c r="BJ852" s="86"/>
      <c r="BM852" s="86"/>
    </row>
    <row r="853">
      <c r="A853" s="41"/>
      <c r="C853" s="41"/>
      <c r="D853" s="41"/>
      <c r="F853" s="41"/>
      <c r="G853" s="41"/>
      <c r="I853" s="41"/>
      <c r="J853" s="41"/>
      <c r="L853" s="41"/>
      <c r="M853" s="41"/>
      <c r="O853" s="41"/>
      <c r="P853" s="41"/>
      <c r="R853" s="41"/>
      <c r="S853" s="41"/>
      <c r="U853" s="41"/>
      <c r="V853" s="41"/>
      <c r="X853" s="41"/>
      <c r="Y853" s="716"/>
      <c r="AA853" s="41"/>
      <c r="AB853" s="717"/>
      <c r="AD853" s="79"/>
      <c r="BF853" s="687" t="s">
        <v>3209</v>
      </c>
      <c r="BJ853" s="86"/>
      <c r="BM853" s="86"/>
    </row>
    <row r="854">
      <c r="A854" s="41"/>
      <c r="C854" s="41"/>
      <c r="D854" s="41"/>
      <c r="F854" s="41"/>
      <c r="G854" s="41"/>
      <c r="I854" s="41"/>
      <c r="J854" s="41"/>
      <c r="L854" s="41"/>
      <c r="M854" s="41"/>
      <c r="O854" s="41"/>
      <c r="P854" s="41"/>
      <c r="R854" s="41"/>
      <c r="S854" s="41"/>
      <c r="U854" s="41"/>
      <c r="V854" s="41"/>
      <c r="X854" s="41"/>
      <c r="Y854" s="716"/>
      <c r="AA854" s="41"/>
      <c r="AB854" s="717"/>
      <c r="AD854" s="79"/>
      <c r="BF854" s="687" t="s">
        <v>3210</v>
      </c>
      <c r="BJ854" s="86"/>
      <c r="BM854" s="86"/>
    </row>
    <row r="855">
      <c r="A855" s="41"/>
      <c r="C855" s="41"/>
      <c r="D855" s="41"/>
      <c r="F855" s="41"/>
      <c r="G855" s="41"/>
      <c r="I855" s="41"/>
      <c r="J855" s="41"/>
      <c r="L855" s="41"/>
      <c r="M855" s="41"/>
      <c r="O855" s="41"/>
      <c r="P855" s="41"/>
      <c r="R855" s="41"/>
      <c r="S855" s="41"/>
      <c r="U855" s="41"/>
      <c r="V855" s="41"/>
      <c r="X855" s="41"/>
      <c r="Y855" s="716"/>
      <c r="AA855" s="41"/>
      <c r="AB855" s="717"/>
      <c r="AD855" s="79"/>
      <c r="BF855" s="687" t="s">
        <v>3211</v>
      </c>
      <c r="BJ855" s="86"/>
      <c r="BM855" s="86"/>
    </row>
    <row r="856">
      <c r="A856" s="41"/>
      <c r="C856" s="41"/>
      <c r="D856" s="41"/>
      <c r="F856" s="41"/>
      <c r="G856" s="41"/>
      <c r="I856" s="41"/>
      <c r="J856" s="41"/>
      <c r="L856" s="41"/>
      <c r="M856" s="41"/>
      <c r="O856" s="41"/>
      <c r="P856" s="41"/>
      <c r="R856" s="41"/>
      <c r="S856" s="41"/>
      <c r="U856" s="41"/>
      <c r="V856" s="41"/>
      <c r="X856" s="41"/>
      <c r="Y856" s="716"/>
      <c r="AA856" s="41"/>
      <c r="AB856" s="717"/>
      <c r="AD856" s="79"/>
      <c r="BF856" s="687" t="s">
        <v>2317</v>
      </c>
      <c r="BJ856" s="86"/>
      <c r="BM856" s="86"/>
    </row>
    <row r="857">
      <c r="A857" s="41"/>
      <c r="C857" s="41"/>
      <c r="D857" s="41"/>
      <c r="F857" s="41"/>
      <c r="G857" s="41"/>
      <c r="I857" s="41"/>
      <c r="J857" s="41"/>
      <c r="L857" s="41"/>
      <c r="M857" s="41"/>
      <c r="O857" s="41"/>
      <c r="P857" s="41"/>
      <c r="R857" s="41"/>
      <c r="S857" s="41"/>
      <c r="U857" s="41"/>
      <c r="V857" s="41"/>
      <c r="X857" s="41"/>
      <c r="Y857" s="716"/>
      <c r="AA857" s="41"/>
      <c r="AB857" s="717"/>
      <c r="AD857" s="79"/>
      <c r="BF857" s="687" t="s">
        <v>3212</v>
      </c>
      <c r="BJ857" s="86"/>
      <c r="BM857" s="86"/>
    </row>
    <row r="858">
      <c r="A858" s="41"/>
      <c r="C858" s="41"/>
      <c r="D858" s="41"/>
      <c r="F858" s="41"/>
      <c r="G858" s="41"/>
      <c r="I858" s="41"/>
      <c r="J858" s="41"/>
      <c r="L858" s="41"/>
      <c r="M858" s="41"/>
      <c r="O858" s="41"/>
      <c r="P858" s="41"/>
      <c r="R858" s="41"/>
      <c r="S858" s="41"/>
      <c r="U858" s="41"/>
      <c r="V858" s="41"/>
      <c r="X858" s="41"/>
      <c r="Y858" s="716"/>
      <c r="AA858" s="41"/>
      <c r="AB858" s="717"/>
      <c r="AD858" s="79"/>
      <c r="BF858" s="687" t="s">
        <v>3213</v>
      </c>
      <c r="BJ858" s="86"/>
      <c r="BM858" s="86"/>
    </row>
    <row r="859">
      <c r="A859" s="41"/>
      <c r="C859" s="41"/>
      <c r="D859" s="41"/>
      <c r="F859" s="41"/>
      <c r="G859" s="41"/>
      <c r="I859" s="41"/>
      <c r="J859" s="41"/>
      <c r="L859" s="41"/>
      <c r="M859" s="41"/>
      <c r="O859" s="41"/>
      <c r="P859" s="41"/>
      <c r="R859" s="41"/>
      <c r="S859" s="41"/>
      <c r="U859" s="41"/>
      <c r="V859" s="41"/>
      <c r="X859" s="41"/>
      <c r="Y859" s="716"/>
      <c r="AA859" s="41"/>
      <c r="AB859" s="717"/>
      <c r="AD859" s="79"/>
      <c r="BF859" s="687" t="s">
        <v>3214</v>
      </c>
      <c r="BJ859" s="86"/>
      <c r="BM859" s="86"/>
    </row>
    <row r="860">
      <c r="A860" s="41"/>
      <c r="C860" s="41"/>
      <c r="D860" s="41"/>
      <c r="F860" s="41"/>
      <c r="G860" s="41"/>
      <c r="I860" s="41"/>
      <c r="J860" s="41"/>
      <c r="L860" s="41"/>
      <c r="M860" s="41"/>
      <c r="O860" s="41"/>
      <c r="P860" s="41"/>
      <c r="R860" s="41"/>
      <c r="S860" s="41"/>
      <c r="U860" s="41"/>
      <c r="V860" s="41"/>
      <c r="X860" s="41"/>
      <c r="Y860" s="716"/>
      <c r="AA860" s="41"/>
      <c r="AB860" s="717"/>
      <c r="AD860" s="79"/>
      <c r="BF860" s="687" t="s">
        <v>3215</v>
      </c>
      <c r="BJ860" s="86"/>
      <c r="BM860" s="86"/>
    </row>
    <row r="861">
      <c r="A861" s="41"/>
      <c r="C861" s="41"/>
      <c r="D861" s="41"/>
      <c r="F861" s="41"/>
      <c r="G861" s="41"/>
      <c r="I861" s="41"/>
      <c r="J861" s="41"/>
      <c r="L861" s="41"/>
      <c r="M861" s="41"/>
      <c r="O861" s="41"/>
      <c r="P861" s="41"/>
      <c r="R861" s="41"/>
      <c r="S861" s="41"/>
      <c r="U861" s="41"/>
      <c r="V861" s="41"/>
      <c r="X861" s="41"/>
      <c r="Y861" s="716"/>
      <c r="AA861" s="41"/>
      <c r="AB861" s="717"/>
      <c r="AD861" s="79"/>
      <c r="BF861" s="687" t="s">
        <v>3216</v>
      </c>
      <c r="BJ861" s="86"/>
      <c r="BM861" s="86"/>
    </row>
    <row r="862">
      <c r="A862" s="41"/>
      <c r="C862" s="41"/>
      <c r="D862" s="41"/>
      <c r="F862" s="41"/>
      <c r="G862" s="41"/>
      <c r="I862" s="41"/>
      <c r="J862" s="41"/>
      <c r="L862" s="41"/>
      <c r="M862" s="41"/>
      <c r="O862" s="41"/>
      <c r="P862" s="41"/>
      <c r="R862" s="41"/>
      <c r="S862" s="41"/>
      <c r="U862" s="41"/>
      <c r="V862" s="41"/>
      <c r="X862" s="41"/>
      <c r="Y862" s="716"/>
      <c r="AA862" s="41"/>
      <c r="AB862" s="717"/>
      <c r="AD862" s="79"/>
      <c r="BF862" s="687" t="s">
        <v>3217</v>
      </c>
      <c r="BJ862" s="86"/>
      <c r="BM862" s="86"/>
    </row>
    <row r="863">
      <c r="A863" s="41"/>
      <c r="C863" s="41"/>
      <c r="D863" s="41"/>
      <c r="F863" s="41"/>
      <c r="G863" s="41"/>
      <c r="I863" s="41"/>
      <c r="J863" s="41"/>
      <c r="L863" s="41"/>
      <c r="M863" s="41"/>
      <c r="O863" s="41"/>
      <c r="P863" s="41"/>
      <c r="R863" s="41"/>
      <c r="S863" s="41"/>
      <c r="U863" s="41"/>
      <c r="V863" s="41"/>
      <c r="X863" s="41"/>
      <c r="Y863" s="716"/>
      <c r="AA863" s="41"/>
      <c r="AB863" s="717"/>
      <c r="AD863" s="79"/>
      <c r="BF863" s="687" t="s">
        <v>2916</v>
      </c>
      <c r="BJ863" s="86"/>
      <c r="BM863" s="86"/>
    </row>
    <row r="864">
      <c r="A864" s="41"/>
      <c r="C864" s="41"/>
      <c r="D864" s="41"/>
      <c r="F864" s="41"/>
      <c r="G864" s="41"/>
      <c r="I864" s="41"/>
      <c r="J864" s="41"/>
      <c r="L864" s="41"/>
      <c r="M864" s="41"/>
      <c r="O864" s="41"/>
      <c r="P864" s="41"/>
      <c r="R864" s="41"/>
      <c r="S864" s="41"/>
      <c r="U864" s="41"/>
      <c r="V864" s="41"/>
      <c r="X864" s="41"/>
      <c r="Y864" s="716"/>
      <c r="AA864" s="41"/>
      <c r="AB864" s="717"/>
      <c r="AD864" s="79"/>
      <c r="BF864" s="687" t="s">
        <v>3218</v>
      </c>
      <c r="BJ864" s="86"/>
      <c r="BM864" s="86"/>
    </row>
    <row r="865">
      <c r="A865" s="41"/>
      <c r="C865" s="41"/>
      <c r="D865" s="41"/>
      <c r="F865" s="41"/>
      <c r="G865" s="41"/>
      <c r="I865" s="41"/>
      <c r="J865" s="41"/>
      <c r="L865" s="41"/>
      <c r="M865" s="41"/>
      <c r="O865" s="41"/>
      <c r="P865" s="41"/>
      <c r="R865" s="41"/>
      <c r="S865" s="41"/>
      <c r="U865" s="41"/>
      <c r="V865" s="41"/>
      <c r="X865" s="41"/>
      <c r="Y865" s="716"/>
      <c r="AA865" s="41"/>
      <c r="AB865" s="717"/>
      <c r="AD865" s="79"/>
      <c r="BF865" s="687" t="s">
        <v>3219</v>
      </c>
      <c r="BJ865" s="86"/>
      <c r="BM865" s="86"/>
    </row>
    <row r="866">
      <c r="A866" s="41"/>
      <c r="C866" s="41"/>
      <c r="D866" s="41"/>
      <c r="F866" s="41"/>
      <c r="G866" s="41"/>
      <c r="I866" s="41"/>
      <c r="J866" s="41"/>
      <c r="L866" s="41"/>
      <c r="M866" s="41"/>
      <c r="O866" s="41"/>
      <c r="P866" s="41"/>
      <c r="R866" s="41"/>
      <c r="S866" s="41"/>
      <c r="U866" s="41"/>
      <c r="V866" s="41"/>
      <c r="X866" s="41"/>
      <c r="Y866" s="716"/>
      <c r="AA866" s="41"/>
      <c r="AB866" s="717"/>
      <c r="AD866" s="79"/>
      <c r="BF866" s="687" t="s">
        <v>3220</v>
      </c>
      <c r="BJ866" s="86"/>
      <c r="BM866" s="86"/>
    </row>
    <row r="867">
      <c r="A867" s="41"/>
      <c r="C867" s="41"/>
      <c r="D867" s="41"/>
      <c r="F867" s="41"/>
      <c r="G867" s="41"/>
      <c r="I867" s="41"/>
      <c r="J867" s="41"/>
      <c r="L867" s="41"/>
      <c r="M867" s="41"/>
      <c r="O867" s="41"/>
      <c r="P867" s="41"/>
      <c r="R867" s="41"/>
      <c r="S867" s="41"/>
      <c r="U867" s="41"/>
      <c r="V867" s="41"/>
      <c r="X867" s="41"/>
      <c r="Y867" s="716"/>
      <c r="AA867" s="41"/>
      <c r="AB867" s="717"/>
      <c r="AD867" s="79"/>
      <c r="BF867" s="687" t="s">
        <v>3221</v>
      </c>
      <c r="BJ867" s="86"/>
      <c r="BM867" s="86"/>
    </row>
    <row r="868">
      <c r="A868" s="41"/>
      <c r="C868" s="41"/>
      <c r="D868" s="41"/>
      <c r="F868" s="41"/>
      <c r="G868" s="41"/>
      <c r="I868" s="41"/>
      <c r="J868" s="41"/>
      <c r="L868" s="41"/>
      <c r="M868" s="41"/>
      <c r="O868" s="41"/>
      <c r="P868" s="41"/>
      <c r="R868" s="41"/>
      <c r="S868" s="41"/>
      <c r="U868" s="41"/>
      <c r="V868" s="41"/>
      <c r="X868" s="41"/>
      <c r="Y868" s="716"/>
      <c r="AA868" s="41"/>
      <c r="AB868" s="717"/>
      <c r="AD868" s="79"/>
      <c r="BF868" s="687" t="s">
        <v>3222</v>
      </c>
      <c r="BJ868" s="86"/>
      <c r="BM868" s="86"/>
    </row>
    <row r="869">
      <c r="A869" s="41"/>
      <c r="C869" s="41"/>
      <c r="D869" s="41"/>
      <c r="F869" s="41"/>
      <c r="G869" s="41"/>
      <c r="I869" s="41"/>
      <c r="J869" s="41"/>
      <c r="L869" s="41"/>
      <c r="M869" s="41"/>
      <c r="O869" s="41"/>
      <c r="P869" s="41"/>
      <c r="R869" s="41"/>
      <c r="S869" s="41"/>
      <c r="U869" s="41"/>
      <c r="V869" s="41"/>
      <c r="X869" s="41"/>
      <c r="Y869" s="716"/>
      <c r="AA869" s="41"/>
      <c r="AB869" s="717"/>
      <c r="AD869" s="79"/>
      <c r="BF869" s="687" t="s">
        <v>3223</v>
      </c>
      <c r="BJ869" s="86"/>
      <c r="BM869" s="86"/>
    </row>
    <row r="870">
      <c r="A870" s="41"/>
      <c r="C870" s="41"/>
      <c r="D870" s="41"/>
      <c r="F870" s="41"/>
      <c r="G870" s="41"/>
      <c r="I870" s="41"/>
      <c r="J870" s="41"/>
      <c r="L870" s="41"/>
      <c r="M870" s="41"/>
      <c r="O870" s="41"/>
      <c r="P870" s="41"/>
      <c r="R870" s="41"/>
      <c r="S870" s="41"/>
      <c r="U870" s="41"/>
      <c r="V870" s="41"/>
      <c r="X870" s="41"/>
      <c r="Y870" s="716"/>
      <c r="AA870" s="41"/>
      <c r="AB870" s="717"/>
      <c r="AD870" s="79"/>
      <c r="BF870" s="687" t="s">
        <v>3224</v>
      </c>
      <c r="BJ870" s="86"/>
      <c r="BM870" s="86"/>
    </row>
    <row r="871">
      <c r="A871" s="41"/>
      <c r="C871" s="41"/>
      <c r="D871" s="41"/>
      <c r="F871" s="41"/>
      <c r="G871" s="41"/>
      <c r="I871" s="41"/>
      <c r="J871" s="41"/>
      <c r="L871" s="41"/>
      <c r="M871" s="41"/>
      <c r="O871" s="41"/>
      <c r="P871" s="41"/>
      <c r="R871" s="41"/>
      <c r="S871" s="41"/>
      <c r="U871" s="41"/>
      <c r="V871" s="41"/>
      <c r="X871" s="41"/>
      <c r="Y871" s="716"/>
      <c r="AA871" s="41"/>
      <c r="AB871" s="717"/>
      <c r="AD871" s="79"/>
      <c r="BF871" s="687" t="s">
        <v>3225</v>
      </c>
      <c r="BJ871" s="86"/>
      <c r="BM871" s="86"/>
    </row>
    <row r="872">
      <c r="A872" s="41"/>
      <c r="C872" s="41"/>
      <c r="D872" s="41"/>
      <c r="F872" s="41"/>
      <c r="G872" s="41"/>
      <c r="I872" s="41"/>
      <c r="J872" s="41"/>
      <c r="L872" s="41"/>
      <c r="M872" s="41"/>
      <c r="O872" s="41"/>
      <c r="P872" s="41"/>
      <c r="R872" s="41"/>
      <c r="S872" s="41"/>
      <c r="U872" s="41"/>
      <c r="V872" s="41"/>
      <c r="X872" s="41"/>
      <c r="Y872" s="716"/>
      <c r="AA872" s="41"/>
      <c r="AB872" s="717"/>
      <c r="AD872" s="79"/>
      <c r="BF872" s="687" t="s">
        <v>3226</v>
      </c>
      <c r="BJ872" s="86"/>
      <c r="BM872" s="86"/>
    </row>
    <row r="873">
      <c r="A873" s="41"/>
      <c r="C873" s="41"/>
      <c r="D873" s="41"/>
      <c r="F873" s="41"/>
      <c r="G873" s="41"/>
      <c r="I873" s="41"/>
      <c r="J873" s="41"/>
      <c r="L873" s="41"/>
      <c r="M873" s="41"/>
      <c r="O873" s="41"/>
      <c r="P873" s="41"/>
      <c r="R873" s="41"/>
      <c r="S873" s="41"/>
      <c r="U873" s="41"/>
      <c r="V873" s="41"/>
      <c r="X873" s="41"/>
      <c r="Y873" s="716"/>
      <c r="AA873" s="41"/>
      <c r="AB873" s="717"/>
      <c r="AD873" s="79"/>
      <c r="BF873" s="687" t="s">
        <v>3227</v>
      </c>
      <c r="BJ873" s="86"/>
      <c r="BM873" s="86"/>
    </row>
    <row r="874">
      <c r="A874" s="41"/>
      <c r="C874" s="41"/>
      <c r="D874" s="41"/>
      <c r="F874" s="41"/>
      <c r="G874" s="41"/>
      <c r="I874" s="41"/>
      <c r="J874" s="41"/>
      <c r="L874" s="41"/>
      <c r="M874" s="41"/>
      <c r="O874" s="41"/>
      <c r="P874" s="41"/>
      <c r="R874" s="41"/>
      <c r="S874" s="41"/>
      <c r="U874" s="41"/>
      <c r="V874" s="41"/>
      <c r="X874" s="41"/>
      <c r="Y874" s="716"/>
      <c r="AA874" s="41"/>
      <c r="AB874" s="717"/>
      <c r="AD874" s="79"/>
      <c r="BF874" s="687" t="s">
        <v>3228</v>
      </c>
      <c r="BJ874" s="86"/>
      <c r="BM874" s="86"/>
    </row>
    <row r="875">
      <c r="A875" s="41"/>
      <c r="C875" s="41"/>
      <c r="D875" s="41"/>
      <c r="F875" s="41"/>
      <c r="G875" s="41"/>
      <c r="I875" s="41"/>
      <c r="J875" s="41"/>
      <c r="L875" s="41"/>
      <c r="M875" s="41"/>
      <c r="O875" s="41"/>
      <c r="P875" s="41"/>
      <c r="R875" s="41"/>
      <c r="S875" s="41"/>
      <c r="U875" s="41"/>
      <c r="V875" s="41"/>
      <c r="X875" s="41"/>
      <c r="Y875" s="716"/>
      <c r="AA875" s="41"/>
      <c r="AB875" s="717"/>
      <c r="AD875" s="79"/>
      <c r="BJ875" s="86"/>
      <c r="BM875" s="86"/>
    </row>
    <row r="876">
      <c r="A876" s="41"/>
      <c r="C876" s="41"/>
      <c r="D876" s="41"/>
      <c r="F876" s="41"/>
      <c r="G876" s="41"/>
      <c r="I876" s="41"/>
      <c r="J876" s="41"/>
      <c r="L876" s="41"/>
      <c r="M876" s="41"/>
      <c r="O876" s="41"/>
      <c r="P876" s="41"/>
      <c r="R876" s="41"/>
      <c r="S876" s="41"/>
      <c r="U876" s="41"/>
      <c r="V876" s="41"/>
      <c r="X876" s="41"/>
      <c r="Y876" s="716"/>
      <c r="AA876" s="41"/>
      <c r="AB876" s="717"/>
      <c r="AD876" s="79"/>
      <c r="BJ876" s="86"/>
      <c r="BM876" s="86"/>
    </row>
    <row r="877">
      <c r="A877" s="41"/>
      <c r="C877" s="41"/>
      <c r="D877" s="41"/>
      <c r="F877" s="41"/>
      <c r="G877" s="41"/>
      <c r="I877" s="41"/>
      <c r="J877" s="41"/>
      <c r="L877" s="41"/>
      <c r="M877" s="41"/>
      <c r="O877" s="41"/>
      <c r="P877" s="41"/>
      <c r="R877" s="41"/>
      <c r="S877" s="41"/>
      <c r="U877" s="41"/>
      <c r="V877" s="41"/>
      <c r="X877" s="41"/>
      <c r="Y877" s="716"/>
      <c r="AA877" s="41"/>
      <c r="AB877" s="717"/>
      <c r="AD877" s="79"/>
      <c r="BJ877" s="86"/>
      <c r="BM877" s="86"/>
    </row>
    <row r="878">
      <c r="A878" s="41"/>
      <c r="C878" s="41"/>
      <c r="D878" s="41"/>
      <c r="F878" s="41"/>
      <c r="G878" s="41"/>
      <c r="I878" s="41"/>
      <c r="J878" s="41"/>
      <c r="L878" s="41"/>
      <c r="M878" s="41"/>
      <c r="O878" s="41"/>
      <c r="P878" s="41"/>
      <c r="R878" s="41"/>
      <c r="S878" s="41"/>
      <c r="U878" s="41"/>
      <c r="V878" s="41"/>
      <c r="X878" s="41"/>
      <c r="Y878" s="716"/>
      <c r="AA878" s="41"/>
      <c r="AB878" s="717"/>
      <c r="AD878" s="79"/>
      <c r="BJ878" s="86"/>
      <c r="BM878" s="86"/>
    </row>
    <row r="879">
      <c r="A879" s="41"/>
      <c r="C879" s="41"/>
      <c r="D879" s="41"/>
      <c r="F879" s="41"/>
      <c r="G879" s="41"/>
      <c r="I879" s="41"/>
      <c r="J879" s="41"/>
      <c r="L879" s="41"/>
      <c r="M879" s="41"/>
      <c r="O879" s="41"/>
      <c r="P879" s="41"/>
      <c r="R879" s="41"/>
      <c r="S879" s="41"/>
      <c r="U879" s="41"/>
      <c r="V879" s="41"/>
      <c r="X879" s="41"/>
      <c r="Y879" s="716"/>
      <c r="AA879" s="41"/>
      <c r="AB879" s="717"/>
      <c r="AD879" s="79"/>
      <c r="BJ879" s="86"/>
      <c r="BM879" s="86"/>
    </row>
    <row r="880">
      <c r="A880" s="41"/>
      <c r="C880" s="41"/>
      <c r="D880" s="41"/>
      <c r="F880" s="41"/>
      <c r="G880" s="41"/>
      <c r="I880" s="41"/>
      <c r="J880" s="41"/>
      <c r="L880" s="41"/>
      <c r="M880" s="41"/>
      <c r="O880" s="41"/>
      <c r="P880" s="41"/>
      <c r="R880" s="41"/>
      <c r="S880" s="41"/>
      <c r="U880" s="41"/>
      <c r="V880" s="41"/>
      <c r="X880" s="41"/>
      <c r="Y880" s="716"/>
      <c r="AA880" s="41"/>
      <c r="AB880" s="717"/>
      <c r="AD880" s="79"/>
      <c r="BJ880" s="86"/>
      <c r="BM880" s="86"/>
    </row>
    <row r="881">
      <c r="A881" s="41"/>
      <c r="C881" s="41"/>
      <c r="D881" s="41"/>
      <c r="F881" s="41"/>
      <c r="G881" s="41"/>
      <c r="I881" s="41"/>
      <c r="J881" s="41"/>
      <c r="L881" s="41"/>
      <c r="M881" s="41"/>
      <c r="O881" s="41"/>
      <c r="P881" s="41"/>
      <c r="R881" s="41"/>
      <c r="S881" s="41"/>
      <c r="U881" s="41"/>
      <c r="V881" s="41"/>
      <c r="X881" s="41"/>
      <c r="Y881" s="716"/>
      <c r="AA881" s="41"/>
      <c r="AB881" s="717"/>
      <c r="AD881" s="79"/>
      <c r="BJ881" s="86"/>
      <c r="BM881" s="86"/>
    </row>
    <row r="882">
      <c r="A882" s="41"/>
      <c r="C882" s="41"/>
      <c r="D882" s="41"/>
      <c r="F882" s="41"/>
      <c r="G882" s="41"/>
      <c r="I882" s="41"/>
      <c r="J882" s="41"/>
      <c r="L882" s="41"/>
      <c r="M882" s="41"/>
      <c r="O882" s="41"/>
      <c r="P882" s="41"/>
      <c r="R882" s="41"/>
      <c r="S882" s="41"/>
      <c r="U882" s="41"/>
      <c r="V882" s="41"/>
      <c r="X882" s="41"/>
      <c r="Y882" s="716"/>
      <c r="AA882" s="41"/>
      <c r="AB882" s="717"/>
      <c r="AD882" s="79"/>
      <c r="BJ882" s="86"/>
      <c r="BM882" s="86"/>
    </row>
    <row r="883">
      <c r="A883" s="41"/>
      <c r="C883" s="41"/>
      <c r="D883" s="41"/>
      <c r="F883" s="41"/>
      <c r="G883" s="41"/>
      <c r="I883" s="41"/>
      <c r="J883" s="41"/>
      <c r="L883" s="41"/>
      <c r="M883" s="41"/>
      <c r="O883" s="41"/>
      <c r="P883" s="41"/>
      <c r="R883" s="41"/>
      <c r="S883" s="41"/>
      <c r="U883" s="41"/>
      <c r="V883" s="41"/>
      <c r="X883" s="41"/>
      <c r="Y883" s="716"/>
      <c r="AA883" s="41"/>
      <c r="AB883" s="717"/>
      <c r="AD883" s="79"/>
      <c r="BJ883" s="86"/>
      <c r="BM883" s="86"/>
    </row>
    <row r="884">
      <c r="A884" s="41"/>
      <c r="C884" s="41"/>
      <c r="D884" s="41"/>
      <c r="F884" s="41"/>
      <c r="G884" s="41"/>
      <c r="I884" s="41"/>
      <c r="J884" s="41"/>
      <c r="L884" s="41"/>
      <c r="M884" s="41"/>
      <c r="O884" s="41"/>
      <c r="P884" s="41"/>
      <c r="R884" s="41"/>
      <c r="S884" s="41"/>
      <c r="U884" s="41"/>
      <c r="V884" s="41"/>
      <c r="X884" s="41"/>
      <c r="Y884" s="716"/>
      <c r="AA884" s="41"/>
      <c r="AB884" s="717"/>
      <c r="AD884" s="79"/>
      <c r="BJ884" s="86"/>
      <c r="BM884" s="86"/>
    </row>
    <row r="885">
      <c r="A885" s="41"/>
      <c r="C885" s="41"/>
      <c r="D885" s="41"/>
      <c r="F885" s="41"/>
      <c r="G885" s="41"/>
      <c r="I885" s="41"/>
      <c r="J885" s="41"/>
      <c r="L885" s="41"/>
      <c r="M885" s="41"/>
      <c r="O885" s="41"/>
      <c r="P885" s="41"/>
      <c r="R885" s="41"/>
      <c r="S885" s="41"/>
      <c r="U885" s="41"/>
      <c r="V885" s="41"/>
      <c r="X885" s="41"/>
      <c r="Y885" s="716"/>
      <c r="AA885" s="41"/>
      <c r="AB885" s="717"/>
      <c r="AD885" s="79"/>
      <c r="BJ885" s="86"/>
      <c r="BM885" s="86"/>
    </row>
    <row r="886">
      <c r="A886" s="41"/>
      <c r="C886" s="41"/>
      <c r="D886" s="41"/>
      <c r="F886" s="41"/>
      <c r="G886" s="41"/>
      <c r="I886" s="41"/>
      <c r="J886" s="41"/>
      <c r="L886" s="41"/>
      <c r="M886" s="41"/>
      <c r="O886" s="41"/>
      <c r="P886" s="41"/>
      <c r="R886" s="41"/>
      <c r="S886" s="41"/>
      <c r="U886" s="41"/>
      <c r="V886" s="41"/>
      <c r="X886" s="41"/>
      <c r="Y886" s="716"/>
      <c r="AA886" s="41"/>
      <c r="AB886" s="717"/>
      <c r="AD886" s="79"/>
      <c r="BJ886" s="86"/>
      <c r="BM886" s="86"/>
    </row>
    <row r="887">
      <c r="A887" s="41"/>
      <c r="C887" s="41"/>
      <c r="D887" s="41"/>
      <c r="F887" s="41"/>
      <c r="G887" s="41"/>
      <c r="I887" s="41"/>
      <c r="J887" s="41"/>
      <c r="L887" s="41"/>
      <c r="M887" s="41"/>
      <c r="O887" s="41"/>
      <c r="P887" s="41"/>
      <c r="R887" s="41"/>
      <c r="S887" s="41"/>
      <c r="U887" s="41"/>
      <c r="V887" s="41"/>
      <c r="X887" s="41"/>
      <c r="Y887" s="716"/>
      <c r="AA887" s="41"/>
      <c r="AB887" s="717"/>
      <c r="AD887" s="79"/>
      <c r="BJ887" s="86"/>
      <c r="BM887" s="86"/>
    </row>
    <row r="888">
      <c r="A888" s="41"/>
      <c r="C888" s="41"/>
      <c r="D888" s="41"/>
      <c r="F888" s="41"/>
      <c r="G888" s="41"/>
      <c r="I888" s="41"/>
      <c r="J888" s="41"/>
      <c r="L888" s="41"/>
      <c r="M888" s="41"/>
      <c r="O888" s="41"/>
      <c r="P888" s="41"/>
      <c r="R888" s="41"/>
      <c r="S888" s="41"/>
      <c r="U888" s="41"/>
      <c r="V888" s="41"/>
      <c r="X888" s="41"/>
      <c r="Y888" s="716"/>
      <c r="AA888" s="41"/>
      <c r="AB888" s="717"/>
      <c r="AD888" s="79"/>
      <c r="BJ888" s="86"/>
      <c r="BM888" s="86"/>
    </row>
    <row r="889">
      <c r="A889" s="41"/>
      <c r="C889" s="41"/>
      <c r="D889" s="41"/>
      <c r="F889" s="41"/>
      <c r="G889" s="41"/>
      <c r="I889" s="41"/>
      <c r="J889" s="41"/>
      <c r="L889" s="41"/>
      <c r="M889" s="41"/>
      <c r="O889" s="41"/>
      <c r="P889" s="41"/>
      <c r="R889" s="41"/>
      <c r="S889" s="41"/>
      <c r="U889" s="41"/>
      <c r="V889" s="41"/>
      <c r="X889" s="41"/>
      <c r="Y889" s="716"/>
      <c r="AA889" s="41"/>
      <c r="AB889" s="717"/>
      <c r="AD889" s="79"/>
      <c r="BJ889" s="86"/>
      <c r="BM889" s="86"/>
    </row>
    <row r="890">
      <c r="A890" s="41"/>
      <c r="C890" s="41"/>
      <c r="D890" s="41"/>
      <c r="F890" s="41"/>
      <c r="G890" s="41"/>
      <c r="I890" s="41"/>
      <c r="J890" s="41"/>
      <c r="L890" s="41"/>
      <c r="M890" s="41"/>
      <c r="O890" s="41"/>
      <c r="P890" s="41"/>
      <c r="R890" s="41"/>
      <c r="S890" s="41"/>
      <c r="U890" s="41"/>
      <c r="V890" s="41"/>
      <c r="X890" s="41"/>
      <c r="Y890" s="716"/>
      <c r="AA890" s="41"/>
      <c r="AB890" s="717"/>
      <c r="AD890" s="79"/>
      <c r="BJ890" s="86"/>
      <c r="BM890" s="86"/>
    </row>
    <row r="891">
      <c r="A891" s="41"/>
      <c r="C891" s="41"/>
      <c r="D891" s="41"/>
      <c r="F891" s="41"/>
      <c r="G891" s="41"/>
      <c r="I891" s="41"/>
      <c r="J891" s="41"/>
      <c r="L891" s="41"/>
      <c r="M891" s="41"/>
      <c r="O891" s="41"/>
      <c r="P891" s="41"/>
      <c r="R891" s="41"/>
      <c r="S891" s="41"/>
      <c r="U891" s="41"/>
      <c r="V891" s="41"/>
      <c r="X891" s="41"/>
      <c r="Y891" s="716"/>
      <c r="AA891" s="41"/>
      <c r="AB891" s="717"/>
      <c r="AD891" s="79"/>
      <c r="BJ891" s="86"/>
      <c r="BM891" s="86"/>
    </row>
    <row r="892">
      <c r="A892" s="41"/>
      <c r="C892" s="41"/>
      <c r="D892" s="41"/>
      <c r="F892" s="41"/>
      <c r="G892" s="41"/>
      <c r="I892" s="41"/>
      <c r="J892" s="41"/>
      <c r="L892" s="41"/>
      <c r="M892" s="41"/>
      <c r="O892" s="41"/>
      <c r="P892" s="41"/>
      <c r="R892" s="41"/>
      <c r="S892" s="41"/>
      <c r="U892" s="41"/>
      <c r="V892" s="41"/>
      <c r="X892" s="41"/>
      <c r="Y892" s="716"/>
      <c r="AA892" s="41"/>
      <c r="AB892" s="717"/>
      <c r="AD892" s="79"/>
      <c r="BJ892" s="86"/>
      <c r="BM892" s="86"/>
    </row>
    <row r="893">
      <c r="A893" s="41"/>
      <c r="C893" s="41"/>
      <c r="D893" s="41"/>
      <c r="F893" s="41"/>
      <c r="G893" s="41"/>
      <c r="I893" s="41"/>
      <c r="J893" s="41"/>
      <c r="L893" s="41"/>
      <c r="M893" s="41"/>
      <c r="O893" s="41"/>
      <c r="P893" s="41"/>
      <c r="R893" s="41"/>
      <c r="S893" s="41"/>
      <c r="U893" s="41"/>
      <c r="V893" s="41"/>
      <c r="X893" s="41"/>
      <c r="Y893" s="716"/>
      <c r="AA893" s="41"/>
      <c r="AB893" s="717"/>
      <c r="AD893" s="79"/>
      <c r="BJ893" s="86"/>
      <c r="BM893" s="86"/>
    </row>
    <row r="894">
      <c r="A894" s="41"/>
      <c r="C894" s="41"/>
      <c r="D894" s="41"/>
      <c r="F894" s="41"/>
      <c r="G894" s="41"/>
      <c r="I894" s="41"/>
      <c r="J894" s="41"/>
      <c r="L894" s="41"/>
      <c r="M894" s="41"/>
      <c r="O894" s="41"/>
      <c r="P894" s="41"/>
      <c r="R894" s="41"/>
      <c r="S894" s="41"/>
      <c r="U894" s="41"/>
      <c r="V894" s="41"/>
      <c r="X894" s="41"/>
      <c r="Y894" s="716"/>
      <c r="AA894" s="41"/>
      <c r="AB894" s="717"/>
      <c r="AD894" s="79"/>
      <c r="BJ894" s="86"/>
      <c r="BM894" s="86"/>
    </row>
    <row r="895">
      <c r="A895" s="41"/>
      <c r="C895" s="41"/>
      <c r="D895" s="41"/>
      <c r="F895" s="41"/>
      <c r="G895" s="41"/>
      <c r="I895" s="41"/>
      <c r="J895" s="41"/>
      <c r="L895" s="41"/>
      <c r="M895" s="41"/>
      <c r="O895" s="41"/>
      <c r="P895" s="41"/>
      <c r="R895" s="41"/>
      <c r="S895" s="41"/>
      <c r="U895" s="41"/>
      <c r="V895" s="41"/>
      <c r="X895" s="41"/>
      <c r="Y895" s="716"/>
      <c r="AA895" s="41"/>
      <c r="AB895" s="717"/>
      <c r="AD895" s="79"/>
      <c r="BJ895" s="86"/>
      <c r="BM895" s="86"/>
    </row>
    <row r="896">
      <c r="A896" s="41"/>
      <c r="C896" s="41"/>
      <c r="D896" s="41"/>
      <c r="F896" s="41"/>
      <c r="G896" s="41"/>
      <c r="I896" s="41"/>
      <c r="J896" s="41"/>
      <c r="L896" s="41"/>
      <c r="M896" s="41"/>
      <c r="O896" s="41"/>
      <c r="P896" s="41"/>
      <c r="R896" s="41"/>
      <c r="S896" s="41"/>
      <c r="U896" s="41"/>
      <c r="V896" s="41"/>
      <c r="X896" s="41"/>
      <c r="Y896" s="716"/>
      <c r="AA896" s="41"/>
      <c r="AB896" s="717"/>
      <c r="AD896" s="79"/>
      <c r="BJ896" s="86"/>
      <c r="BM896" s="86"/>
    </row>
    <row r="897">
      <c r="A897" s="41"/>
      <c r="C897" s="41"/>
      <c r="D897" s="41"/>
      <c r="F897" s="41"/>
      <c r="G897" s="41"/>
      <c r="I897" s="41"/>
      <c r="J897" s="41"/>
      <c r="L897" s="41"/>
      <c r="M897" s="41"/>
      <c r="O897" s="41"/>
      <c r="P897" s="41"/>
      <c r="R897" s="41"/>
      <c r="S897" s="41"/>
      <c r="U897" s="41"/>
      <c r="V897" s="41"/>
      <c r="X897" s="41"/>
      <c r="Y897" s="716"/>
      <c r="AA897" s="41"/>
      <c r="AB897" s="717"/>
      <c r="AD897" s="79"/>
      <c r="BJ897" s="86"/>
      <c r="BM897" s="86"/>
    </row>
    <row r="898">
      <c r="A898" s="41"/>
      <c r="C898" s="41"/>
      <c r="D898" s="41"/>
      <c r="F898" s="41"/>
      <c r="G898" s="41"/>
      <c r="I898" s="41"/>
      <c r="J898" s="41"/>
      <c r="L898" s="41"/>
      <c r="M898" s="41"/>
      <c r="O898" s="41"/>
      <c r="P898" s="41"/>
      <c r="R898" s="41"/>
      <c r="S898" s="41"/>
      <c r="U898" s="41"/>
      <c r="V898" s="41"/>
      <c r="X898" s="41"/>
      <c r="Y898" s="716"/>
      <c r="AA898" s="41"/>
      <c r="AB898" s="717"/>
      <c r="AD898" s="79"/>
      <c r="BJ898" s="86"/>
      <c r="BM898" s="86"/>
    </row>
    <row r="899">
      <c r="A899" s="41"/>
      <c r="C899" s="41"/>
      <c r="D899" s="41"/>
      <c r="F899" s="41"/>
      <c r="G899" s="41"/>
      <c r="I899" s="41"/>
      <c r="J899" s="41"/>
      <c r="L899" s="41"/>
      <c r="M899" s="41"/>
      <c r="O899" s="41"/>
      <c r="P899" s="41"/>
      <c r="R899" s="41"/>
      <c r="S899" s="41"/>
      <c r="U899" s="41"/>
      <c r="V899" s="41"/>
      <c r="X899" s="41"/>
      <c r="Y899" s="716"/>
      <c r="AA899" s="41"/>
      <c r="AB899" s="717"/>
      <c r="AD899" s="79"/>
      <c r="BJ899" s="86"/>
      <c r="BM899" s="86"/>
    </row>
    <row r="900">
      <c r="A900" s="41"/>
      <c r="C900" s="41"/>
      <c r="D900" s="41"/>
      <c r="F900" s="41"/>
      <c r="G900" s="41"/>
      <c r="I900" s="41"/>
      <c r="J900" s="41"/>
      <c r="L900" s="41"/>
      <c r="M900" s="41"/>
      <c r="O900" s="41"/>
      <c r="P900" s="41"/>
      <c r="R900" s="41"/>
      <c r="S900" s="41"/>
      <c r="U900" s="41"/>
      <c r="V900" s="41"/>
      <c r="X900" s="41"/>
      <c r="Y900" s="716"/>
      <c r="AA900" s="41"/>
      <c r="AB900" s="717"/>
      <c r="AD900" s="79"/>
      <c r="BJ900" s="86"/>
      <c r="BM900" s="86"/>
    </row>
    <row r="901">
      <c r="A901" s="41"/>
      <c r="C901" s="41"/>
      <c r="D901" s="41"/>
      <c r="F901" s="41"/>
      <c r="G901" s="41"/>
      <c r="I901" s="41"/>
      <c r="J901" s="41"/>
      <c r="L901" s="41"/>
      <c r="M901" s="41"/>
      <c r="O901" s="41"/>
      <c r="P901" s="41"/>
      <c r="R901" s="41"/>
      <c r="S901" s="41"/>
      <c r="U901" s="41"/>
      <c r="V901" s="41"/>
      <c r="X901" s="41"/>
      <c r="Y901" s="716"/>
      <c r="AA901" s="41"/>
      <c r="AB901" s="717"/>
      <c r="AD901" s="79"/>
      <c r="BJ901" s="86"/>
      <c r="BM901" s="86"/>
    </row>
    <row r="902">
      <c r="A902" s="41"/>
      <c r="C902" s="41"/>
      <c r="D902" s="41"/>
      <c r="F902" s="41"/>
      <c r="G902" s="41"/>
      <c r="I902" s="41"/>
      <c r="J902" s="41"/>
      <c r="L902" s="41"/>
      <c r="M902" s="41"/>
      <c r="O902" s="41"/>
      <c r="P902" s="41"/>
      <c r="R902" s="41"/>
      <c r="S902" s="41"/>
      <c r="U902" s="41"/>
      <c r="V902" s="41"/>
      <c r="X902" s="41"/>
      <c r="Y902" s="716"/>
      <c r="AA902" s="41"/>
      <c r="AB902" s="717"/>
      <c r="AD902" s="79"/>
      <c r="BJ902" s="86"/>
      <c r="BM902" s="86"/>
    </row>
    <row r="903">
      <c r="A903" s="41"/>
      <c r="C903" s="41"/>
      <c r="D903" s="41"/>
      <c r="F903" s="41"/>
      <c r="G903" s="41"/>
      <c r="I903" s="41"/>
      <c r="J903" s="41"/>
      <c r="L903" s="41"/>
      <c r="M903" s="41"/>
      <c r="O903" s="41"/>
      <c r="P903" s="41"/>
      <c r="R903" s="41"/>
      <c r="S903" s="41"/>
      <c r="U903" s="41"/>
      <c r="V903" s="41"/>
      <c r="X903" s="41"/>
      <c r="Y903" s="716"/>
      <c r="AA903" s="41"/>
      <c r="AB903" s="717"/>
      <c r="AD903" s="79"/>
      <c r="BJ903" s="86"/>
      <c r="BM903" s="86"/>
    </row>
    <row r="904">
      <c r="A904" s="41"/>
      <c r="C904" s="41"/>
      <c r="D904" s="41"/>
      <c r="F904" s="41"/>
      <c r="G904" s="41"/>
      <c r="I904" s="41"/>
      <c r="J904" s="41"/>
      <c r="L904" s="41"/>
      <c r="M904" s="41"/>
      <c r="O904" s="41"/>
      <c r="P904" s="41"/>
      <c r="R904" s="41"/>
      <c r="S904" s="41"/>
      <c r="U904" s="41"/>
      <c r="V904" s="41"/>
      <c r="X904" s="41"/>
      <c r="Y904" s="716"/>
      <c r="AA904" s="41"/>
      <c r="AB904" s="717"/>
      <c r="AD904" s="79"/>
      <c r="BJ904" s="86"/>
      <c r="BM904" s="86"/>
    </row>
    <row r="905">
      <c r="A905" s="41"/>
      <c r="C905" s="41"/>
      <c r="D905" s="41"/>
      <c r="F905" s="41"/>
      <c r="G905" s="41"/>
      <c r="I905" s="41"/>
      <c r="J905" s="41"/>
      <c r="L905" s="41"/>
      <c r="M905" s="41"/>
      <c r="O905" s="41"/>
      <c r="P905" s="41"/>
      <c r="R905" s="41"/>
      <c r="S905" s="41"/>
      <c r="U905" s="41"/>
      <c r="V905" s="41"/>
      <c r="X905" s="41"/>
      <c r="Y905" s="716"/>
      <c r="AA905" s="41"/>
      <c r="AB905" s="717"/>
      <c r="AD905" s="79"/>
      <c r="BJ905" s="86"/>
      <c r="BM905" s="86"/>
    </row>
    <row r="906">
      <c r="A906" s="41"/>
      <c r="C906" s="41"/>
      <c r="D906" s="41"/>
      <c r="F906" s="41"/>
      <c r="G906" s="41"/>
      <c r="I906" s="41"/>
      <c r="J906" s="41"/>
      <c r="L906" s="41"/>
      <c r="M906" s="41"/>
      <c r="O906" s="41"/>
      <c r="P906" s="41"/>
      <c r="R906" s="41"/>
      <c r="S906" s="41"/>
      <c r="U906" s="41"/>
      <c r="V906" s="41"/>
      <c r="X906" s="41"/>
      <c r="Y906" s="716"/>
      <c r="AA906" s="41"/>
      <c r="AB906" s="717"/>
      <c r="AD906" s="79"/>
      <c r="BJ906" s="86"/>
      <c r="BM906" s="86"/>
    </row>
    <row r="907">
      <c r="A907" s="41"/>
      <c r="C907" s="41"/>
      <c r="D907" s="41"/>
      <c r="F907" s="41"/>
      <c r="G907" s="41"/>
      <c r="I907" s="41"/>
      <c r="J907" s="41"/>
      <c r="L907" s="41"/>
      <c r="M907" s="41"/>
      <c r="O907" s="41"/>
      <c r="P907" s="41"/>
      <c r="R907" s="41"/>
      <c r="S907" s="41"/>
      <c r="U907" s="41"/>
      <c r="V907" s="41"/>
      <c r="X907" s="41"/>
      <c r="Y907" s="716"/>
      <c r="AA907" s="41"/>
      <c r="AB907" s="717"/>
      <c r="AD907" s="79"/>
      <c r="BJ907" s="86"/>
      <c r="BM907" s="86"/>
    </row>
    <row r="908">
      <c r="A908" s="41"/>
      <c r="C908" s="41"/>
      <c r="D908" s="41"/>
      <c r="F908" s="41"/>
      <c r="G908" s="41"/>
      <c r="I908" s="41"/>
      <c r="J908" s="41"/>
      <c r="L908" s="41"/>
      <c r="M908" s="41"/>
      <c r="O908" s="41"/>
      <c r="P908" s="41"/>
      <c r="R908" s="41"/>
      <c r="S908" s="41"/>
      <c r="U908" s="41"/>
      <c r="V908" s="41"/>
      <c r="X908" s="41"/>
      <c r="Y908" s="716"/>
      <c r="AA908" s="41"/>
      <c r="AB908" s="717"/>
      <c r="AD908" s="79"/>
      <c r="BJ908" s="86"/>
      <c r="BM908" s="86"/>
    </row>
    <row r="909">
      <c r="A909" s="41"/>
      <c r="C909" s="41"/>
      <c r="D909" s="41"/>
      <c r="F909" s="41"/>
      <c r="G909" s="41"/>
      <c r="I909" s="41"/>
      <c r="J909" s="41"/>
      <c r="L909" s="41"/>
      <c r="M909" s="41"/>
      <c r="O909" s="41"/>
      <c r="P909" s="41"/>
      <c r="R909" s="41"/>
      <c r="S909" s="41"/>
      <c r="U909" s="41"/>
      <c r="V909" s="41"/>
      <c r="X909" s="41"/>
      <c r="Y909" s="716"/>
      <c r="AA909" s="41"/>
      <c r="AB909" s="717"/>
      <c r="AD909" s="79"/>
      <c r="BJ909" s="86"/>
      <c r="BM909" s="86"/>
    </row>
    <row r="910">
      <c r="A910" s="41"/>
      <c r="C910" s="41"/>
      <c r="D910" s="41"/>
      <c r="F910" s="41"/>
      <c r="G910" s="41"/>
      <c r="I910" s="41"/>
      <c r="J910" s="41"/>
      <c r="L910" s="41"/>
      <c r="M910" s="41"/>
      <c r="O910" s="41"/>
      <c r="P910" s="41"/>
      <c r="R910" s="41"/>
      <c r="S910" s="41"/>
      <c r="U910" s="41"/>
      <c r="V910" s="41"/>
      <c r="X910" s="41"/>
      <c r="Y910" s="716"/>
      <c r="AA910" s="41"/>
      <c r="AB910" s="717"/>
      <c r="AD910" s="79"/>
      <c r="BJ910" s="86"/>
      <c r="BM910" s="86"/>
    </row>
    <row r="911">
      <c r="A911" s="41"/>
      <c r="C911" s="41"/>
      <c r="D911" s="41"/>
      <c r="F911" s="41"/>
      <c r="G911" s="41"/>
      <c r="I911" s="41"/>
      <c r="J911" s="41"/>
      <c r="L911" s="41"/>
      <c r="M911" s="41"/>
      <c r="O911" s="41"/>
      <c r="P911" s="41"/>
      <c r="R911" s="41"/>
      <c r="S911" s="41"/>
      <c r="U911" s="41"/>
      <c r="V911" s="41"/>
      <c r="X911" s="41"/>
      <c r="Y911" s="716"/>
      <c r="AA911" s="41"/>
      <c r="AB911" s="717"/>
      <c r="AD911" s="79"/>
      <c r="BJ911" s="86"/>
      <c r="BM911" s="86"/>
    </row>
    <row r="912">
      <c r="A912" s="41"/>
      <c r="C912" s="41"/>
      <c r="D912" s="41"/>
      <c r="F912" s="41"/>
      <c r="G912" s="41"/>
      <c r="I912" s="41"/>
      <c r="J912" s="41"/>
      <c r="L912" s="41"/>
      <c r="M912" s="41"/>
      <c r="O912" s="41"/>
      <c r="P912" s="41"/>
      <c r="R912" s="41"/>
      <c r="S912" s="41"/>
      <c r="U912" s="41"/>
      <c r="V912" s="41"/>
      <c r="X912" s="41"/>
      <c r="Y912" s="716"/>
      <c r="AA912" s="41"/>
      <c r="AB912" s="717"/>
      <c r="AD912" s="79"/>
      <c r="BJ912" s="86"/>
      <c r="BM912" s="86"/>
    </row>
    <row r="913">
      <c r="A913" s="41"/>
      <c r="C913" s="41"/>
      <c r="D913" s="41"/>
      <c r="F913" s="41"/>
      <c r="G913" s="41"/>
      <c r="I913" s="41"/>
      <c r="J913" s="41"/>
      <c r="L913" s="41"/>
      <c r="M913" s="41"/>
      <c r="O913" s="41"/>
      <c r="P913" s="41"/>
      <c r="R913" s="41"/>
      <c r="S913" s="41"/>
      <c r="U913" s="41"/>
      <c r="V913" s="41"/>
      <c r="X913" s="41"/>
      <c r="Y913" s="716"/>
      <c r="AA913" s="41"/>
      <c r="AB913" s="717"/>
      <c r="AD913" s="79"/>
      <c r="BJ913" s="86"/>
      <c r="BM913" s="86"/>
    </row>
    <row r="914">
      <c r="A914" s="41"/>
      <c r="C914" s="41"/>
      <c r="D914" s="41"/>
      <c r="F914" s="41"/>
      <c r="G914" s="41"/>
      <c r="I914" s="41"/>
      <c r="J914" s="41"/>
      <c r="L914" s="41"/>
      <c r="M914" s="41"/>
      <c r="O914" s="41"/>
      <c r="P914" s="41"/>
      <c r="R914" s="41"/>
      <c r="S914" s="41"/>
      <c r="U914" s="41"/>
      <c r="V914" s="41"/>
      <c r="X914" s="41"/>
      <c r="Y914" s="716"/>
      <c r="AA914" s="41"/>
      <c r="AB914" s="717"/>
      <c r="AD914" s="79"/>
      <c r="BJ914" s="86"/>
      <c r="BM914" s="86"/>
    </row>
    <row r="915">
      <c r="A915" s="41"/>
      <c r="C915" s="41"/>
      <c r="D915" s="41"/>
      <c r="F915" s="41"/>
      <c r="G915" s="41"/>
      <c r="I915" s="41"/>
      <c r="J915" s="41"/>
      <c r="L915" s="41"/>
      <c r="M915" s="41"/>
      <c r="O915" s="41"/>
      <c r="P915" s="41"/>
      <c r="R915" s="41"/>
      <c r="S915" s="41"/>
      <c r="U915" s="41"/>
      <c r="V915" s="41"/>
      <c r="X915" s="41"/>
      <c r="Y915" s="716"/>
      <c r="AA915" s="41"/>
      <c r="AB915" s="717"/>
      <c r="AD915" s="79"/>
      <c r="BJ915" s="86"/>
      <c r="BM915" s="86"/>
    </row>
    <row r="916">
      <c r="A916" s="41"/>
      <c r="C916" s="41"/>
      <c r="D916" s="41"/>
      <c r="F916" s="41"/>
      <c r="G916" s="41"/>
      <c r="I916" s="41"/>
      <c r="J916" s="41"/>
      <c r="L916" s="41"/>
      <c r="M916" s="41"/>
      <c r="O916" s="41"/>
      <c r="P916" s="41"/>
      <c r="R916" s="41"/>
      <c r="S916" s="41"/>
      <c r="U916" s="41"/>
      <c r="V916" s="41"/>
      <c r="X916" s="41"/>
      <c r="Y916" s="716"/>
      <c r="AA916" s="41"/>
      <c r="AB916" s="717"/>
      <c r="AD916" s="79"/>
      <c r="BJ916" s="86"/>
      <c r="BM916" s="86"/>
    </row>
    <row r="917">
      <c r="A917" s="41"/>
      <c r="C917" s="41"/>
      <c r="D917" s="41"/>
      <c r="F917" s="41"/>
      <c r="G917" s="41"/>
      <c r="I917" s="41"/>
      <c r="J917" s="41"/>
      <c r="L917" s="41"/>
      <c r="M917" s="41"/>
      <c r="O917" s="41"/>
      <c r="P917" s="41"/>
      <c r="R917" s="41"/>
      <c r="S917" s="41"/>
      <c r="U917" s="41"/>
      <c r="V917" s="41"/>
      <c r="X917" s="41"/>
      <c r="Y917" s="716"/>
      <c r="AA917" s="41"/>
      <c r="AB917" s="717"/>
      <c r="AD917" s="79"/>
      <c r="BJ917" s="86"/>
      <c r="BM917" s="86"/>
    </row>
    <row r="918">
      <c r="A918" s="41"/>
      <c r="C918" s="41"/>
      <c r="D918" s="41"/>
      <c r="F918" s="41"/>
      <c r="G918" s="41"/>
      <c r="I918" s="41"/>
      <c r="J918" s="41"/>
      <c r="L918" s="41"/>
      <c r="M918" s="41"/>
      <c r="O918" s="41"/>
      <c r="P918" s="41"/>
      <c r="R918" s="41"/>
      <c r="S918" s="41"/>
      <c r="U918" s="41"/>
      <c r="V918" s="41"/>
      <c r="X918" s="41"/>
      <c r="Y918" s="716"/>
      <c r="AA918" s="41"/>
      <c r="AB918" s="717"/>
      <c r="AD918" s="79"/>
      <c r="BJ918" s="86"/>
      <c r="BM918" s="86"/>
    </row>
    <row r="919">
      <c r="A919" s="41"/>
      <c r="C919" s="41"/>
      <c r="D919" s="41"/>
      <c r="F919" s="41"/>
      <c r="G919" s="41"/>
      <c r="I919" s="41"/>
      <c r="J919" s="41"/>
      <c r="L919" s="41"/>
      <c r="M919" s="41"/>
      <c r="O919" s="41"/>
      <c r="P919" s="41"/>
      <c r="R919" s="41"/>
      <c r="S919" s="41"/>
      <c r="U919" s="41"/>
      <c r="V919" s="41"/>
      <c r="X919" s="41"/>
      <c r="Y919" s="716"/>
      <c r="AA919" s="41"/>
      <c r="AB919" s="717"/>
      <c r="AD919" s="79"/>
      <c r="BJ919" s="86"/>
      <c r="BM919" s="86"/>
    </row>
    <row r="920">
      <c r="A920" s="41"/>
      <c r="C920" s="41"/>
      <c r="D920" s="41"/>
      <c r="F920" s="41"/>
      <c r="G920" s="41"/>
      <c r="I920" s="41"/>
      <c r="J920" s="41"/>
      <c r="L920" s="41"/>
      <c r="M920" s="41"/>
      <c r="O920" s="41"/>
      <c r="P920" s="41"/>
      <c r="R920" s="41"/>
      <c r="S920" s="41"/>
      <c r="U920" s="41"/>
      <c r="V920" s="41"/>
      <c r="X920" s="41"/>
      <c r="Y920" s="716"/>
      <c r="AA920" s="41"/>
      <c r="AB920" s="717"/>
      <c r="AD920" s="79"/>
      <c r="BJ920" s="86"/>
      <c r="BM920" s="86"/>
    </row>
    <row r="921">
      <c r="A921" s="41"/>
      <c r="C921" s="41"/>
      <c r="D921" s="41"/>
      <c r="F921" s="41"/>
      <c r="G921" s="41"/>
      <c r="I921" s="41"/>
      <c r="J921" s="41"/>
      <c r="L921" s="41"/>
      <c r="M921" s="41"/>
      <c r="O921" s="41"/>
      <c r="P921" s="41"/>
      <c r="R921" s="41"/>
      <c r="S921" s="41"/>
      <c r="U921" s="41"/>
      <c r="V921" s="41"/>
      <c r="X921" s="41"/>
      <c r="Y921" s="716"/>
      <c r="AA921" s="41"/>
      <c r="AB921" s="717"/>
      <c r="AD921" s="79"/>
      <c r="BJ921" s="86"/>
      <c r="BM921" s="86"/>
    </row>
    <row r="922">
      <c r="A922" s="41"/>
      <c r="C922" s="41"/>
      <c r="D922" s="41"/>
      <c r="F922" s="41"/>
      <c r="G922" s="41"/>
      <c r="I922" s="41"/>
      <c r="J922" s="41"/>
      <c r="L922" s="41"/>
      <c r="M922" s="41"/>
      <c r="O922" s="41"/>
      <c r="P922" s="41"/>
      <c r="R922" s="41"/>
      <c r="S922" s="41"/>
      <c r="U922" s="41"/>
      <c r="V922" s="41"/>
      <c r="X922" s="41"/>
      <c r="Y922" s="716"/>
      <c r="AA922" s="41"/>
      <c r="AB922" s="717"/>
      <c r="AD922" s="79"/>
      <c r="BJ922" s="86"/>
      <c r="BM922" s="86"/>
    </row>
    <row r="923">
      <c r="A923" s="41"/>
      <c r="C923" s="41"/>
      <c r="D923" s="41"/>
      <c r="F923" s="41"/>
      <c r="G923" s="41"/>
      <c r="I923" s="41"/>
      <c r="J923" s="41"/>
      <c r="L923" s="41"/>
      <c r="M923" s="41"/>
      <c r="O923" s="41"/>
      <c r="P923" s="41"/>
      <c r="R923" s="41"/>
      <c r="S923" s="41"/>
      <c r="U923" s="41"/>
      <c r="V923" s="41"/>
      <c r="X923" s="41"/>
      <c r="Y923" s="716"/>
      <c r="AA923" s="41"/>
      <c r="AB923" s="717"/>
      <c r="AD923" s="79"/>
      <c r="BJ923" s="86"/>
      <c r="BM923" s="86"/>
    </row>
    <row r="924">
      <c r="A924" s="41"/>
      <c r="C924" s="41"/>
      <c r="D924" s="41"/>
      <c r="F924" s="41"/>
      <c r="G924" s="41"/>
      <c r="I924" s="41"/>
      <c r="J924" s="41"/>
      <c r="L924" s="41"/>
      <c r="M924" s="41"/>
      <c r="O924" s="41"/>
      <c r="P924" s="41"/>
      <c r="R924" s="41"/>
      <c r="S924" s="41"/>
      <c r="U924" s="41"/>
      <c r="V924" s="41"/>
      <c r="X924" s="41"/>
      <c r="Y924" s="716"/>
      <c r="AA924" s="41"/>
      <c r="AB924" s="717"/>
      <c r="AD924" s="79"/>
      <c r="BJ924" s="86"/>
      <c r="BM924" s="86"/>
    </row>
    <row r="925">
      <c r="A925" s="41"/>
      <c r="C925" s="41"/>
      <c r="D925" s="41"/>
      <c r="F925" s="41"/>
      <c r="G925" s="41"/>
      <c r="I925" s="41"/>
      <c r="J925" s="41"/>
      <c r="L925" s="41"/>
      <c r="M925" s="41"/>
      <c r="O925" s="41"/>
      <c r="P925" s="41"/>
      <c r="R925" s="41"/>
      <c r="S925" s="41"/>
      <c r="U925" s="41"/>
      <c r="V925" s="41"/>
      <c r="X925" s="41"/>
      <c r="Y925" s="716"/>
      <c r="AA925" s="41"/>
      <c r="AB925" s="717"/>
      <c r="AD925" s="79"/>
      <c r="BJ925" s="86"/>
      <c r="BM925" s="86"/>
    </row>
    <row r="926">
      <c r="A926" s="41"/>
      <c r="C926" s="41"/>
      <c r="D926" s="41"/>
      <c r="F926" s="41"/>
      <c r="G926" s="41"/>
      <c r="I926" s="41"/>
      <c r="J926" s="41"/>
      <c r="L926" s="41"/>
      <c r="M926" s="41"/>
      <c r="O926" s="41"/>
      <c r="P926" s="41"/>
      <c r="R926" s="41"/>
      <c r="S926" s="41"/>
      <c r="U926" s="41"/>
      <c r="V926" s="41"/>
      <c r="X926" s="41"/>
      <c r="Y926" s="716"/>
      <c r="AA926" s="41"/>
      <c r="AB926" s="717"/>
      <c r="AD926" s="79"/>
      <c r="BJ926" s="86"/>
      <c r="BM926" s="86"/>
    </row>
    <row r="927">
      <c r="A927" s="41"/>
      <c r="C927" s="41"/>
      <c r="D927" s="41"/>
      <c r="F927" s="41"/>
      <c r="G927" s="41"/>
      <c r="I927" s="41"/>
      <c r="J927" s="41"/>
      <c r="L927" s="41"/>
      <c r="M927" s="41"/>
      <c r="O927" s="41"/>
      <c r="P927" s="41"/>
      <c r="R927" s="41"/>
      <c r="S927" s="41"/>
      <c r="U927" s="41"/>
      <c r="V927" s="41"/>
      <c r="X927" s="41"/>
      <c r="Y927" s="716"/>
      <c r="AA927" s="41"/>
      <c r="AB927" s="717"/>
      <c r="AD927" s="79"/>
      <c r="BJ927" s="86"/>
      <c r="BM927" s="86"/>
    </row>
    <row r="928">
      <c r="A928" s="41"/>
      <c r="C928" s="41"/>
      <c r="D928" s="41"/>
      <c r="F928" s="41"/>
      <c r="G928" s="41"/>
      <c r="I928" s="41"/>
      <c r="J928" s="41"/>
      <c r="L928" s="41"/>
      <c r="M928" s="41"/>
      <c r="O928" s="41"/>
      <c r="P928" s="41"/>
      <c r="R928" s="41"/>
      <c r="S928" s="41"/>
      <c r="U928" s="41"/>
      <c r="V928" s="41"/>
      <c r="X928" s="41"/>
      <c r="Y928" s="716"/>
      <c r="AA928" s="41"/>
      <c r="AB928" s="717"/>
      <c r="AD928" s="79"/>
      <c r="BJ928" s="86"/>
      <c r="BM928" s="86"/>
    </row>
    <row r="929">
      <c r="A929" s="41"/>
      <c r="C929" s="41"/>
      <c r="D929" s="41"/>
      <c r="F929" s="41"/>
      <c r="G929" s="41"/>
      <c r="I929" s="41"/>
      <c r="J929" s="41"/>
      <c r="L929" s="41"/>
      <c r="M929" s="41"/>
      <c r="O929" s="41"/>
      <c r="P929" s="41"/>
      <c r="R929" s="41"/>
      <c r="S929" s="41"/>
      <c r="U929" s="41"/>
      <c r="V929" s="41"/>
      <c r="X929" s="41"/>
      <c r="Y929" s="716"/>
      <c r="AA929" s="41"/>
      <c r="AB929" s="717"/>
      <c r="AD929" s="79"/>
      <c r="BJ929" s="86"/>
      <c r="BM929" s="86"/>
    </row>
    <row r="930">
      <c r="A930" s="41"/>
      <c r="C930" s="41"/>
      <c r="D930" s="41"/>
      <c r="F930" s="41"/>
      <c r="G930" s="41"/>
      <c r="I930" s="41"/>
      <c r="J930" s="41"/>
      <c r="L930" s="41"/>
      <c r="M930" s="41"/>
      <c r="O930" s="41"/>
      <c r="P930" s="41"/>
      <c r="R930" s="41"/>
      <c r="S930" s="41"/>
      <c r="U930" s="41"/>
      <c r="V930" s="41"/>
      <c r="X930" s="41"/>
      <c r="Y930" s="716"/>
      <c r="AA930" s="41"/>
      <c r="AB930" s="717"/>
      <c r="AD930" s="79"/>
      <c r="BJ930" s="86"/>
      <c r="BM930" s="86"/>
    </row>
    <row r="931">
      <c r="A931" s="41"/>
      <c r="C931" s="41"/>
      <c r="D931" s="41"/>
      <c r="F931" s="41"/>
      <c r="G931" s="41"/>
      <c r="I931" s="41"/>
      <c r="J931" s="41"/>
      <c r="L931" s="41"/>
      <c r="M931" s="41"/>
      <c r="O931" s="41"/>
      <c r="P931" s="41"/>
      <c r="R931" s="41"/>
      <c r="S931" s="41"/>
      <c r="U931" s="41"/>
      <c r="V931" s="41"/>
      <c r="X931" s="41"/>
      <c r="Y931" s="716"/>
      <c r="AA931" s="41"/>
      <c r="AB931" s="717"/>
      <c r="AD931" s="79"/>
      <c r="BJ931" s="86"/>
      <c r="BM931" s="86"/>
    </row>
    <row r="932">
      <c r="A932" s="41"/>
      <c r="C932" s="41"/>
      <c r="D932" s="41"/>
      <c r="F932" s="41"/>
      <c r="G932" s="41"/>
      <c r="I932" s="41"/>
      <c r="J932" s="41"/>
      <c r="L932" s="41"/>
      <c r="M932" s="41"/>
      <c r="O932" s="41"/>
      <c r="P932" s="41"/>
      <c r="R932" s="41"/>
      <c r="S932" s="41"/>
      <c r="U932" s="41"/>
      <c r="V932" s="41"/>
      <c r="X932" s="41"/>
      <c r="Y932" s="716"/>
      <c r="AA932" s="41"/>
      <c r="AB932" s="717"/>
      <c r="AD932" s="79"/>
      <c r="BJ932" s="86"/>
      <c r="BM932" s="86"/>
    </row>
    <row r="933">
      <c r="A933" s="41"/>
      <c r="C933" s="41"/>
      <c r="D933" s="41"/>
      <c r="F933" s="41"/>
      <c r="G933" s="41"/>
      <c r="I933" s="41"/>
      <c r="J933" s="41"/>
      <c r="L933" s="41"/>
      <c r="M933" s="41"/>
      <c r="O933" s="41"/>
      <c r="P933" s="41"/>
      <c r="R933" s="41"/>
      <c r="S933" s="41"/>
      <c r="U933" s="41"/>
      <c r="V933" s="41"/>
      <c r="X933" s="41"/>
      <c r="Y933" s="716"/>
      <c r="AA933" s="41"/>
      <c r="AB933" s="717"/>
      <c r="AD933" s="79"/>
      <c r="BJ933" s="86"/>
      <c r="BM933" s="86"/>
    </row>
    <row r="934">
      <c r="A934" s="41"/>
      <c r="C934" s="41"/>
      <c r="D934" s="41"/>
      <c r="F934" s="41"/>
      <c r="G934" s="41"/>
      <c r="I934" s="41"/>
      <c r="J934" s="41"/>
      <c r="L934" s="41"/>
      <c r="M934" s="41"/>
      <c r="O934" s="41"/>
      <c r="P934" s="41"/>
      <c r="R934" s="41"/>
      <c r="S934" s="41"/>
      <c r="U934" s="41"/>
      <c r="V934" s="41"/>
      <c r="X934" s="41"/>
      <c r="Y934" s="716"/>
      <c r="AA934" s="41"/>
      <c r="AB934" s="717"/>
      <c r="AD934" s="79"/>
      <c r="BJ934" s="86"/>
      <c r="BM934" s="86"/>
    </row>
    <row r="935">
      <c r="A935" s="41"/>
      <c r="C935" s="41"/>
      <c r="D935" s="41"/>
      <c r="F935" s="41"/>
      <c r="G935" s="41"/>
      <c r="I935" s="41"/>
      <c r="J935" s="41"/>
      <c r="L935" s="41"/>
      <c r="M935" s="41"/>
      <c r="O935" s="41"/>
      <c r="P935" s="41"/>
      <c r="R935" s="41"/>
      <c r="S935" s="41"/>
      <c r="U935" s="41"/>
      <c r="V935" s="41"/>
      <c r="X935" s="41"/>
      <c r="Y935" s="716"/>
      <c r="AA935" s="41"/>
      <c r="AB935" s="717"/>
      <c r="AD935" s="79"/>
      <c r="BJ935" s="86"/>
      <c r="BM935" s="86"/>
    </row>
    <row r="936">
      <c r="A936" s="41"/>
      <c r="C936" s="41"/>
      <c r="D936" s="41"/>
      <c r="F936" s="41"/>
      <c r="G936" s="41"/>
      <c r="I936" s="41"/>
      <c r="J936" s="41"/>
      <c r="L936" s="41"/>
      <c r="M936" s="41"/>
      <c r="O936" s="41"/>
      <c r="P936" s="41"/>
      <c r="R936" s="41"/>
      <c r="S936" s="41"/>
      <c r="U936" s="41"/>
      <c r="V936" s="41"/>
      <c r="X936" s="41"/>
      <c r="Y936" s="716"/>
      <c r="AA936" s="41"/>
      <c r="AB936" s="717"/>
      <c r="AD936" s="79"/>
      <c r="BJ936" s="86"/>
      <c r="BM936" s="86"/>
    </row>
    <row r="937">
      <c r="A937" s="41"/>
      <c r="C937" s="41"/>
      <c r="D937" s="41"/>
      <c r="F937" s="41"/>
      <c r="G937" s="41"/>
      <c r="I937" s="41"/>
      <c r="J937" s="41"/>
      <c r="L937" s="41"/>
      <c r="M937" s="41"/>
      <c r="O937" s="41"/>
      <c r="P937" s="41"/>
      <c r="R937" s="41"/>
      <c r="S937" s="41"/>
      <c r="U937" s="41"/>
      <c r="V937" s="41"/>
      <c r="X937" s="41"/>
      <c r="Y937" s="716"/>
      <c r="AA937" s="41"/>
      <c r="AB937" s="717"/>
      <c r="AD937" s="79"/>
      <c r="BJ937" s="86"/>
      <c r="BM937" s="86"/>
    </row>
    <row r="938">
      <c r="A938" s="41"/>
      <c r="C938" s="41"/>
      <c r="D938" s="41"/>
      <c r="F938" s="41"/>
      <c r="G938" s="41"/>
      <c r="I938" s="41"/>
      <c r="J938" s="41"/>
      <c r="L938" s="41"/>
      <c r="M938" s="41"/>
      <c r="O938" s="41"/>
      <c r="P938" s="41"/>
      <c r="R938" s="41"/>
      <c r="S938" s="41"/>
      <c r="U938" s="41"/>
      <c r="V938" s="41"/>
      <c r="X938" s="41"/>
      <c r="Y938" s="716"/>
      <c r="AA938" s="41"/>
      <c r="AB938" s="717"/>
      <c r="AD938" s="79"/>
      <c r="BJ938" s="86"/>
      <c r="BM938" s="86"/>
    </row>
    <row r="939">
      <c r="A939" s="41"/>
      <c r="C939" s="41"/>
      <c r="D939" s="41"/>
      <c r="F939" s="41"/>
      <c r="G939" s="41"/>
      <c r="I939" s="41"/>
      <c r="J939" s="41"/>
      <c r="L939" s="41"/>
      <c r="M939" s="41"/>
      <c r="O939" s="41"/>
      <c r="P939" s="41"/>
      <c r="R939" s="41"/>
      <c r="S939" s="41"/>
      <c r="U939" s="41"/>
      <c r="V939" s="41"/>
      <c r="X939" s="41"/>
      <c r="Y939" s="716"/>
      <c r="AA939" s="41"/>
      <c r="AB939" s="717"/>
      <c r="AD939" s="79"/>
      <c r="BJ939" s="86"/>
      <c r="BM939" s="86"/>
    </row>
    <row r="940">
      <c r="A940" s="41"/>
      <c r="C940" s="41"/>
      <c r="D940" s="41"/>
      <c r="F940" s="41"/>
      <c r="G940" s="41"/>
      <c r="I940" s="41"/>
      <c r="J940" s="41"/>
      <c r="L940" s="41"/>
      <c r="M940" s="41"/>
      <c r="O940" s="41"/>
      <c r="P940" s="41"/>
      <c r="R940" s="41"/>
      <c r="S940" s="41"/>
      <c r="U940" s="41"/>
      <c r="V940" s="41"/>
      <c r="X940" s="41"/>
      <c r="Y940" s="716"/>
      <c r="AA940" s="41"/>
      <c r="AB940" s="717"/>
      <c r="AD940" s="79"/>
      <c r="BJ940" s="86"/>
      <c r="BM940" s="86"/>
    </row>
    <row r="941">
      <c r="A941" s="41"/>
      <c r="C941" s="41"/>
      <c r="D941" s="41"/>
      <c r="F941" s="41"/>
      <c r="G941" s="41"/>
      <c r="I941" s="41"/>
      <c r="J941" s="41"/>
      <c r="L941" s="41"/>
      <c r="M941" s="41"/>
      <c r="O941" s="41"/>
      <c r="P941" s="41"/>
      <c r="R941" s="41"/>
      <c r="S941" s="41"/>
      <c r="U941" s="41"/>
      <c r="V941" s="41"/>
      <c r="X941" s="41"/>
      <c r="Y941" s="716"/>
      <c r="AA941" s="41"/>
      <c r="AB941" s="717"/>
      <c r="AD941" s="79"/>
      <c r="BJ941" s="86"/>
      <c r="BM941" s="86"/>
    </row>
    <row r="942">
      <c r="A942" s="41"/>
      <c r="C942" s="41"/>
      <c r="D942" s="41"/>
      <c r="F942" s="41"/>
      <c r="G942" s="41"/>
      <c r="I942" s="41"/>
      <c r="J942" s="41"/>
      <c r="L942" s="41"/>
      <c r="M942" s="41"/>
      <c r="O942" s="41"/>
      <c r="P942" s="41"/>
      <c r="R942" s="41"/>
      <c r="S942" s="41"/>
      <c r="U942" s="41"/>
      <c r="V942" s="41"/>
      <c r="X942" s="41"/>
      <c r="Y942" s="716"/>
      <c r="AA942" s="41"/>
      <c r="AB942" s="717"/>
      <c r="AD942" s="79"/>
      <c r="BJ942" s="86"/>
      <c r="BM942" s="86"/>
    </row>
    <row r="943">
      <c r="A943" s="41"/>
      <c r="C943" s="41"/>
      <c r="D943" s="41"/>
      <c r="F943" s="41"/>
      <c r="G943" s="41"/>
      <c r="I943" s="41"/>
      <c r="J943" s="41"/>
      <c r="L943" s="41"/>
      <c r="M943" s="41"/>
      <c r="O943" s="41"/>
      <c r="P943" s="41"/>
      <c r="R943" s="41"/>
      <c r="S943" s="41"/>
      <c r="U943" s="41"/>
      <c r="V943" s="41"/>
      <c r="X943" s="41"/>
      <c r="Y943" s="716"/>
      <c r="AA943" s="41"/>
      <c r="AB943" s="717"/>
      <c r="AD943" s="79"/>
      <c r="BJ943" s="86"/>
      <c r="BM943" s="86"/>
    </row>
    <row r="944">
      <c r="A944" s="41"/>
      <c r="C944" s="41"/>
      <c r="D944" s="41"/>
      <c r="F944" s="41"/>
      <c r="G944" s="41"/>
      <c r="I944" s="41"/>
      <c r="J944" s="41"/>
      <c r="L944" s="41"/>
      <c r="M944" s="41"/>
      <c r="O944" s="41"/>
      <c r="P944" s="41"/>
      <c r="R944" s="41"/>
      <c r="S944" s="41"/>
      <c r="U944" s="41"/>
      <c r="V944" s="41"/>
      <c r="X944" s="41"/>
      <c r="Y944" s="716"/>
      <c r="AA944" s="41"/>
      <c r="AB944" s="717"/>
      <c r="AD944" s="79"/>
      <c r="BJ944" s="86"/>
      <c r="BM944" s="86"/>
    </row>
    <row r="945">
      <c r="A945" s="41"/>
      <c r="C945" s="41"/>
      <c r="D945" s="41"/>
      <c r="F945" s="41"/>
      <c r="G945" s="41"/>
      <c r="I945" s="41"/>
      <c r="J945" s="41"/>
      <c r="L945" s="41"/>
      <c r="M945" s="41"/>
      <c r="O945" s="41"/>
      <c r="P945" s="41"/>
      <c r="R945" s="41"/>
      <c r="S945" s="41"/>
      <c r="U945" s="41"/>
      <c r="V945" s="41"/>
      <c r="X945" s="41"/>
      <c r="Y945" s="716"/>
      <c r="AA945" s="41"/>
      <c r="AB945" s="717"/>
      <c r="AD945" s="79"/>
      <c r="BJ945" s="86"/>
      <c r="BM945" s="86"/>
    </row>
    <row r="946">
      <c r="A946" s="41"/>
      <c r="C946" s="41"/>
      <c r="D946" s="41"/>
      <c r="F946" s="41"/>
      <c r="G946" s="41"/>
      <c r="I946" s="41"/>
      <c r="J946" s="41"/>
      <c r="L946" s="41"/>
      <c r="M946" s="41"/>
      <c r="O946" s="41"/>
      <c r="P946" s="41"/>
      <c r="R946" s="41"/>
      <c r="S946" s="41"/>
      <c r="U946" s="41"/>
      <c r="V946" s="41"/>
      <c r="X946" s="41"/>
      <c r="Y946" s="716"/>
      <c r="AA946" s="41"/>
      <c r="AB946" s="717"/>
      <c r="AD946" s="79"/>
      <c r="BJ946" s="86"/>
      <c r="BM946" s="86"/>
    </row>
    <row r="947">
      <c r="A947" s="41"/>
      <c r="C947" s="41"/>
      <c r="D947" s="41"/>
      <c r="F947" s="41"/>
      <c r="G947" s="41"/>
      <c r="I947" s="41"/>
      <c r="J947" s="41"/>
      <c r="L947" s="41"/>
      <c r="M947" s="41"/>
      <c r="O947" s="41"/>
      <c r="P947" s="41"/>
      <c r="R947" s="41"/>
      <c r="S947" s="41"/>
      <c r="U947" s="41"/>
      <c r="V947" s="41"/>
      <c r="X947" s="41"/>
      <c r="Y947" s="716"/>
      <c r="AA947" s="41"/>
      <c r="AB947" s="717"/>
      <c r="AD947" s="79"/>
      <c r="BJ947" s="86"/>
      <c r="BM947" s="86"/>
    </row>
    <row r="948">
      <c r="A948" s="41"/>
      <c r="C948" s="41"/>
      <c r="D948" s="41"/>
      <c r="F948" s="41"/>
      <c r="G948" s="41"/>
      <c r="I948" s="41"/>
      <c r="J948" s="41"/>
      <c r="L948" s="41"/>
      <c r="M948" s="41"/>
      <c r="O948" s="41"/>
      <c r="P948" s="41"/>
      <c r="R948" s="41"/>
      <c r="S948" s="41"/>
      <c r="U948" s="41"/>
      <c r="V948" s="41"/>
      <c r="X948" s="41"/>
      <c r="Y948" s="716"/>
      <c r="AA948" s="41"/>
      <c r="AB948" s="717"/>
      <c r="AD948" s="79"/>
      <c r="BJ948" s="86"/>
      <c r="BM948" s="86"/>
    </row>
    <row r="949">
      <c r="A949" s="41"/>
      <c r="C949" s="41"/>
      <c r="D949" s="41"/>
      <c r="F949" s="41"/>
      <c r="G949" s="41"/>
      <c r="I949" s="41"/>
      <c r="J949" s="41"/>
      <c r="L949" s="41"/>
      <c r="M949" s="41"/>
      <c r="O949" s="41"/>
      <c r="P949" s="41"/>
      <c r="R949" s="41"/>
      <c r="S949" s="41"/>
      <c r="U949" s="41"/>
      <c r="V949" s="41"/>
      <c r="X949" s="41"/>
      <c r="Y949" s="716"/>
      <c r="AA949" s="41"/>
      <c r="AB949" s="717"/>
      <c r="AD949" s="79"/>
      <c r="BJ949" s="86"/>
      <c r="BM949" s="86"/>
    </row>
    <row r="950">
      <c r="A950" s="41"/>
      <c r="C950" s="41"/>
      <c r="D950" s="41"/>
      <c r="F950" s="41"/>
      <c r="G950" s="41"/>
      <c r="I950" s="41"/>
      <c r="J950" s="41"/>
      <c r="L950" s="41"/>
      <c r="M950" s="41"/>
      <c r="O950" s="41"/>
      <c r="P950" s="41"/>
      <c r="R950" s="41"/>
      <c r="S950" s="41"/>
      <c r="U950" s="41"/>
      <c r="V950" s="41"/>
      <c r="X950" s="41"/>
      <c r="Y950" s="716"/>
      <c r="AA950" s="41"/>
      <c r="AB950" s="717"/>
      <c r="AD950" s="79"/>
      <c r="BJ950" s="86"/>
      <c r="BM950" s="86"/>
    </row>
    <row r="951">
      <c r="A951" s="41"/>
      <c r="C951" s="41"/>
      <c r="D951" s="41"/>
      <c r="F951" s="41"/>
      <c r="G951" s="41"/>
      <c r="I951" s="41"/>
      <c r="J951" s="41"/>
      <c r="L951" s="41"/>
      <c r="M951" s="41"/>
      <c r="O951" s="41"/>
      <c r="P951" s="41"/>
      <c r="R951" s="41"/>
      <c r="S951" s="41"/>
      <c r="U951" s="41"/>
      <c r="V951" s="41"/>
      <c r="X951" s="41"/>
      <c r="Y951" s="716"/>
      <c r="AA951" s="41"/>
      <c r="AB951" s="717"/>
      <c r="AD951" s="79"/>
      <c r="BJ951" s="86"/>
      <c r="BM951" s="86"/>
    </row>
    <row r="952">
      <c r="A952" s="41"/>
      <c r="C952" s="41"/>
      <c r="D952" s="41"/>
      <c r="F952" s="41"/>
      <c r="G952" s="41"/>
      <c r="I952" s="41"/>
      <c r="J952" s="41"/>
      <c r="L952" s="41"/>
      <c r="M952" s="41"/>
      <c r="O952" s="41"/>
      <c r="P952" s="41"/>
      <c r="R952" s="41"/>
      <c r="S952" s="41"/>
      <c r="U952" s="41"/>
      <c r="V952" s="41"/>
      <c r="X952" s="41"/>
      <c r="Y952" s="716"/>
      <c r="AA952" s="41"/>
      <c r="AB952" s="717"/>
      <c r="AD952" s="79"/>
      <c r="BJ952" s="86"/>
      <c r="BM952" s="86"/>
    </row>
    <row r="953">
      <c r="A953" s="41"/>
      <c r="C953" s="41"/>
      <c r="D953" s="41"/>
      <c r="F953" s="41"/>
      <c r="G953" s="41"/>
      <c r="I953" s="41"/>
      <c r="J953" s="41"/>
      <c r="L953" s="41"/>
      <c r="M953" s="41"/>
      <c r="O953" s="41"/>
      <c r="P953" s="41"/>
      <c r="R953" s="41"/>
      <c r="S953" s="41"/>
      <c r="U953" s="41"/>
      <c r="V953" s="41"/>
      <c r="X953" s="41"/>
      <c r="Y953" s="716"/>
      <c r="AA953" s="41"/>
      <c r="AB953" s="717"/>
      <c r="AD953" s="79"/>
      <c r="BJ953" s="86"/>
      <c r="BM953" s="86"/>
    </row>
    <row r="954">
      <c r="A954" s="41"/>
      <c r="C954" s="41"/>
      <c r="D954" s="41"/>
      <c r="F954" s="41"/>
      <c r="G954" s="41"/>
      <c r="I954" s="41"/>
      <c r="J954" s="41"/>
      <c r="L954" s="41"/>
      <c r="M954" s="41"/>
      <c r="O954" s="41"/>
      <c r="P954" s="41"/>
      <c r="R954" s="41"/>
      <c r="S954" s="41"/>
      <c r="U954" s="41"/>
      <c r="V954" s="41"/>
      <c r="X954" s="41"/>
      <c r="Y954" s="716"/>
      <c r="AA954" s="41"/>
      <c r="AB954" s="717"/>
      <c r="AD954" s="79"/>
      <c r="BJ954" s="86"/>
      <c r="BM954" s="86"/>
    </row>
    <row r="955">
      <c r="A955" s="41"/>
      <c r="C955" s="41"/>
      <c r="D955" s="41"/>
      <c r="F955" s="41"/>
      <c r="G955" s="41"/>
      <c r="I955" s="41"/>
      <c r="J955" s="41"/>
      <c r="L955" s="41"/>
      <c r="M955" s="41"/>
      <c r="O955" s="41"/>
      <c r="P955" s="41"/>
      <c r="R955" s="41"/>
      <c r="S955" s="41"/>
      <c r="U955" s="41"/>
      <c r="V955" s="41"/>
      <c r="X955" s="41"/>
      <c r="Y955" s="716"/>
      <c r="AA955" s="41"/>
      <c r="AB955" s="717"/>
      <c r="AD955" s="79"/>
      <c r="BJ955" s="86"/>
      <c r="BM955" s="86"/>
    </row>
    <row r="956">
      <c r="A956" s="41"/>
      <c r="C956" s="41"/>
      <c r="D956" s="41"/>
      <c r="F956" s="41"/>
      <c r="G956" s="41"/>
      <c r="I956" s="41"/>
      <c r="J956" s="41"/>
      <c r="L956" s="41"/>
      <c r="M956" s="41"/>
      <c r="O956" s="41"/>
      <c r="P956" s="41"/>
      <c r="R956" s="41"/>
      <c r="S956" s="41"/>
      <c r="U956" s="41"/>
      <c r="V956" s="41"/>
      <c r="X956" s="41"/>
      <c r="Y956" s="716"/>
      <c r="AA956" s="41"/>
      <c r="AB956" s="717"/>
      <c r="AD956" s="79"/>
      <c r="BJ956" s="86"/>
      <c r="BM956" s="86"/>
    </row>
    <row r="957">
      <c r="A957" s="41"/>
      <c r="C957" s="41"/>
      <c r="D957" s="41"/>
      <c r="F957" s="41"/>
      <c r="G957" s="41"/>
      <c r="I957" s="41"/>
      <c r="J957" s="41"/>
      <c r="L957" s="41"/>
      <c r="M957" s="41"/>
      <c r="O957" s="41"/>
      <c r="P957" s="41"/>
      <c r="R957" s="41"/>
      <c r="S957" s="41"/>
      <c r="U957" s="41"/>
      <c r="V957" s="41"/>
      <c r="X957" s="41"/>
      <c r="Y957" s="716"/>
      <c r="AA957" s="41"/>
      <c r="AB957" s="717"/>
      <c r="AD957" s="79"/>
      <c r="BJ957" s="86"/>
      <c r="BM957" s="86"/>
    </row>
    <row r="958">
      <c r="A958" s="41"/>
      <c r="C958" s="41"/>
      <c r="D958" s="41"/>
      <c r="F958" s="41"/>
      <c r="G958" s="41"/>
      <c r="I958" s="41"/>
      <c r="J958" s="41"/>
      <c r="L958" s="41"/>
      <c r="M958" s="41"/>
      <c r="O958" s="41"/>
      <c r="P958" s="41"/>
      <c r="R958" s="41"/>
      <c r="S958" s="41"/>
      <c r="U958" s="41"/>
      <c r="V958" s="41"/>
      <c r="X958" s="41"/>
      <c r="Y958" s="716"/>
      <c r="AA958" s="41"/>
      <c r="AB958" s="717"/>
      <c r="AD958" s="79"/>
      <c r="BJ958" s="86"/>
      <c r="BM958" s="86"/>
    </row>
    <row r="959">
      <c r="A959" s="41"/>
      <c r="C959" s="41"/>
      <c r="D959" s="41"/>
      <c r="F959" s="41"/>
      <c r="G959" s="41"/>
      <c r="I959" s="41"/>
      <c r="J959" s="41"/>
      <c r="L959" s="41"/>
      <c r="M959" s="41"/>
      <c r="O959" s="41"/>
      <c r="P959" s="41"/>
      <c r="R959" s="41"/>
      <c r="S959" s="41"/>
      <c r="U959" s="41"/>
      <c r="V959" s="41"/>
      <c r="X959" s="41"/>
      <c r="Y959" s="716"/>
      <c r="AA959" s="41"/>
      <c r="AB959" s="717"/>
      <c r="AD959" s="79"/>
      <c r="BJ959" s="86"/>
      <c r="BM959" s="86"/>
    </row>
    <row r="960">
      <c r="A960" s="41"/>
      <c r="C960" s="41"/>
      <c r="D960" s="41"/>
      <c r="F960" s="41"/>
      <c r="G960" s="41"/>
      <c r="I960" s="41"/>
      <c r="J960" s="41"/>
      <c r="L960" s="41"/>
      <c r="M960" s="41"/>
      <c r="O960" s="41"/>
      <c r="P960" s="41"/>
      <c r="R960" s="41"/>
      <c r="S960" s="41"/>
      <c r="U960" s="41"/>
      <c r="V960" s="41"/>
      <c r="X960" s="41"/>
      <c r="Y960" s="716"/>
      <c r="AA960" s="41"/>
      <c r="AB960" s="717"/>
      <c r="AD960" s="79"/>
      <c r="BJ960" s="86"/>
      <c r="BM960" s="86"/>
    </row>
    <row r="961">
      <c r="A961" s="41"/>
      <c r="C961" s="41"/>
      <c r="D961" s="41"/>
      <c r="F961" s="41"/>
      <c r="G961" s="41"/>
      <c r="I961" s="41"/>
      <c r="J961" s="41"/>
      <c r="L961" s="41"/>
      <c r="M961" s="41"/>
      <c r="O961" s="41"/>
      <c r="P961" s="41"/>
      <c r="R961" s="41"/>
      <c r="S961" s="41"/>
      <c r="U961" s="41"/>
      <c r="V961" s="41"/>
      <c r="X961" s="41"/>
      <c r="Y961" s="716"/>
      <c r="AA961" s="41"/>
      <c r="AB961" s="717"/>
      <c r="AD961" s="79"/>
      <c r="BJ961" s="86"/>
      <c r="BM961" s="86"/>
    </row>
    <row r="962">
      <c r="A962" s="41"/>
      <c r="C962" s="41"/>
      <c r="D962" s="41"/>
      <c r="F962" s="41"/>
      <c r="G962" s="41"/>
      <c r="I962" s="41"/>
      <c r="J962" s="41"/>
      <c r="L962" s="41"/>
      <c r="M962" s="41"/>
      <c r="O962" s="41"/>
      <c r="P962" s="41"/>
      <c r="R962" s="41"/>
      <c r="S962" s="41"/>
      <c r="U962" s="41"/>
      <c r="V962" s="41"/>
      <c r="X962" s="41"/>
      <c r="Y962" s="716"/>
      <c r="AA962" s="41"/>
      <c r="AB962" s="717"/>
      <c r="AD962" s="79"/>
      <c r="BJ962" s="86"/>
      <c r="BM962" s="86"/>
    </row>
    <row r="963">
      <c r="A963" s="41"/>
      <c r="C963" s="41"/>
      <c r="D963" s="41"/>
      <c r="F963" s="41"/>
      <c r="G963" s="41"/>
      <c r="I963" s="41"/>
      <c r="J963" s="41"/>
      <c r="L963" s="41"/>
      <c r="M963" s="41"/>
      <c r="O963" s="41"/>
      <c r="P963" s="41"/>
      <c r="R963" s="41"/>
      <c r="S963" s="41"/>
      <c r="U963" s="41"/>
      <c r="V963" s="41"/>
      <c r="X963" s="41"/>
      <c r="Y963" s="716"/>
      <c r="AA963" s="41"/>
      <c r="AB963" s="717"/>
      <c r="AD963" s="79"/>
      <c r="BJ963" s="86"/>
      <c r="BM963" s="86"/>
    </row>
    <row r="964">
      <c r="A964" s="41"/>
      <c r="C964" s="41"/>
      <c r="D964" s="41"/>
      <c r="F964" s="41"/>
      <c r="G964" s="41"/>
      <c r="I964" s="41"/>
      <c r="J964" s="41"/>
      <c r="L964" s="41"/>
      <c r="M964" s="41"/>
      <c r="O964" s="41"/>
      <c r="P964" s="41"/>
      <c r="R964" s="41"/>
      <c r="S964" s="41"/>
      <c r="U964" s="41"/>
      <c r="V964" s="41"/>
      <c r="X964" s="41"/>
      <c r="Y964" s="716"/>
      <c r="AA964" s="41"/>
      <c r="AB964" s="717"/>
      <c r="AD964" s="79"/>
      <c r="BJ964" s="86"/>
      <c r="BM964" s="86"/>
    </row>
    <row r="965">
      <c r="A965" s="41"/>
      <c r="C965" s="41"/>
      <c r="D965" s="41"/>
      <c r="F965" s="41"/>
      <c r="G965" s="41"/>
      <c r="I965" s="41"/>
      <c r="J965" s="41"/>
      <c r="L965" s="41"/>
      <c r="M965" s="41"/>
      <c r="O965" s="41"/>
      <c r="P965" s="41"/>
      <c r="R965" s="41"/>
      <c r="S965" s="41"/>
      <c r="U965" s="41"/>
      <c r="V965" s="41"/>
      <c r="X965" s="41"/>
      <c r="Y965" s="716"/>
      <c r="AA965" s="41"/>
      <c r="AB965" s="717"/>
      <c r="AD965" s="79"/>
      <c r="BJ965" s="86"/>
      <c r="BM965" s="86"/>
    </row>
    <row r="966">
      <c r="A966" s="41"/>
      <c r="C966" s="41"/>
      <c r="D966" s="41"/>
      <c r="F966" s="41"/>
      <c r="G966" s="41"/>
      <c r="I966" s="41"/>
      <c r="J966" s="41"/>
      <c r="L966" s="41"/>
      <c r="M966" s="41"/>
      <c r="O966" s="41"/>
      <c r="P966" s="41"/>
      <c r="R966" s="41"/>
      <c r="S966" s="41"/>
      <c r="U966" s="41"/>
      <c r="V966" s="41"/>
      <c r="X966" s="41"/>
      <c r="Y966" s="716"/>
      <c r="AA966" s="41"/>
      <c r="AB966" s="717"/>
      <c r="AD966" s="79"/>
      <c r="BJ966" s="86"/>
      <c r="BM966" s="86"/>
    </row>
    <row r="967">
      <c r="A967" s="41"/>
      <c r="C967" s="41"/>
      <c r="D967" s="41"/>
      <c r="F967" s="41"/>
      <c r="G967" s="41"/>
      <c r="I967" s="41"/>
      <c r="J967" s="41"/>
      <c r="L967" s="41"/>
      <c r="M967" s="41"/>
      <c r="O967" s="41"/>
      <c r="P967" s="41"/>
      <c r="R967" s="41"/>
      <c r="S967" s="41"/>
      <c r="U967" s="41"/>
      <c r="V967" s="41"/>
      <c r="X967" s="41"/>
      <c r="Y967" s="716"/>
      <c r="AA967" s="41"/>
      <c r="AB967" s="717"/>
      <c r="AD967" s="79"/>
      <c r="BJ967" s="86"/>
      <c r="BM967" s="86"/>
    </row>
    <row r="968">
      <c r="A968" s="41"/>
      <c r="C968" s="41"/>
      <c r="D968" s="41"/>
      <c r="F968" s="41"/>
      <c r="G968" s="41"/>
      <c r="I968" s="41"/>
      <c r="J968" s="41"/>
      <c r="L968" s="41"/>
      <c r="M968" s="41"/>
      <c r="O968" s="41"/>
      <c r="P968" s="41"/>
      <c r="R968" s="41"/>
      <c r="S968" s="41"/>
      <c r="U968" s="41"/>
      <c r="V968" s="41"/>
      <c r="X968" s="41"/>
      <c r="Y968" s="716"/>
      <c r="AA968" s="41"/>
      <c r="AB968" s="717"/>
      <c r="AD968" s="79"/>
      <c r="BJ968" s="86"/>
      <c r="BM968" s="86"/>
    </row>
    <row r="969">
      <c r="A969" s="41"/>
      <c r="C969" s="41"/>
      <c r="D969" s="41"/>
      <c r="F969" s="41"/>
      <c r="G969" s="41"/>
      <c r="I969" s="41"/>
      <c r="J969" s="41"/>
      <c r="L969" s="41"/>
      <c r="M969" s="41"/>
      <c r="O969" s="41"/>
      <c r="P969" s="41"/>
      <c r="R969" s="41"/>
      <c r="S969" s="41"/>
      <c r="U969" s="41"/>
      <c r="V969" s="41"/>
      <c r="X969" s="41"/>
      <c r="Y969" s="716"/>
      <c r="AA969" s="41"/>
      <c r="AB969" s="717"/>
      <c r="AD969" s="79"/>
      <c r="BJ969" s="86"/>
      <c r="BM969" s="86"/>
    </row>
    <row r="970">
      <c r="A970" s="41"/>
      <c r="C970" s="41"/>
      <c r="D970" s="41"/>
      <c r="F970" s="41"/>
      <c r="G970" s="41"/>
      <c r="I970" s="41"/>
      <c r="J970" s="41"/>
      <c r="L970" s="41"/>
      <c r="M970" s="41"/>
      <c r="O970" s="41"/>
      <c r="P970" s="41"/>
      <c r="R970" s="41"/>
      <c r="S970" s="41"/>
      <c r="U970" s="41"/>
      <c r="V970" s="41"/>
      <c r="X970" s="41"/>
      <c r="Y970" s="716"/>
      <c r="AA970" s="41"/>
      <c r="AB970" s="717"/>
      <c r="AD970" s="79"/>
      <c r="BJ970" s="86"/>
      <c r="BM970" s="86"/>
    </row>
    <row r="971">
      <c r="A971" s="41"/>
      <c r="C971" s="41"/>
      <c r="D971" s="41"/>
      <c r="F971" s="41"/>
      <c r="G971" s="41"/>
      <c r="I971" s="41"/>
      <c r="J971" s="41"/>
      <c r="L971" s="41"/>
      <c r="M971" s="41"/>
      <c r="O971" s="41"/>
      <c r="P971" s="41"/>
      <c r="R971" s="41"/>
      <c r="S971" s="41"/>
      <c r="U971" s="41"/>
      <c r="V971" s="41"/>
      <c r="X971" s="41"/>
      <c r="Y971" s="716"/>
      <c r="AA971" s="41"/>
      <c r="AB971" s="717"/>
      <c r="AD971" s="79"/>
      <c r="BJ971" s="86"/>
      <c r="BM971" s="86"/>
    </row>
    <row r="972">
      <c r="A972" s="41"/>
      <c r="C972" s="41"/>
      <c r="D972" s="41"/>
      <c r="F972" s="41"/>
      <c r="G972" s="41"/>
      <c r="I972" s="41"/>
      <c r="J972" s="41"/>
      <c r="L972" s="41"/>
      <c r="M972" s="41"/>
      <c r="O972" s="41"/>
      <c r="P972" s="41"/>
      <c r="R972" s="41"/>
      <c r="S972" s="41"/>
      <c r="U972" s="41"/>
      <c r="V972" s="41"/>
      <c r="X972" s="41"/>
      <c r="Y972" s="716"/>
      <c r="AA972" s="41"/>
      <c r="AB972" s="717"/>
      <c r="AD972" s="79"/>
      <c r="BJ972" s="86"/>
      <c r="BM972" s="86"/>
    </row>
    <row r="973">
      <c r="A973" s="41"/>
      <c r="C973" s="41"/>
      <c r="D973" s="41"/>
      <c r="F973" s="41"/>
      <c r="G973" s="41"/>
      <c r="I973" s="41"/>
      <c r="J973" s="41"/>
      <c r="L973" s="41"/>
      <c r="M973" s="41"/>
      <c r="O973" s="41"/>
      <c r="P973" s="41"/>
      <c r="R973" s="41"/>
      <c r="S973" s="41"/>
      <c r="U973" s="41"/>
      <c r="V973" s="41"/>
      <c r="X973" s="41"/>
      <c r="Y973" s="716"/>
      <c r="AA973" s="41"/>
      <c r="AB973" s="717"/>
      <c r="AD973" s="79"/>
      <c r="BJ973" s="86"/>
      <c r="BM973" s="86"/>
    </row>
    <row r="974">
      <c r="A974" s="41"/>
      <c r="C974" s="41"/>
      <c r="D974" s="41"/>
      <c r="F974" s="41"/>
      <c r="G974" s="41"/>
      <c r="I974" s="41"/>
      <c r="J974" s="41"/>
      <c r="L974" s="41"/>
      <c r="M974" s="41"/>
      <c r="O974" s="41"/>
      <c r="P974" s="41"/>
      <c r="R974" s="41"/>
      <c r="S974" s="41"/>
      <c r="U974" s="41"/>
      <c r="V974" s="41"/>
      <c r="X974" s="41"/>
      <c r="Y974" s="716"/>
      <c r="AA974" s="41"/>
      <c r="AB974" s="717"/>
      <c r="AD974" s="79"/>
      <c r="BJ974" s="86"/>
      <c r="BM974" s="86"/>
    </row>
    <row r="975">
      <c r="A975" s="41"/>
      <c r="C975" s="41"/>
      <c r="D975" s="41"/>
      <c r="F975" s="41"/>
      <c r="G975" s="41"/>
      <c r="I975" s="41"/>
      <c r="J975" s="41"/>
      <c r="L975" s="41"/>
      <c r="M975" s="41"/>
      <c r="O975" s="41"/>
      <c r="P975" s="41"/>
      <c r="R975" s="41"/>
      <c r="S975" s="41"/>
      <c r="U975" s="41"/>
      <c r="V975" s="41"/>
      <c r="X975" s="41"/>
      <c r="Y975" s="716"/>
      <c r="AA975" s="41"/>
      <c r="AB975" s="717"/>
      <c r="AD975" s="79"/>
      <c r="BJ975" s="86"/>
      <c r="BM975" s="86"/>
    </row>
    <row r="976">
      <c r="A976" s="41"/>
      <c r="C976" s="41"/>
      <c r="D976" s="41"/>
      <c r="F976" s="41"/>
      <c r="G976" s="41"/>
      <c r="I976" s="41"/>
      <c r="J976" s="41"/>
      <c r="L976" s="41"/>
      <c r="M976" s="41"/>
      <c r="O976" s="41"/>
      <c r="P976" s="41"/>
      <c r="R976" s="41"/>
      <c r="S976" s="41"/>
      <c r="U976" s="41"/>
      <c r="V976" s="41"/>
      <c r="X976" s="41"/>
      <c r="Y976" s="716"/>
      <c r="AA976" s="41"/>
      <c r="AB976" s="717"/>
      <c r="AD976" s="79"/>
      <c r="BJ976" s="86"/>
      <c r="BM976" s="86"/>
    </row>
    <row r="977">
      <c r="A977" s="41"/>
      <c r="C977" s="41"/>
      <c r="D977" s="41"/>
      <c r="F977" s="41"/>
      <c r="G977" s="41"/>
      <c r="I977" s="41"/>
      <c r="J977" s="41"/>
      <c r="L977" s="41"/>
      <c r="M977" s="41"/>
      <c r="O977" s="41"/>
      <c r="P977" s="41"/>
      <c r="R977" s="41"/>
      <c r="S977" s="41"/>
      <c r="U977" s="41"/>
      <c r="V977" s="41"/>
      <c r="X977" s="41"/>
      <c r="Y977" s="716"/>
      <c r="AA977" s="41"/>
      <c r="AB977" s="717"/>
      <c r="AD977" s="79"/>
      <c r="BJ977" s="86"/>
      <c r="BM977" s="86"/>
    </row>
    <row r="978">
      <c r="A978" s="41"/>
      <c r="C978" s="41"/>
      <c r="D978" s="41"/>
      <c r="F978" s="41"/>
      <c r="G978" s="41"/>
      <c r="I978" s="41"/>
      <c r="J978" s="41"/>
      <c r="L978" s="41"/>
      <c r="M978" s="41"/>
      <c r="O978" s="41"/>
      <c r="P978" s="41"/>
      <c r="R978" s="41"/>
      <c r="S978" s="41"/>
      <c r="U978" s="41"/>
      <c r="V978" s="41"/>
      <c r="X978" s="41"/>
      <c r="Y978" s="716"/>
      <c r="AA978" s="41"/>
      <c r="AB978" s="717"/>
      <c r="AD978" s="79"/>
      <c r="BJ978" s="86"/>
      <c r="BM978" s="86"/>
    </row>
    <row r="979">
      <c r="A979" s="41"/>
      <c r="C979" s="41"/>
      <c r="D979" s="41"/>
      <c r="F979" s="41"/>
      <c r="G979" s="41"/>
      <c r="I979" s="41"/>
      <c r="J979" s="41"/>
      <c r="L979" s="41"/>
      <c r="M979" s="41"/>
      <c r="O979" s="41"/>
      <c r="P979" s="41"/>
      <c r="R979" s="41"/>
      <c r="S979" s="41"/>
      <c r="U979" s="41"/>
      <c r="V979" s="41"/>
      <c r="X979" s="41"/>
      <c r="Y979" s="716"/>
      <c r="AA979" s="41"/>
      <c r="AB979" s="717"/>
      <c r="AD979" s="79"/>
      <c r="BJ979" s="86"/>
      <c r="BM979" s="86"/>
    </row>
    <row r="980">
      <c r="A980" s="41"/>
      <c r="C980" s="41"/>
      <c r="D980" s="41"/>
      <c r="F980" s="41"/>
      <c r="G980" s="41"/>
      <c r="I980" s="41"/>
      <c r="J980" s="41"/>
      <c r="L980" s="41"/>
      <c r="M980" s="41"/>
      <c r="O980" s="41"/>
      <c r="P980" s="41"/>
      <c r="R980" s="41"/>
      <c r="S980" s="41"/>
      <c r="U980" s="41"/>
      <c r="V980" s="41"/>
      <c r="X980" s="41"/>
      <c r="Y980" s="716"/>
      <c r="AA980" s="41"/>
      <c r="AB980" s="717"/>
      <c r="AD980" s="79"/>
      <c r="BJ980" s="86"/>
      <c r="BM980" s="86"/>
    </row>
    <row r="981">
      <c r="A981" s="41"/>
      <c r="C981" s="41"/>
      <c r="D981" s="41"/>
      <c r="F981" s="41"/>
      <c r="G981" s="41"/>
      <c r="I981" s="41"/>
      <c r="J981" s="41"/>
      <c r="L981" s="41"/>
      <c r="M981" s="41"/>
      <c r="O981" s="41"/>
      <c r="P981" s="41"/>
      <c r="R981" s="41"/>
      <c r="S981" s="41"/>
      <c r="U981" s="41"/>
      <c r="V981" s="41"/>
      <c r="X981" s="41"/>
      <c r="Y981" s="716"/>
      <c r="AA981" s="41"/>
      <c r="AB981" s="717"/>
      <c r="AD981" s="79"/>
      <c r="BJ981" s="86"/>
      <c r="BM981" s="86"/>
    </row>
    <row r="982">
      <c r="A982" s="41"/>
      <c r="C982" s="41"/>
      <c r="D982" s="41"/>
      <c r="F982" s="41"/>
      <c r="G982" s="41"/>
      <c r="I982" s="41"/>
      <c r="J982" s="41"/>
      <c r="L982" s="41"/>
      <c r="M982" s="41"/>
      <c r="O982" s="41"/>
      <c r="P982" s="41"/>
      <c r="R982" s="41"/>
      <c r="S982" s="41"/>
      <c r="U982" s="41"/>
      <c r="V982" s="41"/>
      <c r="X982" s="41"/>
      <c r="Y982" s="716"/>
      <c r="AA982" s="41"/>
      <c r="AB982" s="717"/>
      <c r="AD982" s="79"/>
      <c r="BJ982" s="86"/>
      <c r="BM982" s="86"/>
    </row>
    <row r="983">
      <c r="A983" s="41"/>
      <c r="C983" s="41"/>
      <c r="D983" s="41"/>
      <c r="F983" s="41"/>
      <c r="G983" s="41"/>
      <c r="I983" s="41"/>
      <c r="J983" s="41"/>
      <c r="L983" s="41"/>
      <c r="M983" s="41"/>
      <c r="O983" s="41"/>
      <c r="P983" s="41"/>
      <c r="R983" s="41"/>
      <c r="S983" s="41"/>
      <c r="U983" s="41"/>
      <c r="V983" s="41"/>
      <c r="X983" s="41"/>
      <c r="Y983" s="716"/>
      <c r="AA983" s="41"/>
      <c r="AB983" s="717"/>
      <c r="AD983" s="79"/>
      <c r="BJ983" s="86"/>
      <c r="BM983" s="86"/>
    </row>
    <row r="984">
      <c r="A984" s="41"/>
      <c r="C984" s="41"/>
      <c r="D984" s="41"/>
      <c r="F984" s="41"/>
      <c r="G984" s="41"/>
      <c r="I984" s="41"/>
      <c r="J984" s="41"/>
      <c r="L984" s="41"/>
      <c r="M984" s="41"/>
      <c r="O984" s="41"/>
      <c r="P984" s="41"/>
      <c r="R984" s="41"/>
      <c r="S984" s="41"/>
      <c r="U984" s="41"/>
      <c r="V984" s="41"/>
      <c r="X984" s="41"/>
      <c r="Y984" s="716"/>
      <c r="AA984" s="41"/>
      <c r="AB984" s="717"/>
      <c r="AD984" s="79"/>
      <c r="BJ984" s="86"/>
      <c r="BM984" s="86"/>
    </row>
    <row r="985">
      <c r="A985" s="41"/>
      <c r="C985" s="41"/>
      <c r="D985" s="41"/>
      <c r="F985" s="41"/>
      <c r="G985" s="41"/>
      <c r="I985" s="41"/>
      <c r="J985" s="41"/>
      <c r="L985" s="41"/>
      <c r="M985" s="41"/>
      <c r="O985" s="41"/>
      <c r="P985" s="41"/>
      <c r="R985" s="41"/>
      <c r="S985" s="41"/>
      <c r="U985" s="41"/>
      <c r="V985" s="41"/>
      <c r="X985" s="41"/>
      <c r="Y985" s="716"/>
      <c r="AA985" s="41"/>
      <c r="AB985" s="717"/>
      <c r="AD985" s="79"/>
      <c r="BJ985" s="86"/>
      <c r="BM985" s="86"/>
    </row>
    <row r="986">
      <c r="A986" s="41"/>
      <c r="C986" s="41"/>
      <c r="D986" s="41"/>
      <c r="F986" s="41"/>
      <c r="G986" s="41"/>
      <c r="I986" s="41"/>
      <c r="J986" s="41"/>
      <c r="L986" s="41"/>
      <c r="M986" s="41"/>
      <c r="O986" s="41"/>
      <c r="P986" s="41"/>
      <c r="R986" s="41"/>
      <c r="S986" s="41"/>
      <c r="U986" s="41"/>
      <c r="V986" s="41"/>
      <c r="X986" s="41"/>
      <c r="Y986" s="716"/>
      <c r="AA986" s="41"/>
      <c r="AB986" s="717"/>
      <c r="AD986" s="79"/>
      <c r="BJ986" s="86"/>
      <c r="BM986" s="86"/>
    </row>
    <row r="987">
      <c r="A987" s="41"/>
      <c r="C987" s="41"/>
      <c r="D987" s="41"/>
      <c r="F987" s="41"/>
      <c r="G987" s="41"/>
      <c r="I987" s="41"/>
      <c r="J987" s="41"/>
      <c r="L987" s="41"/>
      <c r="M987" s="41"/>
      <c r="O987" s="41"/>
      <c r="P987" s="41"/>
      <c r="R987" s="41"/>
      <c r="S987" s="41"/>
      <c r="U987" s="41"/>
      <c r="V987" s="41"/>
      <c r="X987" s="41"/>
      <c r="Y987" s="716"/>
      <c r="AA987" s="41"/>
      <c r="AB987" s="717"/>
      <c r="AD987" s="79"/>
      <c r="BJ987" s="86"/>
      <c r="BM987" s="86"/>
    </row>
    <row r="988">
      <c r="A988" s="41"/>
      <c r="C988" s="41"/>
      <c r="D988" s="41"/>
      <c r="F988" s="41"/>
      <c r="G988" s="41"/>
      <c r="I988" s="41"/>
      <c r="J988" s="41"/>
      <c r="L988" s="41"/>
      <c r="M988" s="41"/>
      <c r="O988" s="41"/>
      <c r="P988" s="41"/>
      <c r="R988" s="41"/>
      <c r="S988" s="41"/>
      <c r="U988" s="41"/>
      <c r="V988" s="41"/>
      <c r="X988" s="41"/>
      <c r="Y988" s="716"/>
      <c r="AA988" s="41"/>
      <c r="AB988" s="717"/>
      <c r="AD988" s="79"/>
      <c r="BJ988" s="86"/>
      <c r="BM988" s="86"/>
    </row>
    <row r="989">
      <c r="A989" s="41"/>
      <c r="C989" s="41"/>
      <c r="D989" s="41"/>
      <c r="F989" s="41"/>
      <c r="G989" s="41"/>
      <c r="I989" s="41"/>
      <c r="J989" s="41"/>
      <c r="L989" s="41"/>
      <c r="M989" s="41"/>
      <c r="O989" s="41"/>
      <c r="P989" s="41"/>
      <c r="R989" s="41"/>
      <c r="S989" s="41"/>
      <c r="U989" s="41"/>
      <c r="V989" s="41"/>
      <c r="X989" s="41"/>
      <c r="Y989" s="716"/>
      <c r="AA989" s="41"/>
      <c r="AB989" s="717"/>
      <c r="AD989" s="79"/>
      <c r="BJ989" s="86"/>
      <c r="BM989" s="86"/>
    </row>
    <row r="990">
      <c r="A990" s="41"/>
      <c r="C990" s="41"/>
      <c r="D990" s="41"/>
      <c r="F990" s="41"/>
      <c r="G990" s="41"/>
      <c r="I990" s="41"/>
      <c r="J990" s="41"/>
      <c r="L990" s="41"/>
      <c r="M990" s="41"/>
      <c r="O990" s="41"/>
      <c r="P990" s="41"/>
      <c r="R990" s="41"/>
      <c r="S990" s="41"/>
      <c r="U990" s="41"/>
      <c r="V990" s="41"/>
      <c r="X990" s="41"/>
      <c r="Y990" s="716"/>
      <c r="AA990" s="41"/>
      <c r="AB990" s="717"/>
      <c r="AD990" s="79"/>
      <c r="BJ990" s="86"/>
      <c r="BM990" s="86"/>
    </row>
    <row r="991">
      <c r="A991" s="41"/>
      <c r="C991" s="41"/>
      <c r="D991" s="41"/>
      <c r="F991" s="41"/>
      <c r="G991" s="41"/>
      <c r="I991" s="41"/>
      <c r="J991" s="41"/>
      <c r="L991" s="41"/>
      <c r="M991" s="41"/>
      <c r="O991" s="41"/>
      <c r="P991" s="41"/>
      <c r="R991" s="41"/>
      <c r="S991" s="41"/>
      <c r="U991" s="41"/>
      <c r="V991" s="41"/>
      <c r="X991" s="41"/>
      <c r="Y991" s="716"/>
      <c r="AA991" s="41"/>
      <c r="AB991" s="717"/>
      <c r="AD991" s="79"/>
      <c r="BJ991" s="86"/>
      <c r="BM991" s="86"/>
    </row>
    <row r="992">
      <c r="A992" s="41"/>
      <c r="C992" s="41"/>
      <c r="D992" s="41"/>
      <c r="F992" s="41"/>
      <c r="G992" s="41"/>
      <c r="I992" s="41"/>
      <c r="J992" s="41"/>
      <c r="L992" s="41"/>
      <c r="M992" s="41"/>
      <c r="O992" s="41"/>
      <c r="P992" s="41"/>
      <c r="R992" s="41"/>
      <c r="S992" s="41"/>
      <c r="U992" s="41"/>
      <c r="V992" s="41"/>
      <c r="X992" s="41"/>
      <c r="Y992" s="716"/>
      <c r="AA992" s="41"/>
      <c r="AB992" s="717"/>
      <c r="AD992" s="79"/>
      <c r="BJ992" s="86"/>
      <c r="BM992" s="86"/>
    </row>
    <row r="993">
      <c r="A993" s="41"/>
      <c r="C993" s="41"/>
      <c r="D993" s="41"/>
      <c r="F993" s="41"/>
      <c r="G993" s="41"/>
      <c r="I993" s="41"/>
      <c r="J993" s="41"/>
      <c r="L993" s="41"/>
      <c r="M993" s="41"/>
      <c r="O993" s="41"/>
      <c r="P993" s="41"/>
      <c r="R993" s="41"/>
      <c r="S993" s="41"/>
      <c r="U993" s="41"/>
      <c r="V993" s="41"/>
      <c r="X993" s="41"/>
      <c r="Y993" s="716"/>
      <c r="AA993" s="41"/>
      <c r="AB993" s="717"/>
      <c r="AD993" s="79"/>
      <c r="BJ993" s="86"/>
      <c r="BM993" s="86"/>
    </row>
    <row r="994">
      <c r="A994" s="41"/>
      <c r="C994" s="41"/>
      <c r="D994" s="41"/>
      <c r="F994" s="41"/>
      <c r="G994" s="41"/>
      <c r="I994" s="41"/>
      <c r="J994" s="41"/>
      <c r="L994" s="41"/>
      <c r="M994" s="41"/>
      <c r="O994" s="41"/>
      <c r="P994" s="41"/>
      <c r="R994" s="41"/>
      <c r="S994" s="41"/>
      <c r="U994" s="41"/>
      <c r="V994" s="41"/>
      <c r="X994" s="41"/>
      <c r="Y994" s="716"/>
      <c r="AA994" s="41"/>
      <c r="AB994" s="717"/>
      <c r="AD994" s="79"/>
      <c r="BJ994" s="86"/>
      <c r="BM994" s="86"/>
    </row>
    <row r="995">
      <c r="A995" s="41"/>
      <c r="C995" s="41"/>
      <c r="D995" s="41"/>
      <c r="F995" s="41"/>
      <c r="G995" s="41"/>
      <c r="I995" s="41"/>
      <c r="J995" s="41"/>
      <c r="L995" s="41"/>
      <c r="M995" s="41"/>
      <c r="O995" s="41"/>
      <c r="P995" s="41"/>
      <c r="R995" s="41"/>
      <c r="S995" s="41"/>
      <c r="U995" s="41"/>
      <c r="V995" s="41"/>
      <c r="X995" s="41"/>
      <c r="Y995" s="716"/>
      <c r="AA995" s="41"/>
      <c r="AB995" s="717"/>
      <c r="AD995" s="79"/>
      <c r="BJ995" s="86"/>
      <c r="BM995" s="86"/>
    </row>
    <row r="996">
      <c r="A996" s="41"/>
      <c r="C996" s="41"/>
      <c r="D996" s="41"/>
      <c r="F996" s="41"/>
      <c r="G996" s="41"/>
      <c r="I996" s="41"/>
      <c r="J996" s="41"/>
      <c r="L996" s="41"/>
      <c r="M996" s="41"/>
      <c r="O996" s="41"/>
      <c r="P996" s="41"/>
      <c r="R996" s="41"/>
      <c r="S996" s="41"/>
      <c r="U996" s="41"/>
      <c r="V996" s="41"/>
      <c r="X996" s="41"/>
      <c r="Y996" s="716"/>
      <c r="AA996" s="41"/>
      <c r="AB996" s="717"/>
      <c r="AD996" s="79"/>
      <c r="BJ996" s="86"/>
      <c r="BM996" s="86"/>
    </row>
    <row r="997">
      <c r="A997" s="41"/>
      <c r="C997" s="41"/>
      <c r="D997" s="41"/>
      <c r="F997" s="41"/>
      <c r="G997" s="41"/>
      <c r="I997" s="41"/>
      <c r="J997" s="41"/>
      <c r="L997" s="41"/>
      <c r="M997" s="41"/>
      <c r="O997" s="41"/>
      <c r="P997" s="41"/>
      <c r="R997" s="41"/>
      <c r="S997" s="41"/>
      <c r="U997" s="41"/>
      <c r="V997" s="41"/>
      <c r="X997" s="41"/>
      <c r="Y997" s="716"/>
      <c r="AA997" s="41"/>
      <c r="AB997" s="717"/>
      <c r="AD997" s="79"/>
      <c r="BJ997" s="86"/>
      <c r="BM997" s="86"/>
    </row>
    <row r="998">
      <c r="A998" s="41"/>
      <c r="C998" s="41"/>
      <c r="D998" s="41"/>
      <c r="F998" s="41"/>
      <c r="G998" s="41"/>
      <c r="I998" s="41"/>
      <c r="J998" s="41"/>
      <c r="L998" s="41"/>
      <c r="M998" s="41"/>
      <c r="O998" s="41"/>
      <c r="P998" s="41"/>
      <c r="R998" s="41"/>
      <c r="S998" s="41"/>
      <c r="U998" s="41"/>
      <c r="V998" s="41"/>
      <c r="X998" s="41"/>
      <c r="Y998" s="716"/>
      <c r="AA998" s="41"/>
      <c r="AB998" s="717"/>
      <c r="AD998" s="79"/>
      <c r="BJ998" s="86"/>
      <c r="BM998" s="86"/>
    </row>
    <row r="999">
      <c r="A999" s="41"/>
      <c r="C999" s="41"/>
      <c r="D999" s="41"/>
      <c r="F999" s="41"/>
      <c r="G999" s="41"/>
      <c r="I999" s="41"/>
      <c r="J999" s="41"/>
      <c r="L999" s="41"/>
      <c r="M999" s="41"/>
      <c r="O999" s="41"/>
      <c r="P999" s="41"/>
      <c r="R999" s="41"/>
      <c r="S999" s="41"/>
      <c r="U999" s="41"/>
      <c r="V999" s="41"/>
      <c r="X999" s="41"/>
      <c r="Y999" s="716"/>
      <c r="AA999" s="41"/>
      <c r="AB999" s="717"/>
      <c r="AD999" s="79"/>
      <c r="BJ999" s="86"/>
      <c r="BM999" s="86"/>
    </row>
    <row r="1000">
      <c r="A1000" s="41"/>
      <c r="C1000" s="41"/>
      <c r="D1000" s="41"/>
      <c r="F1000" s="41"/>
      <c r="G1000" s="41"/>
      <c r="I1000" s="41"/>
      <c r="J1000" s="41"/>
      <c r="L1000" s="41"/>
      <c r="M1000" s="41"/>
      <c r="O1000" s="41"/>
      <c r="P1000" s="41"/>
      <c r="R1000" s="41"/>
      <c r="S1000" s="41"/>
      <c r="U1000" s="41"/>
      <c r="V1000" s="41"/>
      <c r="X1000" s="41"/>
      <c r="Y1000" s="716"/>
      <c r="AA1000" s="41"/>
      <c r="AB1000" s="717"/>
      <c r="AD1000" s="79"/>
      <c r="BJ1000" s="86"/>
      <c r="BM1000" s="86"/>
    </row>
  </sheetData>
  <mergeCells count="3">
    <mergeCell ref="BC1:BD1"/>
    <mergeCell ref="BF1:BG1"/>
    <mergeCell ref="BI1:BJ1"/>
  </mergeCells>
  <drawing r:id="rId1"/>
  <tableParts count="2">
    <tablePart r:id="rId4"/>
    <tablePart r:id="rId5"/>
  </tableParts>
</worksheet>
</file>